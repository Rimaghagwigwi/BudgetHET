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onfut\Desktop\Code\HET_3\template\"/>
    </mc:Choice>
  </mc:AlternateContent>
  <xr:revisionPtr revIDLastSave="0" documentId="13_ncr:1_{D0FD7427-0ECA-473D-BF97-D0A6365B8C10}" xr6:coauthVersionLast="47" xr6:coauthVersionMax="47" xr10:uidLastSave="{00000000-0000-0000-0000-000000000000}"/>
  <bookViews>
    <workbookView xWindow="28680" yWindow="2415" windowWidth="21840" windowHeight="13140" xr2:uid="{3368FBE2-D29E-4C54-8DC2-E63CFA051357}"/>
  </bookViews>
  <sheets>
    <sheet name="prepa ORTEMS" sheetId="1" r:id="rId1"/>
    <sheet name="Calcu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A3" i="2"/>
  <c r="C3" i="2" s="1"/>
  <c r="A2" i="1" l="1"/>
  <c r="E3" i="2"/>
  <c r="G3" i="2" s="1"/>
  <c r="I3" i="2" s="1"/>
  <c r="B2" i="1" l="1"/>
</calcChain>
</file>

<file path=xl/sharedStrings.xml><?xml version="1.0" encoding="utf-8"?>
<sst xmlns="http://schemas.openxmlformats.org/spreadsheetml/2006/main" count="59" uniqueCount="59">
  <si>
    <t>HET tot</t>
  </si>
  <si>
    <t>délai étude mois</t>
  </si>
  <si>
    <t>Administrateur CAO Charge1</t>
  </si>
  <si>
    <t>Assistant administratif Charge1</t>
  </si>
  <si>
    <t>Directeur technique Charge1</t>
  </si>
  <si>
    <t>Ingénieur électrotechnique Charge1</t>
  </si>
  <si>
    <t>Ingénieur mécanique - fluide Charge1</t>
  </si>
  <si>
    <t>Ingénieur mécanique - solide Charge1</t>
  </si>
  <si>
    <t>Ingénieur méthodes Charge1</t>
  </si>
  <si>
    <t>Laboratoire - métallurgie  Charge1</t>
  </si>
  <si>
    <t>Laboratoire - systéme d'isolation  Charge1</t>
  </si>
  <si>
    <t>Projeteur - armoire électrique  Charge1</t>
  </si>
  <si>
    <t>Projeteur - bobinage  Charge1</t>
  </si>
  <si>
    <t>Projeteur - instrumentation  Charge1</t>
  </si>
  <si>
    <t>Projeteur - machine tournante  Charge1</t>
  </si>
  <si>
    <t>Référent qualité études Charge1</t>
  </si>
  <si>
    <t>Référent FDMS  Charge1</t>
  </si>
  <si>
    <t>Référent SLI  Charge1</t>
  </si>
  <si>
    <t>Responsable de pôle technique Charge1</t>
  </si>
  <si>
    <t>Responsable d'équipe technique Charge1</t>
  </si>
  <si>
    <t>Responsable d'étude projet  Charge1</t>
  </si>
  <si>
    <t>Système contrôle commande - automatisme Charge1</t>
  </si>
  <si>
    <t>Système contrôle commande - conception électrique  Charge1</t>
  </si>
  <si>
    <t>Système contrôle commande - développement logiciel  Charge1</t>
  </si>
  <si>
    <t>Système contrôle commande - électronique Charge1</t>
  </si>
  <si>
    <t>Système contrôle commande - électronique de puissance  Charge1</t>
  </si>
  <si>
    <t>Administrateur CAO Charge2</t>
  </si>
  <si>
    <t>Assistant administratif Charge2</t>
  </si>
  <si>
    <t>Directeur technique Charge2</t>
  </si>
  <si>
    <t>Ingénieur électrotechnique Charge2</t>
  </si>
  <si>
    <t>Ingénieur mécanique - fluide Charge2</t>
  </si>
  <si>
    <t>Ingénieur mécanique - solide Charge2</t>
  </si>
  <si>
    <t>Ingénieur méthodes Charge2</t>
  </si>
  <si>
    <t>Laboratoire - métallurgie  Charge2</t>
  </si>
  <si>
    <t>Laboratoire - systéme d'isolation  Charge2</t>
  </si>
  <si>
    <t>Projeteur - armoire électrique  Charge2</t>
  </si>
  <si>
    <t>Projeteur - bobinage  Charge2</t>
  </si>
  <si>
    <t>Projeteur - instrumentation  Charge2</t>
  </si>
  <si>
    <t>Projeteur - machine tournante  Charge2</t>
  </si>
  <si>
    <t>Référent qualité études Charge2</t>
  </si>
  <si>
    <t>Référent FDMS  Charge2</t>
  </si>
  <si>
    <t>Référent SLI  Charge2</t>
  </si>
  <si>
    <t>Responsable de pôle technique Charge2</t>
  </si>
  <si>
    <t>Responsable d'équipe technique Charge2</t>
  </si>
  <si>
    <t>Responsable d'étude projet  Charge2</t>
  </si>
  <si>
    <t>Système contrôle commande - automatisme Charge2</t>
  </si>
  <si>
    <t>Système contrôle commande - conception électrique  Charge2</t>
  </si>
  <si>
    <t>Système contrôle commande - développement logiciel  Charge2</t>
  </si>
  <si>
    <t>Système contrôle commande - électronique Charge2</t>
  </si>
  <si>
    <t>Système contrôle commande - électronique de puissance  Charge2</t>
  </si>
  <si>
    <t>Nbr Projecteurs</t>
  </si>
  <si>
    <t>Délair réel étude</t>
  </si>
  <si>
    <t>Démarrage (mois)</t>
  </si>
  <si>
    <t>Délai étude productif</t>
  </si>
  <si>
    <t>Taux de productivité</t>
  </si>
  <si>
    <t>Heures prises en compte</t>
  </si>
  <si>
    <t>Délai brut (mois)</t>
  </si>
  <si>
    <t>Congés (mois)</t>
  </si>
  <si>
    <t>% Congés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</si>
</sst>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wrapText="1"/>
    </xf>
    <xf numFmtId="1" fontId="0" fillId="3" borderId="0" xfId="0" applyNumberFormat="1" applyFill="1" applyAlignment="1">
      <alignment horizontal="center"/>
    </xf>
    <xf numFmtId="164" fontId="2" fillId="3" borderId="1" xfId="0" applyNumberFormat="1" applyFont="1" applyFill="1" applyBorder="1" applyAlignment="1">
      <alignment horizontal="center" wrapText="1"/>
    </xf>
    <xf numFmtId="1" fontId="0" fillId="3" borderId="1" xfId="0" applyNumberFormat="1" applyFill="1" applyBorder="1"/>
    <xf numFmtId="1" fontId="0" fillId="0" borderId="0" xfId="0" applyNumberFormat="1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4" borderId="1" xfId="0" applyFill="1" applyBorder="1" applyAlignment="1">
      <alignment horizontal="center" vertical="center" wrapText="1"/>
    </xf>
    <xf numFmtId="1" fontId="0" fillId="5" borderId="1" xfId="0" applyNumberFormat="1" applyFill="1" applyBorder="1"/>
    <xf numFmtId="0" fontId="0" fillId="5" borderId="1" xfId="0" applyFill="1" applyBorder="1"/>
    <xf numFmtId="2" fontId="0" fillId="5" borderId="1" xfId="0" applyNumberFormat="1" applyFill="1" applyBorder="1"/>
    <xf numFmtId="0" fontId="0" fillId="3" borderId="1" xfId="0" applyFill="1" applyBorder="1"/>
    <xf numFmtId="9" fontId="0" fillId="0" borderId="1" xfId="1" applyFont="1" applyBorder="1"/>
    <xf numFmtId="2" fontId="0" fillId="4" borderId="1" xfId="0" applyNumberFormat="1" applyFill="1" applyBorder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AE193-52F3-470A-8880-8CFB01832AE2}">
  <dimension ref="A1:AX6"/>
  <sheetViews>
    <sheetView tabSelected="1" workbookViewId="0">
      <selection activeCell="E16" sqref="E16"/>
    </sheetView>
  </sheetViews>
  <sheetFormatPr baseColWidth="10" defaultRowHeight="15" x14ac:dyDescent="0.25"/>
  <cols>
    <col min="2" max="2" width="13.42578125" customWidth="1"/>
    <col min="23" max="23" width="12.5703125" customWidth="1"/>
    <col min="24" max="24" width="15.85546875" customWidth="1"/>
    <col min="25" max="25" width="13.28515625" customWidth="1"/>
  </cols>
  <sheetData>
    <row r="1" spans="1:50" s="8" customFormat="1" ht="105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</row>
    <row r="2" spans="1:50" x14ac:dyDescent="0.25">
      <c r="A2" s="2">
        <f>SUM(C2:AX2)</f>
        <v>0</v>
      </c>
      <c r="B2" s="3">
        <f>Calculs!I3</f>
        <v>0.5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</row>
    <row r="3" spans="1:50" x14ac:dyDescent="0.25">
      <c r="A3" s="5"/>
    </row>
    <row r="6" spans="1:50" ht="33" customHeight="1" x14ac:dyDescent="0.25">
      <c r="B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A9472-B1C5-4CC6-AD39-864D8A83FC35}">
  <dimension ref="A2:I3"/>
  <sheetViews>
    <sheetView workbookViewId="0">
      <selection activeCell="N9" sqref="N9"/>
    </sheetView>
  </sheetViews>
  <sheetFormatPr baseColWidth="10" defaultRowHeight="15" x14ac:dyDescent="0.25"/>
  <cols>
    <col min="1" max="1" width="13.7109375" customWidth="1"/>
    <col min="2" max="2" width="13.7109375" bestFit="1" customWidth="1"/>
    <col min="3" max="3" width="14.85546875" bestFit="1" customWidth="1"/>
    <col min="6" max="6" width="12" customWidth="1"/>
  </cols>
  <sheetData>
    <row r="2" spans="1:9" s="8" customFormat="1" ht="45" x14ac:dyDescent="0.25">
      <c r="A2" s="9" t="s">
        <v>55</v>
      </c>
      <c r="B2" s="9" t="s">
        <v>50</v>
      </c>
      <c r="C2" s="9" t="s">
        <v>56</v>
      </c>
      <c r="D2" s="9" t="s">
        <v>54</v>
      </c>
      <c r="E2" s="9" t="s">
        <v>53</v>
      </c>
      <c r="F2" s="9" t="s">
        <v>58</v>
      </c>
      <c r="G2" s="9" t="s">
        <v>57</v>
      </c>
      <c r="H2" s="9" t="s">
        <v>52</v>
      </c>
      <c r="I2" s="11" t="s">
        <v>51</v>
      </c>
    </row>
    <row r="3" spans="1:9" x14ac:dyDescent="0.25">
      <c r="A3" s="12">
        <f>'prepa ORTEMS'!O2</f>
        <v>0</v>
      </c>
      <c r="B3" s="15">
        <v>1.5</v>
      </c>
      <c r="C3" s="14">
        <f>(A3/7.7)/(365.25/12 * 5/7)/B3</f>
        <v>0</v>
      </c>
      <c r="D3" s="10">
        <v>0.55000000000000004</v>
      </c>
      <c r="E3" s="14">
        <f>C3/D3</f>
        <v>0</v>
      </c>
      <c r="F3" s="16">
        <f>2/12</f>
        <v>0.16666666666666666</v>
      </c>
      <c r="G3" s="13">
        <f>E3*F3</f>
        <v>0</v>
      </c>
      <c r="H3" s="10">
        <v>0.5</v>
      </c>
      <c r="I3" s="17">
        <f>H3+E3+G3</f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prepa ORTEMS</vt:lpstr>
      <vt:lpstr>Calculs</vt:lpstr>
    </vt:vector>
  </TitlesOfParts>
  <Company>Jeumont Electric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DONFUT ANTOINE</dc:creator>
  <cp:lastModifiedBy>DONFUT ANTOINE</cp:lastModifiedBy>
  <dcterms:created xsi:type="dcterms:W3CDTF">2026-02-24T10:06:35Z</dcterms:created>
  <dcterms:modified xsi:type="dcterms:W3CDTF">2026-03-17T12:46:56Z</dcterms:modified>
</cp:coreProperties>
</file>