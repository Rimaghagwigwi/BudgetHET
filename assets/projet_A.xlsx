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alculs" sheetId="1" state="visible" r:id="rId1"/>
    <sheet name="prepa OR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" fontId="0" fillId="3" borderId="0" applyAlignment="1" pivotButton="0" quotePrefix="0" xfId="0">
      <alignment horizontal="center"/>
    </xf>
    <xf numFmtId="164" fontId="2" fillId="3" borderId="1" applyAlignment="1" pivotButton="0" quotePrefix="0" xfId="0">
      <alignment horizontal="center" wrapText="1"/>
    </xf>
    <xf numFmtId="1" fontId="0" fillId="3" borderId="1" pivotButton="0" quotePrefix="0" xfId="0"/>
    <xf numFmtId="1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" fontId="0" fillId="5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3" borderId="1" pivotButton="0" quotePrefix="0" xfId="0"/>
    <xf numFmtId="9" fontId="0" fillId="0" borderId="1" pivotButton="0" quotePrefix="0" xfId="1"/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"/>
  <sheetViews>
    <sheetView tabSelected="1" workbookViewId="0">
      <selection activeCell="M21" sqref="M21"/>
    </sheetView>
  </sheetViews>
  <sheetFormatPr baseColWidth="10" defaultRowHeight="15"/>
  <cols>
    <col width="13.7109375" customWidth="1" min="1" max="1"/>
    <col width="13.5703125" customWidth="1" min="2" max="2"/>
    <col width="13.7109375" bestFit="1" customWidth="1" min="3" max="3"/>
    <col width="14.85546875" bestFit="1" customWidth="1" min="4" max="4"/>
    <col width="12" customWidth="1" min="7" max="7"/>
  </cols>
  <sheetData>
    <row r="2" ht="45" customFormat="1" customHeight="1" s="8">
      <c r="A2" s="9" t="inlineStr">
        <is>
          <t>Heures prises en compte</t>
        </is>
      </c>
      <c r="B2" s="9" t="inlineStr">
        <is>
          <t>Coeff pénalité n projeteurs</t>
        </is>
      </c>
      <c r="C2" s="9" t="inlineStr">
        <is>
          <t>Nbr Projecteurs</t>
        </is>
      </c>
      <c r="D2" s="9" t="inlineStr">
        <is>
          <t>Délai brut (mois)</t>
        </is>
      </c>
      <c r="E2" s="9" t="inlineStr">
        <is>
          <t>Démarrage (mois)</t>
        </is>
      </c>
      <c r="F2" s="9" t="inlineStr">
        <is>
          <t>Taux de productivité</t>
        </is>
      </c>
      <c r="G2" s="9" t="inlineStr">
        <is>
          <t>Délai étude productif</t>
        </is>
      </c>
      <c r="H2" s="9" t="inlineStr">
        <is>
          <t>% Congés</t>
        </is>
      </c>
      <c r="I2" s="9" t="inlineStr">
        <is>
          <t>Congés (mois)</t>
        </is>
      </c>
      <c r="J2" s="11" t="inlineStr">
        <is>
          <t>Délair réel étude</t>
        </is>
      </c>
    </row>
    <row r="3">
      <c r="A3" s="13">
        <f>'prepa ORTEMS'!O2</f>
        <v/>
      </c>
      <c r="B3" s="16" t="n">
        <v>1.2</v>
      </c>
      <c r="C3" s="16" t="n">
        <v>1.5</v>
      </c>
      <c r="D3" s="15">
        <f>(A3/7.7)/(365.25/12 * 5/7)/C3</f>
        <v/>
      </c>
      <c r="E3" s="10" t="n">
        <v>0.5</v>
      </c>
      <c r="F3" s="10" t="n">
        <v>0.55</v>
      </c>
      <c r="G3" s="15">
        <f>D3/F3</f>
        <v/>
      </c>
      <c r="H3" s="17">
        <f>2/12</f>
        <v/>
      </c>
      <c r="I3" s="14">
        <f>G3*H3</f>
        <v/>
      </c>
      <c r="J3" s="12">
        <f>B3*(E3+G3+I3)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B2" sqref="B2"/>
    </sheetView>
  </sheetViews>
  <sheetFormatPr baseColWidth="10" defaultRowHeight="15"/>
  <cols>
    <col width="13.42578125" customWidth="1" min="2" max="2"/>
    <col width="12.5703125" customWidth="1" min="23" max="23"/>
    <col width="15.85546875" customWidth="1" min="24" max="24"/>
    <col width="13.28515625" customWidth="1" min="25" max="25"/>
  </cols>
  <sheetData>
    <row r="1" ht="105" customFormat="1" customHeight="1" s="8">
      <c r="A1" s="6" t="inlineStr">
        <is>
          <t>HET tot</t>
        </is>
      </c>
      <c r="B1" s="7" t="inlineStr">
        <is>
          <t>délai étude mois</t>
        </is>
      </c>
      <c r="C1" s="7" t="inlineStr">
        <is>
          <t>Administrateur CAO Définition</t>
        </is>
      </c>
      <c r="D1" s="7" t="inlineStr">
        <is>
          <t>Assistant Administratif Définition</t>
        </is>
      </c>
      <c r="E1" s="7" t="inlineStr">
        <is>
          <t>Directeur Technique Définition</t>
        </is>
      </c>
      <c r="F1" s="7" t="inlineStr">
        <is>
          <t>Ingénieur électrotechnique Définition</t>
        </is>
      </c>
      <c r="G1" s="7" t="inlineStr">
        <is>
          <t>Ingénieur mécanique - fluides Définition</t>
        </is>
      </c>
      <c r="H1" s="7" t="inlineStr">
        <is>
          <t>Ingénieur mécanique - solide Définition</t>
        </is>
      </c>
      <c r="I1" s="7" t="inlineStr">
        <is>
          <t>Ingénieur méthodes Définition</t>
        </is>
      </c>
      <c r="J1" s="7" t="inlineStr">
        <is>
          <t>Laboratoire métallurgie Définition</t>
        </is>
      </c>
      <c r="K1" s="7" t="inlineStr">
        <is>
          <t>Laboratoire isolation Définition</t>
        </is>
      </c>
      <c r="L1" s="7" t="inlineStr">
        <is>
          <t>Projecteur armoire électrique Définition</t>
        </is>
      </c>
      <c r="M1" s="7" t="inlineStr">
        <is>
          <t>Projecteur bobinage Définition</t>
        </is>
      </c>
      <c r="N1" s="7" t="inlineStr">
        <is>
          <t>Projecteur instrumentation Définition</t>
        </is>
      </c>
      <c r="O1" s="7" t="inlineStr">
        <is>
          <t>Projecteur machine tournante Définition</t>
        </is>
      </c>
      <c r="P1" s="7" t="inlineStr">
        <is>
          <t>Référent qualité études Définition</t>
        </is>
      </c>
      <c r="Q1" s="7" t="inlineStr">
        <is>
          <t>Référent FDMS Définition</t>
        </is>
      </c>
      <c r="R1" s="7" t="inlineStr">
        <is>
          <t>Référent SLI Définition</t>
        </is>
      </c>
      <c r="S1" s="7" t="inlineStr">
        <is>
          <t>Responsable de pôle technique Définition</t>
        </is>
      </c>
      <c r="T1" s="7" t="inlineStr">
        <is>
          <t>Responsable équipe technique Définition</t>
        </is>
      </c>
      <c r="U1" s="7" t="inlineStr">
        <is>
          <t>Responsable d'études projet Définition</t>
        </is>
      </c>
      <c r="V1" s="7" t="inlineStr">
        <is>
          <t>Système de contrôle commande - automatisme Définition</t>
        </is>
      </c>
      <c r="W1" s="7" t="inlineStr">
        <is>
          <t>Système de contrôle commande - conception électrique Définition</t>
        </is>
      </c>
      <c r="X1" s="7" t="inlineStr">
        <is>
          <t>Système de contrôle commande - logiciel Définition</t>
        </is>
      </c>
      <c r="Y1" s="7" t="inlineStr">
        <is>
          <t>Système de contrôle commande - électronique Définition</t>
        </is>
      </c>
      <c r="Z1" s="7" t="inlineStr">
        <is>
          <t>Système de contrôle commande - électronique de puissance Définition</t>
        </is>
      </c>
      <c r="AA1" s="7" t="inlineStr">
        <is>
          <t>Administrateur CAO Production</t>
        </is>
      </c>
      <c r="AB1" s="7" t="inlineStr">
        <is>
          <t>Assistant Administratif Production</t>
        </is>
      </c>
      <c r="AC1" s="7" t="inlineStr">
        <is>
          <t>Directeur Technique Production</t>
        </is>
      </c>
      <c r="AD1" s="7" t="inlineStr">
        <is>
          <t>Ingénieur électrotechnique Production</t>
        </is>
      </c>
      <c r="AE1" s="7" t="inlineStr">
        <is>
          <t>Ingénieur mécanique - fluides Production</t>
        </is>
      </c>
      <c r="AF1" s="7" t="inlineStr">
        <is>
          <t>Ingénieur mécanique - solide Production</t>
        </is>
      </c>
      <c r="AG1" s="7" t="inlineStr">
        <is>
          <t>Ingénieur méthodes Production</t>
        </is>
      </c>
      <c r="AH1" s="7" t="inlineStr">
        <is>
          <t>Laboratoire métallurgie Production</t>
        </is>
      </c>
      <c r="AI1" s="7" t="inlineStr">
        <is>
          <t>Laboratoire isolation Production</t>
        </is>
      </c>
      <c r="AJ1" s="7" t="inlineStr">
        <is>
          <t>Projecteur armoire électrique Production</t>
        </is>
      </c>
      <c r="AK1" s="7" t="inlineStr">
        <is>
          <t>Projecteur bobinage Production</t>
        </is>
      </c>
      <c r="AL1" s="7" t="inlineStr">
        <is>
          <t>Projecteur instrumentation Production</t>
        </is>
      </c>
      <c r="AM1" s="7" t="inlineStr">
        <is>
          <t>Projecteur machine tournante Production</t>
        </is>
      </c>
      <c r="AN1" s="7" t="inlineStr">
        <is>
          <t>Référent qualité études Production</t>
        </is>
      </c>
      <c r="AO1" s="7" t="inlineStr">
        <is>
          <t>Référent FDMS Production</t>
        </is>
      </c>
      <c r="AP1" s="7" t="inlineStr">
        <is>
          <t>Référent SLI Production</t>
        </is>
      </c>
      <c r="AQ1" s="7" t="inlineStr">
        <is>
          <t>Responsable de pôle technique Production</t>
        </is>
      </c>
      <c r="AR1" s="7" t="inlineStr">
        <is>
          <t>Responsable équipe technique Production</t>
        </is>
      </c>
      <c r="AS1" s="7" t="inlineStr">
        <is>
          <t>Responsable d'études projet Production</t>
        </is>
      </c>
      <c r="AT1" s="7" t="inlineStr">
        <is>
          <t>Système de contrôle commande - automatisme Production</t>
        </is>
      </c>
      <c r="AU1" s="7" t="inlineStr">
        <is>
          <t>Système de contrôle commande - conception électrique Production</t>
        </is>
      </c>
      <c r="AV1" s="7" t="inlineStr">
        <is>
          <t>Système de contrôle commande - logiciel Production</t>
        </is>
      </c>
      <c r="AW1" s="7" t="inlineStr">
        <is>
          <t>Système de contrôle commande - électronique Production</t>
        </is>
      </c>
      <c r="AX1" s="7" t="inlineStr">
        <is>
          <t>Système de contrôle commande - électronique de puissance Production</t>
        </is>
      </c>
    </row>
    <row r="2">
      <c r="A2" s="2">
        <f>SUM(C2:AX2)</f>
        <v/>
      </c>
      <c r="B2" s="3">
        <f>Calculs!J3</f>
        <v/>
      </c>
      <c r="C2" s="4" t="n">
        <v>0</v>
      </c>
      <c r="D2" s="4" t="n">
        <v>0</v>
      </c>
      <c r="E2" s="4" t="n">
        <v>0</v>
      </c>
      <c r="F2" s="4" t="n">
        <v>55.2228875582169</v>
      </c>
      <c r="G2" s="4" t="n">
        <v>9.481037924151698</v>
      </c>
      <c r="H2" s="4" t="n">
        <v>85.26280771789754</v>
      </c>
      <c r="I2" s="4" t="n">
        <v>0</v>
      </c>
      <c r="J2" s="4" t="n">
        <v>3.992015968063872</v>
      </c>
      <c r="K2" s="4" t="n">
        <v>0</v>
      </c>
      <c r="L2" s="4" t="n">
        <v>51.23087159015303</v>
      </c>
      <c r="M2" s="4" t="n">
        <v>111.5036593479707</v>
      </c>
      <c r="N2" s="4" t="n">
        <v>59.48103792415171</v>
      </c>
      <c r="O2" s="4" t="n">
        <v>421.8296739853626</v>
      </c>
      <c r="P2" s="4" t="n">
        <v>2.661343978709248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66.60013306719894</v>
      </c>
      <c r="V2" s="4" t="n">
        <v>8.183632734530939</v>
      </c>
      <c r="W2" s="4" t="n">
        <v>9.514304723885564</v>
      </c>
      <c r="X2" s="4" t="n">
        <v>16.36726546906188</v>
      </c>
      <c r="Y2" s="4" t="n">
        <v>26.81304058549567</v>
      </c>
      <c r="Z2" s="4" t="n">
        <v>18.62940785096474</v>
      </c>
      <c r="AA2" s="4" t="n">
        <v>0</v>
      </c>
      <c r="AB2" s="4" t="n">
        <v>0</v>
      </c>
      <c r="AC2" s="4" t="n">
        <v>0</v>
      </c>
      <c r="AD2" s="4" t="n">
        <v>2.328675981370592</v>
      </c>
      <c r="AE2" s="4" t="n">
        <v>0</v>
      </c>
      <c r="AF2" s="4" t="n">
        <v>3.659347970725217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17.29873586161012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15.30272787757818</v>
      </c>
      <c r="AT2" s="4" t="n">
        <v>1.330671989354624</v>
      </c>
      <c r="AU2" s="4" t="n">
        <v>2.661343978709248</v>
      </c>
      <c r="AV2" s="4" t="n">
        <v>1.330671989354624</v>
      </c>
      <c r="AW2" s="4" t="n">
        <v>3.992015968063872</v>
      </c>
      <c r="AX2" s="4" t="n">
        <v>5.322687957418497</v>
      </c>
    </row>
    <row r="3">
      <c r="A3" s="5" t="n"/>
    </row>
    <row r="6" ht="33" customHeight="1">
      <c r="B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DONFUT ANTOINE</dc:creator>
  <dcterms:created xsi:type="dcterms:W3CDTF">2026-02-24T10:06:35Z</dcterms:created>
  <dcterms:modified xsi:type="dcterms:W3CDTF">2026-02-24T15:27:36Z</dcterms:modified>
  <cp:lastModifiedBy>DONFUT ANTOINE</cp:lastModifiedBy>
</cp:coreProperties>
</file>