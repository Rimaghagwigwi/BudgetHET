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onfut\Desktop\Code\HET_3\assets\"/>
    </mc:Choice>
  </mc:AlternateContent>
  <xr:revisionPtr revIDLastSave="0" documentId="13_ncr:1_{4A6F0D7B-E7A8-4E1A-8050-6ACD588749C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alculs" sheetId="1" r:id="rId1"/>
    <sheet name="prepa ORTEM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H3" i="1"/>
  <c r="D3" i="1"/>
  <c r="G3" i="1" s="1"/>
  <c r="A3" i="1"/>
  <c r="I3" i="1" l="1"/>
  <c r="J3" i="1" s="1"/>
  <c r="B2" i="2" s="1"/>
</calcChain>
</file>

<file path=xl/sharedStrings.xml><?xml version="1.0" encoding="utf-8"?>
<sst xmlns="http://schemas.openxmlformats.org/spreadsheetml/2006/main" count="60" uniqueCount="60">
  <si>
    <t>Heures prises en compte</t>
  </si>
  <si>
    <t>Coeff pénalité n projeteurs</t>
  </si>
  <si>
    <t>Nbr Projecteurs</t>
  </si>
  <si>
    <t>Délai brut (mois)</t>
  </si>
  <si>
    <t>Démarrage (mois)</t>
  </si>
  <si>
    <t>Taux de productivité</t>
  </si>
  <si>
    <t>Délai étude productif</t>
  </si>
  <si>
    <t>% Congés</t>
  </si>
  <si>
    <t>Congés (mois)</t>
  </si>
  <si>
    <t>Délair réel étude</t>
  </si>
  <si>
    <t>HET tot</t>
  </si>
  <si>
    <t>délai étude mois</t>
  </si>
  <si>
    <t>Administrateur CAO Définition</t>
  </si>
  <si>
    <t>Assistant Administratif Définition</t>
  </si>
  <si>
    <t>Directeur Technique Définition</t>
  </si>
  <si>
    <t>Ingénieur électrotechnique Définition</t>
  </si>
  <si>
    <t>Ingénieur mécanique - fluides Définition</t>
  </si>
  <si>
    <t>Ingénieur mécanique - solide Définition</t>
  </si>
  <si>
    <t>Ingénieur méthodes Définition</t>
  </si>
  <si>
    <t>Laboratoire métallurgie Définition</t>
  </si>
  <si>
    <t>Laboratoire isolation Définition</t>
  </si>
  <si>
    <t>Projecteur armoire électrique Définition</t>
  </si>
  <si>
    <t>Projecteur bobinage Définition</t>
  </si>
  <si>
    <t>Projecteur instrumentation Définition</t>
  </si>
  <si>
    <t>Projecteur machine tournante Définition</t>
  </si>
  <si>
    <t>Référent qualité études Définition</t>
  </si>
  <si>
    <t>Référent FDMS Définition</t>
  </si>
  <si>
    <t>Référent SLI Définition</t>
  </si>
  <si>
    <t>Responsable de pôle technique Définition</t>
  </si>
  <si>
    <t>Responsable équipe technique Définition</t>
  </si>
  <si>
    <t>Responsable d'études projet Définition</t>
  </si>
  <si>
    <t>Système de contrôle commande - automatisme Définition</t>
  </si>
  <si>
    <t>Système de contrôle commande - conception électrique Définition</t>
  </si>
  <si>
    <t>Système de contrôle commande - logiciel Définition</t>
  </si>
  <si>
    <t>Système de contrôle commande - électronique Définition</t>
  </si>
  <si>
    <t>Système de contrôle commande - électronique de puissance Définition</t>
  </si>
  <si>
    <t>Administrateur CAO Production</t>
  </si>
  <si>
    <t>Assistant Administratif Production</t>
  </si>
  <si>
    <t>Directeur Technique Production</t>
  </si>
  <si>
    <t>Ingénieur électrotechnique Production</t>
  </si>
  <si>
    <t>Ingénieur mécanique - fluides Production</t>
  </si>
  <si>
    <t>Ingénieur mécanique - solide Production</t>
  </si>
  <si>
    <t>Ingénieur méthodes Production</t>
  </si>
  <si>
    <t>Laboratoire métallurgie Production</t>
  </si>
  <si>
    <t>Laboratoire isolation Production</t>
  </si>
  <si>
    <t>Projecteur armoire électrique Production</t>
  </si>
  <si>
    <t>Projecteur bobinage Production</t>
  </si>
  <si>
    <t>Projecteur instrumentation Production</t>
  </si>
  <si>
    <t>Projecteur machine tournante Production</t>
  </si>
  <si>
    <t>Référent qualité études Production</t>
  </si>
  <si>
    <t>Référent FDMS Production</t>
  </si>
  <si>
    <t>Référent SLI Production</t>
  </si>
  <si>
    <t>Responsable de pôle technique Production</t>
  </si>
  <si>
    <t>Responsable équipe technique Production</t>
  </si>
  <si>
    <t>Responsable d'études projet Production</t>
  </si>
  <si>
    <t>Système de contrôle commande - automatisme Production</t>
  </si>
  <si>
    <t>Système de contrôle commande - conception électrique Production</t>
  </si>
  <si>
    <t>Système de contrôle commande - logiciel Production</t>
  </si>
  <si>
    <t>Système de contrôle commande - électronique Production</t>
  </si>
  <si>
    <t>Système de contrôle commande - électronique de puissance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</si>
</sst>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1" fontId="0" fillId="3" borderId="0" xfId="0" applyNumberFormat="1" applyFill="1" applyAlignment="1">
      <alignment horizontal="center"/>
    </xf>
    <xf numFmtId="164" fontId="2" fillId="3" borderId="1" xfId="0" applyNumberFormat="1" applyFont="1" applyFill="1" applyBorder="1" applyAlignment="1">
      <alignment horizontal="center" wrapText="1"/>
    </xf>
    <xf numFmtId="1" fontId="0" fillId="3" borderId="1" xfId="0" applyNumberFormat="1" applyFill="1" applyBorder="1"/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/>
    <xf numFmtId="1" fontId="0" fillId="5" borderId="1" xfId="0" applyNumberFormat="1" applyFill="1" applyBorder="1"/>
    <xf numFmtId="0" fontId="0" fillId="5" borderId="1" xfId="0" applyFill="1" applyBorder="1"/>
    <xf numFmtId="2" fontId="0" fillId="5" borderId="1" xfId="0" applyNumberFormat="1" applyFill="1" applyBorder="1"/>
    <xf numFmtId="0" fontId="0" fillId="3" borderId="1" xfId="0" applyFill="1" applyBorder="1"/>
    <xf numFmtId="9" fontId="0" fillId="0" borderId="1" xfId="1" applyFont="1" applyBorder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3"/>
  <sheetViews>
    <sheetView workbookViewId="0">
      <selection activeCell="M21" sqref="M21"/>
    </sheetView>
  </sheetViews>
  <sheetFormatPr baseColWidth="10" defaultRowHeight="15" x14ac:dyDescent="0.25"/>
  <cols>
    <col min="1" max="1" width="13.7109375" customWidth="1"/>
    <col min="2" max="2" width="13.5703125" customWidth="1"/>
    <col min="3" max="3" width="13.7109375" bestFit="1" customWidth="1"/>
    <col min="4" max="4" width="14.85546875" bestFit="1" customWidth="1"/>
    <col min="7" max="7" width="12" customWidth="1"/>
  </cols>
  <sheetData>
    <row r="2" spans="1:10" s="8" customFormat="1" ht="45" customHeight="1" x14ac:dyDescent="0.25">
      <c r="A2" s="9" t="s">
        <v>0</v>
      </c>
      <c r="B2" s="9" t="s">
        <v>1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11" t="s">
        <v>9</v>
      </c>
    </row>
    <row r="3" spans="1:10" x14ac:dyDescent="0.25">
      <c r="A3" s="13">
        <f>'prepa ORTEMS'!O2</f>
        <v>665.71050000000002</v>
      </c>
      <c r="B3" s="16">
        <v>1.2</v>
      </c>
      <c r="C3" s="16">
        <v>1.5</v>
      </c>
      <c r="D3" s="15">
        <f>(A3/7.7)/(365.25/12 * 5/7)/C3</f>
        <v>2.651077842075789</v>
      </c>
      <c r="E3" s="10">
        <v>0.5</v>
      </c>
      <c r="F3" s="10">
        <v>0.55000000000000004</v>
      </c>
      <c r="G3" s="15">
        <f>D3/F3</f>
        <v>4.8201415310468887</v>
      </c>
      <c r="H3" s="17">
        <f>2/12</f>
        <v>0.16666666666666666</v>
      </c>
      <c r="I3" s="14">
        <f>G3*H3</f>
        <v>0.80335692184114804</v>
      </c>
      <c r="J3" s="12">
        <f>B3*(E3+G3+I3)</f>
        <v>7.3481981434656438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6"/>
  <sheetViews>
    <sheetView tabSelected="1" workbookViewId="0">
      <selection activeCell="C6" sqref="C6"/>
    </sheetView>
  </sheetViews>
  <sheetFormatPr baseColWidth="10" defaultRowHeight="15" x14ac:dyDescent="0.25"/>
  <cols>
    <col min="2" max="2" width="13.42578125" customWidth="1"/>
    <col min="23" max="23" width="12.5703125" customWidth="1"/>
    <col min="24" max="24" width="15.85546875" customWidth="1"/>
    <col min="25" max="25" width="13.28515625" customWidth="1"/>
  </cols>
  <sheetData>
    <row r="1" spans="1:50" s="8" customFormat="1" ht="105" customHeight="1" x14ac:dyDescent="0.25">
      <c r="A1" s="6" t="s">
        <v>10</v>
      </c>
      <c r="B1" s="7" t="s">
        <v>11</v>
      </c>
      <c r="C1" s="7" t="s">
        <v>12</v>
      </c>
      <c r="D1" s="7" t="s">
        <v>13</v>
      </c>
      <c r="E1" s="7" t="s">
        <v>14</v>
      </c>
      <c r="F1" s="7" t="s">
        <v>15</v>
      </c>
      <c r="G1" s="7" t="s">
        <v>16</v>
      </c>
      <c r="H1" s="7" t="s">
        <v>17</v>
      </c>
      <c r="I1" s="7" t="s">
        <v>18</v>
      </c>
      <c r="J1" s="7" t="s">
        <v>19</v>
      </c>
      <c r="K1" s="7" t="s">
        <v>20</v>
      </c>
      <c r="L1" s="7" t="s">
        <v>21</v>
      </c>
      <c r="M1" s="7" t="s">
        <v>22</v>
      </c>
      <c r="N1" s="7" t="s">
        <v>23</v>
      </c>
      <c r="O1" s="7" t="s">
        <v>24</v>
      </c>
      <c r="P1" s="7" t="s">
        <v>25</v>
      </c>
      <c r="Q1" s="7" t="s">
        <v>26</v>
      </c>
      <c r="R1" s="7" t="s">
        <v>27</v>
      </c>
      <c r="S1" s="7" t="s">
        <v>28</v>
      </c>
      <c r="T1" s="7" t="s">
        <v>29</v>
      </c>
      <c r="U1" s="7" t="s">
        <v>30</v>
      </c>
      <c r="V1" s="7" t="s">
        <v>31</v>
      </c>
      <c r="W1" s="7" t="s">
        <v>32</v>
      </c>
      <c r="X1" s="7" t="s">
        <v>33</v>
      </c>
      <c r="Y1" s="7" t="s">
        <v>34</v>
      </c>
      <c r="Z1" s="7" t="s">
        <v>35</v>
      </c>
      <c r="AA1" s="7" t="s">
        <v>36</v>
      </c>
      <c r="AB1" s="7" t="s">
        <v>37</v>
      </c>
      <c r="AC1" s="7" t="s">
        <v>38</v>
      </c>
      <c r="AD1" s="7" t="s">
        <v>39</v>
      </c>
      <c r="AE1" s="7" t="s">
        <v>40</v>
      </c>
      <c r="AF1" s="7" t="s">
        <v>41</v>
      </c>
      <c r="AG1" s="7" t="s">
        <v>42</v>
      </c>
      <c r="AH1" s="7" t="s">
        <v>43</v>
      </c>
      <c r="AI1" s="7" t="s">
        <v>44</v>
      </c>
      <c r="AJ1" s="7" t="s">
        <v>45</v>
      </c>
      <c r="AK1" s="7" t="s">
        <v>46</v>
      </c>
      <c r="AL1" s="7" t="s">
        <v>47</v>
      </c>
      <c r="AM1" s="7" t="s">
        <v>48</v>
      </c>
      <c r="AN1" s="7" t="s">
        <v>49</v>
      </c>
      <c r="AO1" s="7" t="s">
        <v>50</v>
      </c>
      <c r="AP1" s="7" t="s">
        <v>51</v>
      </c>
      <c r="AQ1" s="7" t="s">
        <v>52</v>
      </c>
      <c r="AR1" s="7" t="s">
        <v>53</v>
      </c>
      <c r="AS1" s="7" t="s">
        <v>54</v>
      </c>
      <c r="AT1" s="7" t="s">
        <v>55</v>
      </c>
      <c r="AU1" s="7" t="s">
        <v>56</v>
      </c>
      <c r="AV1" s="7" t="s">
        <v>57</v>
      </c>
      <c r="AW1" s="7" t="s">
        <v>58</v>
      </c>
      <c r="AX1" s="7" t="s">
        <v>59</v>
      </c>
    </row>
    <row r="2" spans="1:50" x14ac:dyDescent="0.25">
      <c r="A2" s="2">
        <f>SUM(C2:AX2)</f>
        <v>1578.1500000000003</v>
      </c>
      <c r="B2" s="3">
        <f>Calculs!J3</f>
        <v>7.3481981434656438</v>
      </c>
      <c r="C2" s="4">
        <v>0</v>
      </c>
      <c r="D2" s="4">
        <v>0</v>
      </c>
      <c r="E2" s="4">
        <v>0</v>
      </c>
      <c r="F2" s="4">
        <v>87.15</v>
      </c>
      <c r="G2" s="4">
        <v>14.9625</v>
      </c>
      <c r="H2" s="4">
        <v>134.5575</v>
      </c>
      <c r="I2" s="4">
        <v>0</v>
      </c>
      <c r="J2" s="4">
        <v>6.3000000000000007</v>
      </c>
      <c r="K2" s="4">
        <v>0</v>
      </c>
      <c r="L2" s="4">
        <v>80.850000000000009</v>
      </c>
      <c r="M2" s="4">
        <v>175.96950000000001</v>
      </c>
      <c r="N2" s="4">
        <v>93.87</v>
      </c>
      <c r="O2" s="4">
        <v>665.71050000000002</v>
      </c>
      <c r="P2" s="4">
        <v>4.2</v>
      </c>
      <c r="Q2" s="4">
        <v>0</v>
      </c>
      <c r="R2" s="4">
        <v>0</v>
      </c>
      <c r="S2" s="4">
        <v>0</v>
      </c>
      <c r="T2" s="4">
        <v>0</v>
      </c>
      <c r="U2" s="4">
        <v>105.105</v>
      </c>
      <c r="V2" s="4">
        <v>12.914999999999999</v>
      </c>
      <c r="W2" s="4">
        <v>15.015000000000001</v>
      </c>
      <c r="X2" s="4">
        <v>25.83</v>
      </c>
      <c r="Y2" s="4">
        <v>42.314999999999998</v>
      </c>
      <c r="Z2" s="4">
        <v>29.4</v>
      </c>
      <c r="AA2" s="4">
        <v>0</v>
      </c>
      <c r="AB2" s="4">
        <v>0</v>
      </c>
      <c r="AC2" s="4">
        <v>0</v>
      </c>
      <c r="AD2" s="4">
        <v>3.6749999999999998</v>
      </c>
      <c r="AE2" s="4">
        <v>0</v>
      </c>
      <c r="AF2" s="4">
        <v>5.7750000000000004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27.3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24.15</v>
      </c>
      <c r="AT2" s="4">
        <v>2.1</v>
      </c>
      <c r="AU2" s="4">
        <v>4.2</v>
      </c>
      <c r="AV2" s="4">
        <v>2.1</v>
      </c>
      <c r="AW2" s="4">
        <v>6.3000000000000007</v>
      </c>
      <c r="AX2" s="4">
        <v>8.4</v>
      </c>
    </row>
    <row r="3" spans="1:50" x14ac:dyDescent="0.25">
      <c r="A3" s="5"/>
    </row>
    <row r="6" spans="1:50" ht="33" customHeight="1" x14ac:dyDescent="0.25">
      <c r="B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Calculs</vt:lpstr>
      <vt:lpstr>prepa ORTEMS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DONFUT ANTOINE</dc:creator>
  <cp:lastModifiedBy>DONFUT ANTOINE</cp:lastModifiedBy>
  <dcterms:created xsi:type="dcterms:W3CDTF">2026-02-24T10:06:35Z</dcterms:created>
  <dcterms:modified xsi:type="dcterms:W3CDTF">2026-02-24T11:28:57Z</dcterms:modified>
</cp:coreProperties>
</file>