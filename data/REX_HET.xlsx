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donfut\Desktop\Code\HET_3\data\"/>
    </mc:Choice>
  </mc:AlternateContent>
  <xr:revisionPtr revIDLastSave="0" documentId="13_ncr:1_{9BC8E19D-E8A9-448F-B8FA-21F7A4EE8A9D}" xr6:coauthVersionLast="47" xr6:coauthVersionMax="47" xr10:uidLastSave="{00000000-0000-0000-0000-000000000000}"/>
  <bookViews>
    <workbookView xWindow="-120" yWindow="-120" windowWidth="29040" windowHeight="15840" tabRatio="597" activeTab="1" xr2:uid="{00000000-000D-0000-FFFF-FFFF00000000}"/>
  </bookViews>
  <sheets>
    <sheet name="Projets" sheetId="1" r:id="rId1"/>
    <sheet name="Machines" sheetId="2" r:id="rId2"/>
    <sheet name="Feuil1" sheetId="3" r:id="rId3"/>
    <sheet name="Data" sheetId="4" r:id="rId4"/>
  </sheets>
  <definedNames>
    <definedName name="_xlnm._FilterDatabase" localSheetId="3" hidden="1">Data!$A$1:$D$5253</definedName>
    <definedName name="_xlnm._FilterDatabase" localSheetId="1" hidden="1">Machines!$A$1:$AB$357</definedName>
    <definedName name="_xlnm._FilterDatabase" localSheetId="0" hidden="1">Projets!$A$1:$I$831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1" l="1" a="1"/>
  <c r="M5" i="1" s="1"/>
  <c r="L4" i="1" a="1"/>
  <c r="L5" i="1" s="1"/>
  <c r="AK3" i="1"/>
  <c r="AI3" i="1"/>
  <c r="AC3" i="1"/>
  <c r="AA3" i="1"/>
  <c r="U3" i="1"/>
  <c r="S3" i="1"/>
  <c r="O3" i="1" a="1"/>
  <c r="AJ3" i="1" s="1"/>
  <c r="N3" i="1"/>
  <c r="M3" i="1" a="1"/>
  <c r="M3" i="1"/>
  <c r="L3" i="1"/>
  <c r="R2" i="1"/>
  <c r="P2" i="1"/>
  <c r="N2" i="1"/>
  <c r="M2" i="1" a="1"/>
  <c r="O2" i="1" s="1"/>
  <c r="AB357" i="2" a="1"/>
  <c r="AB357" i="2" s="1"/>
  <c r="Z357" i="2"/>
  <c r="AB356" i="2" a="1"/>
  <c r="AB356" i="2" s="1"/>
  <c r="Z356" i="2"/>
  <c r="AB355" i="2" a="1"/>
  <c r="AB355" i="2" s="1"/>
  <c r="Z355" i="2"/>
  <c r="AB354" i="2" a="1"/>
  <c r="AB354" i="2" s="1"/>
  <c r="Z354" i="2"/>
  <c r="AB353" i="2" a="1"/>
  <c r="AB353" i="2" s="1"/>
  <c r="Z353" i="2"/>
  <c r="AB352" i="2" a="1"/>
  <c r="AB352" i="2" s="1"/>
  <c r="Z352" i="2"/>
  <c r="AB351" i="2" a="1"/>
  <c r="AB351" i="2" s="1"/>
  <c r="Z351" i="2"/>
  <c r="AB350" i="2" a="1"/>
  <c r="AB350" i="2" s="1"/>
  <c r="Z350" i="2"/>
  <c r="AB349" i="2" a="1"/>
  <c r="AB349" i="2" s="1"/>
  <c r="Z349" i="2"/>
  <c r="AB348" i="2" a="1"/>
  <c r="AB348" i="2" s="1"/>
  <c r="Z348" i="2"/>
  <c r="AB347" i="2" a="1"/>
  <c r="AB347" i="2" s="1"/>
  <c r="Z347" i="2"/>
  <c r="AB346" i="2" a="1"/>
  <c r="AB346" i="2" s="1"/>
  <c r="Z346" i="2"/>
  <c r="AB345" i="2" a="1"/>
  <c r="AB345" i="2" s="1"/>
  <c r="Z345" i="2"/>
  <c r="AB344" i="2" a="1"/>
  <c r="AB344" i="2" s="1"/>
  <c r="Z344" i="2"/>
  <c r="AB343" i="2" a="1"/>
  <c r="AB343" i="2" s="1"/>
  <c r="Z343" i="2"/>
  <c r="AB342" i="2" a="1"/>
  <c r="AB342" i="2" s="1"/>
  <c r="Z342" i="2"/>
  <c r="AB341" i="2" a="1"/>
  <c r="AB341" i="2" s="1"/>
  <c r="Z341" i="2"/>
  <c r="AB340" i="2" a="1"/>
  <c r="AB340" i="2" s="1"/>
  <c r="Z340" i="2"/>
  <c r="AB339" i="2" a="1"/>
  <c r="AB339" i="2" s="1"/>
  <c r="Z339" i="2"/>
  <c r="AB338" i="2" a="1"/>
  <c r="AB338" i="2" s="1"/>
  <c r="Z338" i="2"/>
  <c r="AB337" i="2" a="1"/>
  <c r="AB337" i="2" s="1"/>
  <c r="Z337" i="2"/>
  <c r="AB336" i="2" a="1"/>
  <c r="AB336" i="2" s="1"/>
  <c r="Z336" i="2"/>
  <c r="AB335" i="2" a="1"/>
  <c r="AB335" i="2" s="1"/>
  <c r="Z335" i="2"/>
  <c r="AB334" i="2" a="1"/>
  <c r="AB334" i="2" s="1"/>
  <c r="Z334" i="2"/>
  <c r="AB333" i="2" a="1"/>
  <c r="AB333" i="2" s="1"/>
  <c r="Z333" i="2"/>
  <c r="AB332" i="2" a="1"/>
  <c r="AB332" i="2" s="1"/>
  <c r="Z332" i="2"/>
  <c r="AB331" i="2" a="1"/>
  <c r="AB331" i="2" s="1"/>
  <c r="Z331" i="2"/>
  <c r="AB330" i="2" a="1"/>
  <c r="AB330" i="2" s="1"/>
  <c r="Z330" i="2"/>
  <c r="AB329" i="2" a="1"/>
  <c r="AB329" i="2" s="1"/>
  <c r="Z329" i="2"/>
  <c r="AB328" i="2" a="1"/>
  <c r="AB328" i="2" s="1"/>
  <c r="Z328" i="2"/>
  <c r="AB327" i="2" a="1"/>
  <c r="AB327" i="2" s="1"/>
  <c r="Z327" i="2"/>
  <c r="AB326" i="2" a="1"/>
  <c r="AB326" i="2" s="1"/>
  <c r="Z326" i="2"/>
  <c r="AB325" i="2" a="1"/>
  <c r="AB325" i="2" s="1"/>
  <c r="Z325" i="2"/>
  <c r="AB324" i="2" a="1"/>
  <c r="AB324" i="2" s="1"/>
  <c r="Z324" i="2"/>
  <c r="AB323" i="2" a="1"/>
  <c r="AB323" i="2" s="1"/>
  <c r="Z323" i="2"/>
  <c r="AB322" i="2" a="1"/>
  <c r="AB322" i="2" s="1"/>
  <c r="Z322" i="2"/>
  <c r="AB321" i="2" a="1"/>
  <c r="AB321" i="2" s="1"/>
  <c r="Z321" i="2"/>
  <c r="AB320" i="2" a="1"/>
  <c r="AB320" i="2" s="1"/>
  <c r="Z320" i="2"/>
  <c r="AB319" i="2" a="1"/>
  <c r="AB319" i="2" s="1"/>
  <c r="Z319" i="2"/>
  <c r="AB318" i="2" a="1"/>
  <c r="AB318" i="2" s="1"/>
  <c r="Z318" i="2"/>
  <c r="AB317" i="2" a="1"/>
  <c r="AB317" i="2" s="1"/>
  <c r="Z317" i="2"/>
  <c r="AB316" i="2" a="1"/>
  <c r="AB316" i="2" s="1"/>
  <c r="Z316" i="2"/>
  <c r="AB315" i="2" a="1"/>
  <c r="AB315" i="2" s="1"/>
  <c r="Z315" i="2"/>
  <c r="AB314" i="2" a="1"/>
  <c r="AB314" i="2" s="1"/>
  <c r="Z314" i="2"/>
  <c r="AB313" i="2" a="1"/>
  <c r="AB313" i="2" s="1"/>
  <c r="Z313" i="2"/>
  <c r="AB312" i="2" a="1"/>
  <c r="AB312" i="2" s="1"/>
  <c r="Z312" i="2"/>
  <c r="AB311" i="2" a="1"/>
  <c r="AB311" i="2" s="1"/>
  <c r="Z311" i="2"/>
  <c r="AB310" i="2" a="1"/>
  <c r="AB310" i="2" s="1"/>
  <c r="Z310" i="2"/>
  <c r="AB309" i="2" a="1"/>
  <c r="AB309" i="2" s="1"/>
  <c r="Z309" i="2"/>
  <c r="AB308" i="2" a="1"/>
  <c r="AB308" i="2" s="1"/>
  <c r="Z308" i="2"/>
  <c r="AB307" i="2" a="1"/>
  <c r="AB307" i="2" s="1"/>
  <c r="Z307" i="2"/>
  <c r="AB306" i="2" a="1"/>
  <c r="AB306" i="2" s="1"/>
  <c r="Z306" i="2"/>
  <c r="AB305" i="2" a="1"/>
  <c r="AB305" i="2" s="1"/>
  <c r="Z305" i="2"/>
  <c r="AB304" i="2" a="1"/>
  <c r="AB304" i="2" s="1"/>
  <c r="Z304" i="2"/>
  <c r="AB303" i="2" a="1"/>
  <c r="AB303" i="2" s="1"/>
  <c r="Z303" i="2"/>
  <c r="AB302" i="2" a="1"/>
  <c r="AB302" i="2" s="1"/>
  <c r="Z302" i="2"/>
  <c r="AB301" i="2" a="1"/>
  <c r="AB301" i="2" s="1"/>
  <c r="Z301" i="2"/>
  <c r="AB300" i="2" a="1"/>
  <c r="AB300" i="2" s="1"/>
  <c r="Z300" i="2"/>
  <c r="AB299" i="2" a="1"/>
  <c r="AB299" i="2" s="1"/>
  <c r="Z299" i="2"/>
  <c r="AB298" i="2" a="1"/>
  <c r="AB298" i="2" s="1"/>
  <c r="Z298" i="2"/>
  <c r="AB297" i="2" a="1"/>
  <c r="AB297" i="2" s="1"/>
  <c r="Z297" i="2"/>
  <c r="AB296" i="2" a="1"/>
  <c r="AB296" i="2" s="1"/>
  <c r="Z296" i="2"/>
  <c r="AB295" i="2" a="1"/>
  <c r="AB295" i="2" s="1"/>
  <c r="Z295" i="2"/>
  <c r="AB294" i="2" a="1"/>
  <c r="AB294" i="2" s="1"/>
  <c r="Z294" i="2"/>
  <c r="AB293" i="2" a="1"/>
  <c r="AB293" i="2" s="1"/>
  <c r="Z293" i="2"/>
  <c r="AB292" i="2" a="1"/>
  <c r="AB292" i="2" s="1"/>
  <c r="Z292" i="2"/>
  <c r="AB291" i="2" a="1"/>
  <c r="AB291" i="2" s="1"/>
  <c r="Z291" i="2"/>
  <c r="AB290" i="2" a="1"/>
  <c r="AB290" i="2" s="1"/>
  <c r="Z290" i="2"/>
  <c r="AB289" i="2" a="1"/>
  <c r="AB289" i="2" s="1"/>
  <c r="Z289" i="2"/>
  <c r="AB288" i="2" a="1"/>
  <c r="AB288" i="2" s="1"/>
  <c r="Z288" i="2"/>
  <c r="AB287" i="2" a="1"/>
  <c r="AB287" i="2" s="1"/>
  <c r="Z287" i="2"/>
  <c r="AB286" i="2" a="1"/>
  <c r="AB286" i="2" s="1"/>
  <c r="Z286" i="2"/>
  <c r="AB285" i="2" a="1"/>
  <c r="AB285" i="2" s="1"/>
  <c r="Z285" i="2"/>
  <c r="AB284" i="2" a="1"/>
  <c r="AB284" i="2" s="1"/>
  <c r="Z284" i="2"/>
  <c r="AB283" i="2" a="1"/>
  <c r="AB283" i="2" s="1"/>
  <c r="Z283" i="2"/>
  <c r="AB282" i="2" a="1"/>
  <c r="AB282" i="2" s="1"/>
  <c r="Z282" i="2"/>
  <c r="AB281" i="2" a="1"/>
  <c r="AB281" i="2" s="1"/>
  <c r="Z281" i="2"/>
  <c r="AB280" i="2" a="1"/>
  <c r="AB280" i="2" s="1"/>
  <c r="Z280" i="2"/>
  <c r="AB279" i="2" a="1"/>
  <c r="AB279" i="2" s="1"/>
  <c r="Z279" i="2"/>
  <c r="AB278" i="2" a="1"/>
  <c r="AB278" i="2" s="1"/>
  <c r="Z278" i="2"/>
  <c r="AB277" i="2" a="1"/>
  <c r="AB277" i="2" s="1"/>
  <c r="Z277" i="2"/>
  <c r="AB276" i="2" a="1"/>
  <c r="AB276" i="2" s="1"/>
  <c r="Z276" i="2"/>
  <c r="AB275" i="2" a="1"/>
  <c r="AB275" i="2" s="1"/>
  <c r="Z275" i="2"/>
  <c r="AB274" i="2" a="1"/>
  <c r="AB274" i="2" s="1"/>
  <c r="Z274" i="2"/>
  <c r="AB273" i="2" a="1"/>
  <c r="AB273" i="2" s="1"/>
  <c r="Z273" i="2"/>
  <c r="AB272" i="2" a="1"/>
  <c r="AB272" i="2" s="1"/>
  <c r="Z272" i="2"/>
  <c r="AB271" i="2" a="1"/>
  <c r="AB271" i="2" s="1"/>
  <c r="Z271" i="2"/>
  <c r="AB270" i="2" a="1"/>
  <c r="AB270" i="2" s="1"/>
  <c r="Z270" i="2"/>
  <c r="AB269" i="2" a="1"/>
  <c r="AB269" i="2" s="1"/>
  <c r="Z269" i="2"/>
  <c r="AB268" i="2" a="1"/>
  <c r="AB268" i="2" s="1"/>
  <c r="Z268" i="2"/>
  <c r="AB267" i="2" a="1"/>
  <c r="AB267" i="2" s="1"/>
  <c r="Z267" i="2"/>
  <c r="AB266" i="2" a="1"/>
  <c r="AB266" i="2" s="1"/>
  <c r="Z266" i="2"/>
  <c r="AB265" i="2" a="1"/>
  <c r="AB265" i="2" s="1"/>
  <c r="Z265" i="2"/>
  <c r="AB264" i="2" a="1"/>
  <c r="AB264" i="2" s="1"/>
  <c r="Z264" i="2"/>
  <c r="AB263" i="2" a="1"/>
  <c r="AB263" i="2" s="1"/>
  <c r="Z263" i="2"/>
  <c r="AB262" i="2" a="1"/>
  <c r="AB262" i="2" s="1"/>
  <c r="Z262" i="2"/>
  <c r="AB261" i="2" a="1"/>
  <c r="AB261" i="2" s="1"/>
  <c r="Z261" i="2"/>
  <c r="AB260" i="2" a="1"/>
  <c r="AB260" i="2" s="1"/>
  <c r="Z260" i="2"/>
  <c r="AB259" i="2" a="1"/>
  <c r="AB259" i="2" s="1"/>
  <c r="Z259" i="2"/>
  <c r="AB258" i="2" a="1"/>
  <c r="AB258" i="2" s="1"/>
  <c r="Z258" i="2"/>
  <c r="AB257" i="2" a="1"/>
  <c r="AB257" i="2" s="1"/>
  <c r="Z257" i="2"/>
  <c r="AB256" i="2" a="1"/>
  <c r="AB256" i="2" s="1"/>
  <c r="Z256" i="2"/>
  <c r="AB255" i="2" a="1"/>
  <c r="AB255" i="2" s="1"/>
  <c r="Z255" i="2"/>
  <c r="AB254" i="2" a="1"/>
  <c r="AB254" i="2" s="1"/>
  <c r="Z254" i="2"/>
  <c r="AB253" i="2" a="1"/>
  <c r="AB253" i="2" s="1"/>
  <c r="Z253" i="2"/>
  <c r="AB252" i="2" a="1"/>
  <c r="AB252" i="2" s="1"/>
  <c r="Z252" i="2"/>
  <c r="AB251" i="2" a="1"/>
  <c r="AB251" i="2" s="1"/>
  <c r="Z251" i="2"/>
  <c r="AB250" i="2" a="1"/>
  <c r="AB250" i="2" s="1"/>
  <c r="Z250" i="2"/>
  <c r="AB249" i="2" a="1"/>
  <c r="AB249" i="2" s="1"/>
  <c r="Z249" i="2"/>
  <c r="AB248" i="2" a="1"/>
  <c r="AB248" i="2" s="1"/>
  <c r="Z248" i="2"/>
  <c r="AB247" i="2" a="1"/>
  <c r="AB247" i="2"/>
  <c r="Z247" i="2"/>
  <c r="AB246" i="2" a="1"/>
  <c r="AB246" i="2" s="1"/>
  <c r="Z246" i="2"/>
  <c r="AB245" i="2" a="1"/>
  <c r="AB245" i="2" s="1"/>
  <c r="Z245" i="2"/>
  <c r="AB244" i="2" a="1"/>
  <c r="AB244" i="2" s="1"/>
  <c r="Z244" i="2"/>
  <c r="AB243" i="2" a="1"/>
  <c r="AB243" i="2" s="1"/>
  <c r="Z243" i="2"/>
  <c r="AB242" i="2" a="1"/>
  <c r="AB242" i="2" s="1"/>
  <c r="Z242" i="2"/>
  <c r="AB241" i="2" a="1"/>
  <c r="AB241" i="2" s="1"/>
  <c r="Z241" i="2"/>
  <c r="AB240" i="2" a="1"/>
  <c r="AB240" i="2" s="1"/>
  <c r="Z240" i="2"/>
  <c r="AB239" i="2" a="1"/>
  <c r="AB239" i="2" s="1"/>
  <c r="Z239" i="2"/>
  <c r="AB238" i="2" a="1"/>
  <c r="AB238" i="2" s="1"/>
  <c r="Z238" i="2"/>
  <c r="AB237" i="2" a="1"/>
  <c r="AB237" i="2" s="1"/>
  <c r="Z237" i="2"/>
  <c r="AB236" i="2" a="1"/>
  <c r="AB236" i="2" s="1"/>
  <c r="Z236" i="2"/>
  <c r="AB235" i="2" a="1"/>
  <c r="AB235" i="2" s="1"/>
  <c r="Z235" i="2"/>
  <c r="AB234" i="2" a="1"/>
  <c r="AB234" i="2" s="1"/>
  <c r="Z234" i="2"/>
  <c r="AB233" i="2" a="1"/>
  <c r="AB233" i="2" s="1"/>
  <c r="Z233" i="2"/>
  <c r="AB232" i="2" a="1"/>
  <c r="AB232" i="2" s="1"/>
  <c r="Z232" i="2"/>
  <c r="AB231" i="2" a="1"/>
  <c r="AB231" i="2" s="1"/>
  <c r="Z231" i="2"/>
  <c r="AB230" i="2" a="1"/>
  <c r="AB230" i="2" s="1"/>
  <c r="Z230" i="2"/>
  <c r="AB229" i="2" a="1"/>
  <c r="AB229" i="2" s="1"/>
  <c r="Z229" i="2"/>
  <c r="AB228" i="2" a="1"/>
  <c r="AB228" i="2" s="1"/>
  <c r="Z228" i="2"/>
  <c r="AB227" i="2" a="1"/>
  <c r="AB227" i="2" s="1"/>
  <c r="Z227" i="2"/>
  <c r="AB226" i="2" a="1"/>
  <c r="AB226" i="2" s="1"/>
  <c r="Z226" i="2"/>
  <c r="AB225" i="2" a="1"/>
  <c r="AB225" i="2" s="1"/>
  <c r="Z225" i="2"/>
  <c r="AB224" i="2" a="1"/>
  <c r="AB224" i="2" s="1"/>
  <c r="Z224" i="2"/>
  <c r="AB223" i="2" a="1"/>
  <c r="AB223" i="2" s="1"/>
  <c r="Z223" i="2"/>
  <c r="AB222" i="2" a="1"/>
  <c r="AB222" i="2" s="1"/>
  <c r="Z222" i="2"/>
  <c r="AB221" i="2" a="1"/>
  <c r="AB221" i="2" s="1"/>
  <c r="Z221" i="2"/>
  <c r="AB220" i="2" a="1"/>
  <c r="AB220" i="2" s="1"/>
  <c r="Z220" i="2"/>
  <c r="AB219" i="2" a="1"/>
  <c r="AB219" i="2" s="1"/>
  <c r="Z219" i="2"/>
  <c r="AB218" i="2" a="1"/>
  <c r="AB218" i="2" s="1"/>
  <c r="Z218" i="2"/>
  <c r="AB217" i="2" a="1"/>
  <c r="AB217" i="2" s="1"/>
  <c r="Z217" i="2"/>
  <c r="AB216" i="2" a="1"/>
  <c r="AB216" i="2" s="1"/>
  <c r="Z216" i="2"/>
  <c r="AB215" i="2" a="1"/>
  <c r="AB215" i="2" s="1"/>
  <c r="Z215" i="2"/>
  <c r="AB214" i="2" a="1"/>
  <c r="AB214" i="2" s="1"/>
  <c r="Z214" i="2"/>
  <c r="AB213" i="2" a="1"/>
  <c r="AB213" i="2" s="1"/>
  <c r="Z213" i="2"/>
  <c r="AB212" i="2" a="1"/>
  <c r="AB212" i="2" s="1"/>
  <c r="Z212" i="2"/>
  <c r="AB211" i="2" a="1"/>
  <c r="AB211" i="2" s="1"/>
  <c r="Z211" i="2"/>
  <c r="AB210" i="2" a="1"/>
  <c r="AB210" i="2" s="1"/>
  <c r="AB209" i="2" a="1"/>
  <c r="AB209" i="2" s="1"/>
  <c r="Z209" i="2"/>
  <c r="AB208" i="2" a="1"/>
  <c r="AB208" i="2" s="1"/>
  <c r="Z208" i="2"/>
  <c r="AB207" i="2" a="1"/>
  <c r="AB207" i="2" s="1"/>
  <c r="Z207" i="2"/>
  <c r="AB206" i="2" a="1"/>
  <c r="AB206" i="2" s="1"/>
  <c r="Z206" i="2"/>
  <c r="AB205" i="2" a="1"/>
  <c r="AB205" i="2" s="1"/>
  <c r="Z205" i="2"/>
  <c r="AB204" i="2" a="1"/>
  <c r="AB204" i="2" s="1"/>
  <c r="Z204" i="2"/>
  <c r="AB203" i="2" a="1"/>
  <c r="AB203" i="2" s="1"/>
  <c r="Z203" i="2"/>
  <c r="AB202" i="2" a="1"/>
  <c r="AB202" i="2" s="1"/>
  <c r="Z202" i="2"/>
  <c r="AB201" i="2" a="1"/>
  <c r="AB201" i="2" s="1"/>
  <c r="Z201" i="2"/>
  <c r="AB200" i="2" a="1"/>
  <c r="AB200" i="2" s="1"/>
  <c r="Z200" i="2"/>
  <c r="AB199" i="2" a="1"/>
  <c r="AB199" i="2" s="1"/>
  <c r="Z199" i="2"/>
  <c r="AB198" i="2" a="1"/>
  <c r="AB198" i="2" s="1"/>
  <c r="Z198" i="2"/>
  <c r="AB197" i="2" a="1"/>
  <c r="AB197" i="2" s="1"/>
  <c r="Z197" i="2"/>
  <c r="AB196" i="2" a="1"/>
  <c r="AB196" i="2" s="1"/>
  <c r="Z196" i="2"/>
  <c r="AB195" i="2" a="1"/>
  <c r="AB195" i="2" s="1"/>
  <c r="Z195" i="2"/>
  <c r="AB194" i="2" a="1"/>
  <c r="AB194" i="2" s="1"/>
  <c r="Z194" i="2"/>
  <c r="AB193" i="2" a="1"/>
  <c r="AB193" i="2" s="1"/>
  <c r="Z193" i="2"/>
  <c r="AB192" i="2" a="1"/>
  <c r="AB192" i="2" s="1"/>
  <c r="Z192" i="2"/>
  <c r="AB191" i="2" a="1"/>
  <c r="AB191" i="2" s="1"/>
  <c r="Z191" i="2"/>
  <c r="AB190" i="2" a="1"/>
  <c r="AB190" i="2" s="1"/>
  <c r="Z190" i="2"/>
  <c r="AB189" i="2" a="1"/>
  <c r="AB189" i="2" s="1"/>
  <c r="Z189" i="2"/>
  <c r="AB188" i="2" a="1"/>
  <c r="AB188" i="2" s="1"/>
  <c r="Z188" i="2"/>
  <c r="AB187" i="2" a="1"/>
  <c r="AB187" i="2" s="1"/>
  <c r="Z187" i="2"/>
  <c r="AB186" i="2" a="1"/>
  <c r="AB186" i="2" s="1"/>
  <c r="Z186" i="2"/>
  <c r="AB185" i="2" a="1"/>
  <c r="AB185" i="2" s="1"/>
  <c r="Z185" i="2"/>
  <c r="AB184" i="2" a="1"/>
  <c r="AB184" i="2" s="1"/>
  <c r="Z184" i="2"/>
  <c r="AB183" i="2" a="1"/>
  <c r="AB183" i="2" s="1"/>
  <c r="Z183" i="2"/>
  <c r="AB182" i="2" a="1"/>
  <c r="AB182" i="2" s="1"/>
  <c r="Z182" i="2"/>
  <c r="AB181" i="2" a="1"/>
  <c r="AB181" i="2" s="1"/>
  <c r="Z181" i="2"/>
  <c r="AB180" i="2" a="1"/>
  <c r="AB180" i="2" s="1"/>
  <c r="Z180" i="2"/>
  <c r="AB179" i="2" a="1"/>
  <c r="AB179" i="2" s="1"/>
  <c r="Z179" i="2"/>
  <c r="AB178" i="2" a="1"/>
  <c r="AB178" i="2" s="1"/>
  <c r="Z178" i="2"/>
  <c r="AB177" i="2" a="1"/>
  <c r="AB177" i="2" s="1"/>
  <c r="Z177" i="2"/>
  <c r="AB176" i="2" a="1"/>
  <c r="AB176" i="2" s="1"/>
  <c r="Z176" i="2"/>
  <c r="AB175" i="2" a="1"/>
  <c r="AB175" i="2" s="1"/>
  <c r="Z175" i="2"/>
  <c r="AB174" i="2" a="1"/>
  <c r="AB174" i="2"/>
  <c r="Z174" i="2"/>
  <c r="AB173" i="2" a="1"/>
  <c r="AB173" i="2" s="1"/>
  <c r="Z173" i="2"/>
  <c r="AB172" i="2" a="1"/>
  <c r="AB172" i="2" s="1"/>
  <c r="Z172" i="2"/>
  <c r="AB171" i="2" a="1"/>
  <c r="AB171" i="2" s="1"/>
  <c r="Z171" i="2"/>
  <c r="AB170" i="2" a="1"/>
  <c r="AB170" i="2" s="1"/>
  <c r="Z170" i="2"/>
  <c r="AB169" i="2" a="1"/>
  <c r="AB169" i="2" s="1"/>
  <c r="Z169" i="2"/>
  <c r="AB168" i="2" a="1"/>
  <c r="AB168" i="2" s="1"/>
  <c r="Z168" i="2"/>
  <c r="AB167" i="2" a="1"/>
  <c r="AB167" i="2" s="1"/>
  <c r="Z167" i="2"/>
  <c r="AB166" i="2" a="1"/>
  <c r="AB166" i="2" s="1"/>
  <c r="Z166" i="2"/>
  <c r="AB165" i="2" a="1"/>
  <c r="AB165" i="2" s="1"/>
  <c r="Z165" i="2"/>
  <c r="AB164" i="2" a="1"/>
  <c r="AB164" i="2" s="1"/>
  <c r="Z164" i="2"/>
  <c r="AB163" i="2" a="1"/>
  <c r="AB163" i="2" s="1"/>
  <c r="Z163" i="2"/>
  <c r="AB162" i="2" a="1"/>
  <c r="AB162" i="2" s="1"/>
  <c r="Z162" i="2"/>
  <c r="AB161" i="2" a="1"/>
  <c r="AB161" i="2" s="1"/>
  <c r="Z161" i="2"/>
  <c r="AB160" i="2" a="1"/>
  <c r="AB160" i="2" s="1"/>
  <c r="Z160" i="2"/>
  <c r="AB159" i="2" a="1"/>
  <c r="AB159" i="2" s="1"/>
  <c r="Z159" i="2"/>
  <c r="AB158" i="2" a="1"/>
  <c r="AB158" i="2" s="1"/>
  <c r="Z158" i="2"/>
  <c r="AB157" i="2" a="1"/>
  <c r="AB157" i="2" s="1"/>
  <c r="Z157" i="2"/>
  <c r="AB156" i="2" a="1"/>
  <c r="AB156" i="2" s="1"/>
  <c r="Z156" i="2"/>
  <c r="AB155" i="2" a="1"/>
  <c r="AB155" i="2" s="1"/>
  <c r="Z155" i="2"/>
  <c r="AB154" i="2" a="1"/>
  <c r="AB154" i="2" s="1"/>
  <c r="Z154" i="2"/>
  <c r="AB153" i="2" a="1"/>
  <c r="AB153" i="2" s="1"/>
  <c r="Z153" i="2"/>
  <c r="AB152" i="2" a="1"/>
  <c r="AB152" i="2" s="1"/>
  <c r="Z152" i="2"/>
  <c r="AB151" i="2" a="1"/>
  <c r="AB151" i="2" s="1"/>
  <c r="Z151" i="2"/>
  <c r="AB150" i="2" a="1"/>
  <c r="AB150" i="2" s="1"/>
  <c r="Z150" i="2"/>
  <c r="AB149" i="2" a="1"/>
  <c r="AB149" i="2" s="1"/>
  <c r="Z149" i="2"/>
  <c r="AB148" i="2" a="1"/>
  <c r="AB148" i="2" s="1"/>
  <c r="Z148" i="2"/>
  <c r="AB147" i="2" a="1"/>
  <c r="AB147" i="2" s="1"/>
  <c r="Z147" i="2"/>
  <c r="AB146" i="2" a="1"/>
  <c r="AB146" i="2" s="1"/>
  <c r="Z146" i="2"/>
  <c r="AB145" i="2" a="1"/>
  <c r="AB145" i="2" s="1"/>
  <c r="Z145" i="2"/>
  <c r="AB144" i="2" a="1"/>
  <c r="AB144" i="2" s="1"/>
  <c r="Z144" i="2"/>
  <c r="AB143" i="2" a="1"/>
  <c r="AB143" i="2" s="1"/>
  <c r="Z143" i="2"/>
  <c r="AB142" i="2" a="1"/>
  <c r="AB142" i="2" s="1"/>
  <c r="Z142" i="2"/>
  <c r="AB141" i="2" a="1"/>
  <c r="AB141" i="2" s="1"/>
  <c r="Z141" i="2"/>
  <c r="AB140" i="2" a="1"/>
  <c r="AB140" i="2" s="1"/>
  <c r="Z140" i="2"/>
  <c r="AB139" i="2" a="1"/>
  <c r="AB139" i="2" s="1"/>
  <c r="Z139" i="2"/>
  <c r="AB138" i="2" a="1"/>
  <c r="AB138" i="2" s="1"/>
  <c r="Z138" i="2"/>
  <c r="AB137" i="2" a="1"/>
  <c r="AB137" i="2" s="1"/>
  <c r="Z137" i="2"/>
  <c r="AB136" i="2" a="1"/>
  <c r="AB136" i="2" s="1"/>
  <c r="Z136" i="2"/>
  <c r="AB135" i="2" a="1"/>
  <c r="AB135" i="2" s="1"/>
  <c r="Z135" i="2"/>
  <c r="AB134" i="2" a="1"/>
  <c r="AB134" i="2" s="1"/>
  <c r="Z134" i="2"/>
  <c r="AB133" i="2" a="1"/>
  <c r="AB133" i="2" s="1"/>
  <c r="Z133" i="2"/>
  <c r="AB132" i="2" a="1"/>
  <c r="AB132" i="2"/>
  <c r="Z132" i="2"/>
  <c r="AB131" i="2" a="1"/>
  <c r="AB131" i="2" s="1"/>
  <c r="Z131" i="2"/>
  <c r="AB130" i="2" a="1"/>
  <c r="AB130" i="2" s="1"/>
  <c r="Z130" i="2"/>
  <c r="AB129" i="2" a="1"/>
  <c r="AB129" i="2" s="1"/>
  <c r="Z129" i="2"/>
  <c r="AB128" i="2" a="1"/>
  <c r="AB128" i="2" s="1"/>
  <c r="Z128" i="2"/>
  <c r="AB127" i="2" a="1"/>
  <c r="AB127" i="2" s="1"/>
  <c r="Z127" i="2"/>
  <c r="AB126" i="2" a="1"/>
  <c r="AB126" i="2" s="1"/>
  <c r="Z126" i="2"/>
  <c r="AB125" i="2" a="1"/>
  <c r="AB125" i="2" s="1"/>
  <c r="Z125" i="2"/>
  <c r="AB124" i="2" a="1"/>
  <c r="AB124" i="2" s="1"/>
  <c r="Z124" i="2"/>
  <c r="AB123" i="2" a="1"/>
  <c r="AB123" i="2" s="1"/>
  <c r="Z123" i="2"/>
  <c r="AB122" i="2" a="1"/>
  <c r="AB122" i="2" s="1"/>
  <c r="Z122" i="2"/>
  <c r="AB121" i="2" a="1"/>
  <c r="AB121" i="2" s="1"/>
  <c r="Z121" i="2"/>
  <c r="AB120" i="2" a="1"/>
  <c r="AB120" i="2" s="1"/>
  <c r="Z120" i="2"/>
  <c r="AB119" i="2" a="1"/>
  <c r="AB119" i="2" s="1"/>
  <c r="Z119" i="2"/>
  <c r="AB118" i="2" a="1"/>
  <c r="AB118" i="2" s="1"/>
  <c r="Z118" i="2"/>
  <c r="AB117" i="2" a="1"/>
  <c r="AB117" i="2" s="1"/>
  <c r="Z117" i="2"/>
  <c r="AB116" i="2" a="1"/>
  <c r="AB116" i="2" s="1"/>
  <c r="Z116" i="2"/>
  <c r="AB115" i="2" a="1"/>
  <c r="AB115" i="2" s="1"/>
  <c r="Z115" i="2"/>
  <c r="AB114" i="2" a="1"/>
  <c r="AB114" i="2" s="1"/>
  <c r="Z114" i="2"/>
  <c r="AB113" i="2" a="1"/>
  <c r="AB113" i="2" s="1"/>
  <c r="Z113" i="2"/>
  <c r="AB112" i="2" a="1"/>
  <c r="AB112" i="2" s="1"/>
  <c r="Z112" i="2"/>
  <c r="AB111" i="2" a="1"/>
  <c r="AB111" i="2" s="1"/>
  <c r="Z111" i="2"/>
  <c r="AB110" i="2" a="1"/>
  <c r="AB110" i="2" s="1"/>
  <c r="Z110" i="2"/>
  <c r="AB109" i="2" a="1"/>
  <c r="AB109" i="2" s="1"/>
  <c r="Z109" i="2"/>
  <c r="AB108" i="2" a="1"/>
  <c r="AB108" i="2" s="1"/>
  <c r="Z108" i="2"/>
  <c r="AB107" i="2" a="1"/>
  <c r="AB107" i="2" s="1"/>
  <c r="Z107" i="2"/>
  <c r="AB106" i="2" a="1"/>
  <c r="AB106" i="2" s="1"/>
  <c r="Z106" i="2"/>
  <c r="AB105" i="2" a="1"/>
  <c r="AB105" i="2" s="1"/>
  <c r="Z105" i="2"/>
  <c r="AB104" i="2" a="1"/>
  <c r="AB104" i="2" s="1"/>
  <c r="Z104" i="2"/>
  <c r="AB103" i="2" a="1"/>
  <c r="AB103" i="2" s="1"/>
  <c r="Z103" i="2"/>
  <c r="AB102" i="2" a="1"/>
  <c r="AB102" i="2" s="1"/>
  <c r="Z102" i="2"/>
  <c r="AB101" i="2" a="1"/>
  <c r="AB101" i="2" s="1"/>
  <c r="Z101" i="2"/>
  <c r="AB100" i="2" a="1"/>
  <c r="AB100" i="2" s="1"/>
  <c r="Z100" i="2"/>
  <c r="AB99" i="2" a="1"/>
  <c r="AB99" i="2"/>
  <c r="Z99" i="2"/>
  <c r="AB98" i="2" a="1"/>
  <c r="AB98" i="2" s="1"/>
  <c r="Z98" i="2"/>
  <c r="AB97" i="2" a="1"/>
  <c r="AB97" i="2" s="1"/>
  <c r="Z97" i="2"/>
  <c r="AB96" i="2" a="1"/>
  <c r="AB96" i="2" s="1"/>
  <c r="Z96" i="2"/>
  <c r="AB95" i="2" a="1"/>
  <c r="AB95" i="2" s="1"/>
  <c r="Z95" i="2"/>
  <c r="AB94" i="2" a="1"/>
  <c r="AB94" i="2" s="1"/>
  <c r="Z94" i="2"/>
  <c r="AB93" i="2" a="1"/>
  <c r="AB93" i="2" s="1"/>
  <c r="Z93" i="2"/>
  <c r="AB92" i="2" a="1"/>
  <c r="AB92" i="2" s="1"/>
  <c r="Z92" i="2"/>
  <c r="AB91" i="2" a="1"/>
  <c r="AB91" i="2" s="1"/>
  <c r="Z91" i="2"/>
  <c r="AB90" i="2" a="1"/>
  <c r="AB90" i="2" s="1"/>
  <c r="Z90" i="2"/>
  <c r="AB89" i="2" a="1"/>
  <c r="AB89" i="2" s="1"/>
  <c r="Z89" i="2"/>
  <c r="AB88" i="2" a="1"/>
  <c r="AB88" i="2" s="1"/>
  <c r="Z88" i="2"/>
  <c r="AB87" i="2" a="1"/>
  <c r="AB87" i="2" s="1"/>
  <c r="Z87" i="2"/>
  <c r="AB86" i="2" a="1"/>
  <c r="AB86" i="2" s="1"/>
  <c r="Z86" i="2"/>
  <c r="AB85" i="2" a="1"/>
  <c r="AB85" i="2" s="1"/>
  <c r="Z85" i="2"/>
  <c r="AB84" i="2" a="1"/>
  <c r="AB84" i="2" s="1"/>
  <c r="Z84" i="2"/>
  <c r="AB83" i="2" a="1"/>
  <c r="AB83" i="2" s="1"/>
  <c r="Z83" i="2"/>
  <c r="AB82" i="2" a="1"/>
  <c r="AB82" i="2" s="1"/>
  <c r="Z82" i="2"/>
  <c r="AB81" i="2" a="1"/>
  <c r="AB81" i="2" s="1"/>
  <c r="Z81" i="2"/>
  <c r="AB80" i="2" a="1"/>
  <c r="AB80" i="2" s="1"/>
  <c r="Z80" i="2"/>
  <c r="AB79" i="2" a="1"/>
  <c r="AB79" i="2" s="1"/>
  <c r="Z79" i="2"/>
  <c r="AB78" i="2" a="1"/>
  <c r="AB78" i="2" s="1"/>
  <c r="Z78" i="2"/>
  <c r="AB77" i="2" a="1"/>
  <c r="AB77" i="2" s="1"/>
  <c r="Z77" i="2"/>
  <c r="AB76" i="2" a="1"/>
  <c r="AB76" i="2" s="1"/>
  <c r="Z76" i="2"/>
  <c r="AB75" i="2" a="1"/>
  <c r="AB75" i="2" s="1"/>
  <c r="Z75" i="2"/>
  <c r="AB74" i="2" a="1"/>
  <c r="AB74" i="2" s="1"/>
  <c r="Z74" i="2"/>
  <c r="AB73" i="2" a="1"/>
  <c r="AB73" i="2" s="1"/>
  <c r="Z73" i="2"/>
  <c r="AB72" i="2" a="1"/>
  <c r="AB72" i="2" s="1"/>
  <c r="Z72" i="2"/>
  <c r="AB71" i="2" a="1"/>
  <c r="AB71" i="2" s="1"/>
  <c r="Z71" i="2"/>
  <c r="AB70" i="2" a="1"/>
  <c r="AB70" i="2" s="1"/>
  <c r="Z70" i="2"/>
  <c r="AB69" i="2" a="1"/>
  <c r="AB69" i="2" s="1"/>
  <c r="Z69" i="2"/>
  <c r="AB68" i="2" a="1"/>
  <c r="AB68" i="2" s="1"/>
  <c r="Z68" i="2"/>
  <c r="AB67" i="2" a="1"/>
  <c r="AB67" i="2"/>
  <c r="Z67" i="2"/>
  <c r="AB66" i="2" a="1"/>
  <c r="AB66" i="2" s="1"/>
  <c r="Z66" i="2"/>
  <c r="AB65" i="2" a="1"/>
  <c r="AB65" i="2" s="1"/>
  <c r="Z65" i="2"/>
  <c r="AB64" i="2" a="1"/>
  <c r="AB64" i="2" s="1"/>
  <c r="Z64" i="2"/>
  <c r="AB63" i="2" a="1"/>
  <c r="AB63" i="2" s="1"/>
  <c r="Z63" i="2"/>
  <c r="AB62" i="2" a="1"/>
  <c r="AB62" i="2" s="1"/>
  <c r="Z62" i="2"/>
  <c r="AB61" i="2" a="1"/>
  <c r="AB61" i="2" s="1"/>
  <c r="Z61" i="2"/>
  <c r="AB60" i="2" a="1"/>
  <c r="AB60" i="2" s="1"/>
  <c r="Z60" i="2"/>
  <c r="AB59" i="2" a="1"/>
  <c r="AB59" i="2" s="1"/>
  <c r="Z59" i="2"/>
  <c r="AB58" i="2" a="1"/>
  <c r="AB58" i="2" s="1"/>
  <c r="Z58" i="2"/>
  <c r="AB57" i="2" a="1"/>
  <c r="AB57" i="2" s="1"/>
  <c r="Z57" i="2"/>
  <c r="AB56" i="2" a="1"/>
  <c r="AB56" i="2" s="1"/>
  <c r="Z56" i="2"/>
  <c r="AB55" i="2" a="1"/>
  <c r="AB55" i="2" s="1"/>
  <c r="Z55" i="2"/>
  <c r="AB54" i="2" a="1"/>
  <c r="AB54" i="2" s="1"/>
  <c r="Z54" i="2"/>
  <c r="AB53" i="2" a="1"/>
  <c r="AB53" i="2" s="1"/>
  <c r="Z53" i="2"/>
  <c r="AB52" i="2" a="1"/>
  <c r="AB52" i="2" s="1"/>
  <c r="Z52" i="2"/>
  <c r="AB51" i="2" a="1"/>
  <c r="AB51" i="2" s="1"/>
  <c r="Z51" i="2"/>
  <c r="AB50" i="2" a="1"/>
  <c r="AB50" i="2" s="1"/>
  <c r="Z50" i="2"/>
  <c r="AB49" i="2" a="1"/>
  <c r="AB49" i="2" s="1"/>
  <c r="Z49" i="2"/>
  <c r="AB48" i="2" a="1"/>
  <c r="AB48" i="2" s="1"/>
  <c r="Z48" i="2"/>
  <c r="AB47" i="2" a="1"/>
  <c r="AB47" i="2" s="1"/>
  <c r="Z47" i="2"/>
  <c r="AB46" i="2" a="1"/>
  <c r="AB46" i="2" s="1"/>
  <c r="Z46" i="2"/>
  <c r="AB45" i="2" a="1"/>
  <c r="AB45" i="2" s="1"/>
  <c r="Z45" i="2"/>
  <c r="AB44" i="2" a="1"/>
  <c r="AB44" i="2" s="1"/>
  <c r="Z44" i="2"/>
  <c r="AB43" i="2" a="1"/>
  <c r="AB43" i="2" s="1"/>
  <c r="Z43" i="2"/>
  <c r="AB42" i="2" a="1"/>
  <c r="AB42" i="2" s="1"/>
  <c r="Z42" i="2"/>
  <c r="AB41" i="2" a="1"/>
  <c r="AB41" i="2" s="1"/>
  <c r="Z41" i="2"/>
  <c r="AB40" i="2" a="1"/>
  <c r="AB40" i="2" s="1"/>
  <c r="Z40" i="2"/>
  <c r="AB39" i="2" a="1"/>
  <c r="AB39" i="2" s="1"/>
  <c r="Z39" i="2"/>
  <c r="AB38" i="2" a="1"/>
  <c r="AB38" i="2" s="1"/>
  <c r="Z38" i="2"/>
  <c r="AB37" i="2" a="1"/>
  <c r="AB37" i="2" s="1"/>
  <c r="Z37" i="2"/>
  <c r="AB36" i="2" a="1"/>
  <c r="AB36" i="2" s="1"/>
  <c r="Z36" i="2"/>
  <c r="AB35" i="2" a="1"/>
  <c r="AB35" i="2" s="1"/>
  <c r="Z35" i="2"/>
  <c r="AB34" i="2" a="1"/>
  <c r="AB34" i="2" s="1"/>
  <c r="Z34" i="2"/>
  <c r="AB33" i="2" a="1"/>
  <c r="AB33" i="2" s="1"/>
  <c r="Z33" i="2"/>
  <c r="AB32" i="2" a="1"/>
  <c r="AB32" i="2" s="1"/>
  <c r="Z32" i="2"/>
  <c r="AB31" i="2" a="1"/>
  <c r="AB31" i="2" s="1"/>
  <c r="Z31" i="2"/>
  <c r="AB30" i="2" a="1"/>
  <c r="AB30" i="2" s="1"/>
  <c r="Z30" i="2"/>
  <c r="AB29" i="2" a="1"/>
  <c r="AB29" i="2" s="1"/>
  <c r="Z29" i="2"/>
  <c r="AB28" i="2" a="1"/>
  <c r="AB28" i="2" s="1"/>
  <c r="Z28" i="2"/>
  <c r="AB27" i="2" a="1"/>
  <c r="AB27" i="2" s="1"/>
  <c r="Z27" i="2"/>
  <c r="AB26" i="2" a="1"/>
  <c r="AB26" i="2" s="1"/>
  <c r="Z26" i="2"/>
  <c r="AB25" i="2" a="1"/>
  <c r="AB25" i="2" s="1"/>
  <c r="Z25" i="2"/>
  <c r="AB24" i="2" a="1"/>
  <c r="AB24" i="2" s="1"/>
  <c r="Z24" i="2"/>
  <c r="AB23" i="2" a="1"/>
  <c r="AB23" i="2" s="1"/>
  <c r="Z23" i="2"/>
  <c r="AB22" i="2" a="1"/>
  <c r="AB22" i="2" s="1"/>
  <c r="Z22" i="2"/>
  <c r="AB21" i="2" a="1"/>
  <c r="AB21" i="2" s="1"/>
  <c r="Z21" i="2"/>
  <c r="AB20" i="2" a="1"/>
  <c r="AB20" i="2" s="1"/>
  <c r="Z20" i="2"/>
  <c r="AB19" i="2" a="1"/>
  <c r="AB19" i="2" s="1"/>
  <c r="Z19" i="2"/>
  <c r="AB18" i="2" a="1"/>
  <c r="AB18" i="2" s="1"/>
  <c r="Z18" i="2"/>
  <c r="AB17" i="2" a="1"/>
  <c r="AB17" i="2" s="1"/>
  <c r="Z17" i="2"/>
  <c r="AB16" i="2" a="1"/>
  <c r="AB16" i="2" s="1"/>
  <c r="Z16" i="2"/>
  <c r="AB15" i="2" a="1"/>
  <c r="AB15" i="2" s="1"/>
  <c r="Z15" i="2"/>
  <c r="AB14" i="2" a="1"/>
  <c r="AB14" i="2" s="1"/>
  <c r="Z14" i="2"/>
  <c r="AB13" i="2" a="1"/>
  <c r="AB13" i="2" s="1"/>
  <c r="Z13" i="2"/>
  <c r="AB12" i="2" a="1"/>
  <c r="AB12" i="2" s="1"/>
  <c r="Z12" i="2"/>
  <c r="AB11" i="2" a="1"/>
  <c r="AB11" i="2" s="1"/>
  <c r="Z11" i="2"/>
  <c r="AB10" i="2" a="1"/>
  <c r="AB10" i="2" s="1"/>
  <c r="Z10" i="2"/>
  <c r="AB9" i="2" a="1"/>
  <c r="AB9" i="2" s="1"/>
  <c r="Z9" i="2"/>
  <c r="AB8" i="2" a="1"/>
  <c r="AB8" i="2" s="1"/>
  <c r="Z8" i="2"/>
  <c r="AB7" i="2" a="1"/>
  <c r="AB7" i="2" s="1"/>
  <c r="Z7" i="2"/>
  <c r="AB6" i="2" a="1"/>
  <c r="AB6" i="2" s="1"/>
  <c r="Z6" i="2"/>
  <c r="AB5" i="2" a="1"/>
  <c r="AB5" i="2" s="1"/>
  <c r="Z5" i="2"/>
  <c r="AB4" i="2" a="1"/>
  <c r="AB4" i="2" s="1"/>
  <c r="Z4" i="2"/>
  <c r="AB3" i="2" a="1"/>
  <c r="AB3" i="2" s="1"/>
  <c r="Z3" i="2"/>
  <c r="AB2" i="2" a="1"/>
  <c r="AB2" i="2" s="1"/>
  <c r="Z2" i="2"/>
  <c r="O4" i="1" l="1" a="1"/>
  <c r="AJ5" i="1" s="1"/>
  <c r="N4" i="1"/>
  <c r="N5" i="1"/>
  <c r="Q2" i="1"/>
  <c r="O3" i="1"/>
  <c r="V3" i="1"/>
  <c r="AD3" i="1"/>
  <c r="L4" i="1"/>
  <c r="W3" i="1"/>
  <c r="AE3" i="1"/>
  <c r="S2" i="1"/>
  <c r="P3" i="1"/>
  <c r="X3" i="1"/>
  <c r="AF3" i="1"/>
  <c r="M2" i="1"/>
  <c r="T2" i="1"/>
  <c r="Q3" i="1"/>
  <c r="Y3" i="1"/>
  <c r="AG3" i="1"/>
  <c r="M4" i="1"/>
  <c r="R3" i="1"/>
  <c r="Z3" i="1"/>
  <c r="AH3" i="1"/>
  <c r="T3" i="1"/>
  <c r="AB3" i="1"/>
  <c r="AE4" i="1" l="1"/>
  <c r="AG4" i="1"/>
  <c r="AA5" i="1"/>
  <c r="O4" i="1"/>
  <c r="X4" i="1"/>
  <c r="AI5" i="1"/>
  <c r="AJ4" i="1"/>
  <c r="AF5" i="1"/>
  <c r="AH5" i="1"/>
  <c r="AA4" i="1"/>
  <c r="O5" i="1"/>
  <c r="Y5" i="1"/>
  <c r="AI4" i="1"/>
  <c r="W5" i="1"/>
  <c r="Z4" i="1"/>
  <c r="AK5" i="1"/>
  <c r="AE5" i="1"/>
  <c r="AK4" i="1"/>
  <c r="Q4" i="1"/>
  <c r="AH4" i="1"/>
  <c r="AB5" i="1"/>
  <c r="AD5" i="1"/>
  <c r="P4" i="1"/>
  <c r="T4" i="1"/>
  <c r="P5" i="1"/>
  <c r="R5" i="1"/>
  <c r="AB4" i="1"/>
  <c r="V4" i="1"/>
  <c r="X5" i="1"/>
  <c r="AF4" i="1"/>
  <c r="Z5" i="1"/>
  <c r="S4" i="1"/>
  <c r="AD4" i="1"/>
  <c r="Q5" i="1"/>
  <c r="U5" i="1"/>
  <c r="U4" i="1"/>
  <c r="R4" i="1"/>
  <c r="AC5" i="1"/>
  <c r="AC4" i="1"/>
  <c r="AG5" i="1"/>
  <c r="T5" i="1"/>
  <c r="W4" i="1"/>
  <c r="V5" i="1"/>
  <c r="Y4" i="1"/>
  <c r="S5" i="1"/>
</calcChain>
</file>

<file path=xl/sharedStrings.xml><?xml version="1.0" encoding="utf-8"?>
<sst xmlns="http://schemas.openxmlformats.org/spreadsheetml/2006/main" count="20245" uniqueCount="2103">
  <si>
    <t>N° Projet</t>
  </si>
  <si>
    <t>DATE</t>
  </si>
  <si>
    <t>PROJET</t>
  </si>
  <si>
    <t>NUMERO</t>
  </si>
  <si>
    <t>CLIENT</t>
  </si>
  <si>
    <t>CLIENT FINAL</t>
  </si>
  <si>
    <t>DESCRIPTION</t>
  </si>
  <si>
    <t>REFERENCE</t>
  </si>
  <si>
    <t>NB MACHINES</t>
  </si>
  <si>
    <t>MW</t>
  </si>
  <si>
    <t>KV</t>
  </si>
  <si>
    <t>CPHI</t>
  </si>
  <si>
    <t>HZ</t>
  </si>
  <si>
    <t>TR/MIN</t>
  </si>
  <si>
    <t>DAL</t>
  </si>
  <si>
    <t>LFER</t>
  </si>
  <si>
    <t>NB POLES</t>
  </si>
  <si>
    <t>NB ENCOCHES</t>
  </si>
  <si>
    <t>IC</t>
  </si>
  <si>
    <t>IM</t>
  </si>
  <si>
    <t>IP</t>
  </si>
  <si>
    <t>EEX</t>
  </si>
  <si>
    <t>Type produit</t>
  </si>
  <si>
    <t>Produit</t>
  </si>
  <si>
    <t>Type affaire</t>
  </si>
  <si>
    <t>DAS</t>
  </si>
  <si>
    <t>Secteur</t>
  </si>
  <si>
    <t>Heures projet</t>
  </si>
  <si>
    <t>A15045</t>
  </si>
  <si>
    <t>MILLSTONE</t>
  </si>
  <si>
    <t>M10</t>
  </si>
  <si>
    <t>AREVA NP</t>
  </si>
  <si>
    <t>DOMINION NUCLEAR</t>
  </si>
  <si>
    <t>-</t>
  </si>
  <si>
    <t>ASYNCH</t>
  </si>
  <si>
    <t>A15055</t>
  </si>
  <si>
    <t>RRA HONG YAN HE 3</t>
  </si>
  <si>
    <t>SBW</t>
  </si>
  <si>
    <t>CNPE</t>
  </si>
  <si>
    <t>TNC 630 Ax 4</t>
  </si>
  <si>
    <t>EI1491</t>
  </si>
  <si>
    <t>ASYNCH_CAGE</t>
  </si>
  <si>
    <t>A15173</t>
  </si>
  <si>
    <t>RRA HONG YAN HE 4</t>
  </si>
  <si>
    <t>A15243</t>
  </si>
  <si>
    <t>SULZER PUMPS IRAN</t>
  </si>
  <si>
    <t>SULZER PUMPS UK</t>
  </si>
  <si>
    <t>ASSALUYE BANDAR ABBAS</t>
  </si>
  <si>
    <t>JEMAC710TM2_11_50</t>
  </si>
  <si>
    <t>6A1A1</t>
  </si>
  <si>
    <t>A15249</t>
  </si>
  <si>
    <t>PORT HARCOURT</t>
  </si>
  <si>
    <t>CLYDE UNION</t>
  </si>
  <si>
    <t>NIGERIA</t>
  </si>
  <si>
    <t>JEMAC 400 TM2_3.15_50</t>
  </si>
  <si>
    <t>A15305</t>
  </si>
  <si>
    <t>RRA NING DE 3 ET 4</t>
  </si>
  <si>
    <t>CLYDE UNIONS LTD</t>
  </si>
  <si>
    <t>CNPEC</t>
  </si>
  <si>
    <t>56X.EI1373</t>
  </si>
  <si>
    <t>A15369</t>
  </si>
  <si>
    <t>FLOWSERVE MOTEUR SEC</t>
  </si>
  <si>
    <t>FLOW SERVE</t>
  </si>
  <si>
    <t>TAISHAN NUCLEAR POWER</t>
  </si>
  <si>
    <t>JEMAC500TS6_10_50</t>
  </si>
  <si>
    <t>A15371</t>
  </si>
  <si>
    <t>JEMAC 450 ANNABA</t>
  </si>
  <si>
    <t>MITTAL ALGERIE</t>
  </si>
  <si>
    <t>JEMAC 450 AS 4_5.5_50</t>
  </si>
  <si>
    <t>0A1</t>
  </si>
  <si>
    <t>A15427</t>
  </si>
  <si>
    <t>NAMA_CHEMICALS</t>
  </si>
  <si>
    <t>L03</t>
  </si>
  <si>
    <t>JEUMONT ELECTRIC INDIA</t>
  </si>
  <si>
    <t>FLOWSERVE</t>
  </si>
  <si>
    <t>L02</t>
  </si>
  <si>
    <t>NAMA CHEMICALS H355 4P</t>
  </si>
  <si>
    <t>L01</t>
  </si>
  <si>
    <t>NAMA</t>
  </si>
  <si>
    <t>JEMAC355TS4_4_60</t>
  </si>
  <si>
    <t>A15469</t>
  </si>
  <si>
    <t>RRA FANGCHENGGANG UNIT 1</t>
  </si>
  <si>
    <t>A15470</t>
  </si>
  <si>
    <t>RRA YANGJIANG UNIT 3</t>
  </si>
  <si>
    <t>A15486</t>
  </si>
  <si>
    <t>PAQUEBOT H33 - 2 JEMAC500</t>
  </si>
  <si>
    <t>STX FRANCE</t>
  </si>
  <si>
    <t>HAPAG LLOYD</t>
  </si>
  <si>
    <t>JEMAC 500 T S 6-6.6-60</t>
  </si>
  <si>
    <t>A15534</t>
  </si>
  <si>
    <t>PORT HARCOURT 2</t>
  </si>
  <si>
    <t>NNPC</t>
  </si>
  <si>
    <t>JEMAC 400 TM2-3.15-50 dans carcasse HA450</t>
  </si>
  <si>
    <t>A15556</t>
  </si>
  <si>
    <t>ESSAR</t>
  </si>
  <si>
    <t>JE INDIA</t>
  </si>
  <si>
    <t>ESSAR PROJECTS</t>
  </si>
  <si>
    <t>JEMAC 500 TS 12_6.6_50</t>
  </si>
  <si>
    <t>A15766</t>
  </si>
  <si>
    <t>RRA YANGJIANG UNIT 4</t>
  </si>
  <si>
    <t>A15767</t>
  </si>
  <si>
    <t>RRA FANGCHENGGANG UNIT 2</t>
  </si>
  <si>
    <t>A15768</t>
  </si>
  <si>
    <t>SITECH ASYNCHRONE K6501</t>
  </si>
  <si>
    <t>SITECH</t>
  </si>
  <si>
    <t>JEMAC 800TL16</t>
  </si>
  <si>
    <t>N</t>
  </si>
  <si>
    <t>A15780</t>
  </si>
  <si>
    <t>STX MN33 THRUSTER</t>
  </si>
  <si>
    <t>STX</t>
  </si>
  <si>
    <t>MARINE FÃ‰DÃ‰RATION RUSSIE</t>
  </si>
  <si>
    <t>JEMAC 500 AS6_6.6_50</t>
  </si>
  <si>
    <t>A15857</t>
  </si>
  <si>
    <t>JEMAC 560 DEWA</t>
  </si>
  <si>
    <t>DEWA</t>
  </si>
  <si>
    <t>JEMAC 560 TS 12-6.6-50</t>
  </si>
  <si>
    <t>5A1A1</t>
  </si>
  <si>
    <t>A15858</t>
  </si>
  <si>
    <t>RRA FUQING UNIT 3-4</t>
  </si>
  <si>
    <t>CLYDE UNION LTD</t>
  </si>
  <si>
    <t>EI1493</t>
  </si>
  <si>
    <t>A15987</t>
  </si>
  <si>
    <t>TERMOMECCANICA TOMBAK</t>
  </si>
  <si>
    <t>TM.P.SPA TERMOMECCANICA</t>
  </si>
  <si>
    <t>MAPNA</t>
  </si>
  <si>
    <t>A16005</t>
  </si>
  <si>
    <t>MOTEURS JEMAC 400</t>
  </si>
  <si>
    <t>MEKEM MAKINA OTOMASYON</t>
  </si>
  <si>
    <t>MEKEM MAKINA</t>
  </si>
  <si>
    <t>JEMAC 400 TL 4-6-50</t>
  </si>
  <si>
    <t>E</t>
  </si>
  <si>
    <t>A16013</t>
  </si>
  <si>
    <t>TEST BENCH JEI</t>
  </si>
  <si>
    <t>JEUMONT INDIA</t>
  </si>
  <si>
    <t>Moteur d entrainement sur plateforme d'essai</t>
  </si>
  <si>
    <t>A16050</t>
  </si>
  <si>
    <t>JEMAC 710 TL4</t>
  </si>
  <si>
    <t>KARKHEH</t>
  </si>
  <si>
    <t>A16325</t>
  </si>
  <si>
    <t>RRA HAINAN</t>
  </si>
  <si>
    <t>SPX ECOSSE</t>
  </si>
  <si>
    <t>HAINAN CHINE</t>
  </si>
  <si>
    <t>TNC 560-Cy-4</t>
  </si>
  <si>
    <t>A16341</t>
  </si>
  <si>
    <t>RECHANGE TERGA 14P</t>
  </si>
  <si>
    <t>M20</t>
  </si>
  <si>
    <t>ALSTOM</t>
  </si>
  <si>
    <t>JEMAC500TS14_6.6_50</t>
  </si>
  <si>
    <t>56X.EI1463A2</t>
  </si>
  <si>
    <t>RECHANGE TERGA 12P</t>
  </si>
  <si>
    <t>JEMAC500TS12-6.6-50</t>
  </si>
  <si>
    <t>56X.EI1463A1</t>
  </si>
  <si>
    <t>A16380</t>
  </si>
  <si>
    <t>PORT ELISABETH</t>
  </si>
  <si>
    <t>LINDE AG</t>
  </si>
  <si>
    <t>JEMAC 630 RL2-11-50</t>
  </si>
  <si>
    <t>8A1W7</t>
  </si>
  <si>
    <t>A16406</t>
  </si>
  <si>
    <t>JEMAC630TL16 VERTICAL</t>
  </si>
  <si>
    <t>JEMAC630TL16-5.5-50</t>
  </si>
  <si>
    <t>56X.EI1377</t>
  </si>
  <si>
    <t>A16484</t>
  </si>
  <si>
    <t>LINGDONG</t>
  </si>
  <si>
    <t>LING AO</t>
  </si>
  <si>
    <t>CHINE</t>
  </si>
  <si>
    <t>RCV - TNC 630 D4</t>
  </si>
  <si>
    <t>56X.EI1469</t>
  </si>
  <si>
    <t>A16537</t>
  </si>
  <si>
    <t>RCV SPX CU ANNECY</t>
  </si>
  <si>
    <t>SPX CLYDE UNION ANNECY</t>
  </si>
  <si>
    <t>CNPEC YANGJIANG</t>
  </si>
  <si>
    <t>tnc630 d4</t>
  </si>
  <si>
    <t>A16561</t>
  </si>
  <si>
    <t>LINDE TERNI</t>
  </si>
  <si>
    <t>LINDE GAS ITALIA S.R.L.</t>
  </si>
  <si>
    <t>JEMAC900RS4_6_50</t>
  </si>
  <si>
    <t>IC8A1W7</t>
  </si>
  <si>
    <t>A16586</t>
  </si>
  <si>
    <t>SOC IRAK KUFA</t>
  </si>
  <si>
    <t>SOC</t>
  </si>
  <si>
    <t>JEMAC 900TL12-6.6-50</t>
  </si>
  <si>
    <t>A16605</t>
  </si>
  <si>
    <t>RRA   YANGJIANG 5 ET 6</t>
  </si>
  <si>
    <t>CLYDE UNION PUMPS GLASGOW</t>
  </si>
  <si>
    <t>rra - tnc 630 -  ax - 4</t>
  </si>
  <si>
    <t>A16618</t>
  </si>
  <si>
    <t>ITER</t>
  </si>
  <si>
    <t>M30</t>
  </si>
  <si>
    <t>COFELY AXIMA</t>
  </si>
  <si>
    <t>AIR LIQUIDE</t>
  </si>
  <si>
    <t>Jemac 500RL2_6,6_50</t>
  </si>
  <si>
    <t>Jemac 400RXL2_6,6_60</t>
  </si>
  <si>
    <t>Jemac 400RL2_6,6_50</t>
  </si>
  <si>
    <t>A16639</t>
  </si>
  <si>
    <t>I34 BRITTANY FERRIES</t>
  </si>
  <si>
    <t>BRITTANY FERRIES</t>
  </si>
  <si>
    <t>JEMAC1900</t>
  </si>
  <si>
    <t>W37A81</t>
  </si>
  <si>
    <t>A16687</t>
  </si>
  <si>
    <t>SOC IRAK KUFA 2</t>
  </si>
  <si>
    <t>A16586_M10</t>
  </si>
  <si>
    <t>A16719</t>
  </si>
  <si>
    <t>JBEL OUST</t>
  </si>
  <si>
    <t>GROUPE CIMPOR</t>
  </si>
  <si>
    <t>JEMAC 450TS4_5.5_50</t>
  </si>
  <si>
    <t>IA1002_M10</t>
  </si>
  <si>
    <t>A16730</t>
  </si>
  <si>
    <t>NAMA GASCO</t>
  </si>
  <si>
    <t>NAMA DEVELOPMENT ENT</t>
  </si>
  <si>
    <t>GASCO</t>
  </si>
  <si>
    <t>JEMAC 400TS2-3.3-50</t>
  </si>
  <si>
    <t>A16618_M10</t>
  </si>
  <si>
    <t>P</t>
  </si>
  <si>
    <t>A16801</t>
  </si>
  <si>
    <t>MSC STX JEMAC 630</t>
  </si>
  <si>
    <t>STX FRANCE SA</t>
  </si>
  <si>
    <t>MSC</t>
  </si>
  <si>
    <t>JEMAC 630AL10_11_60_V</t>
  </si>
  <si>
    <t>A16857</t>
  </si>
  <si>
    <t>1 JEMAC 900 TS10</t>
  </si>
  <si>
    <t>TERMOMECCANICA SPA</t>
  </si>
  <si>
    <t>PARDIS PETROCHEMICAL CPY</t>
  </si>
  <si>
    <t>JEMAC900TS10-11-50</t>
  </si>
  <si>
    <t>2 JEMAC 710</t>
  </si>
  <si>
    <t>JEMAC710TM12-11-50</t>
  </si>
  <si>
    <t>A16864</t>
  </si>
  <si>
    <t>CEGELEC CASTIGNEAU</t>
  </si>
  <si>
    <t>CEGELEC BASE NAVALE TOULO</t>
  </si>
  <si>
    <t>JEMAC800RL10-10-50</t>
  </si>
  <si>
    <t>A16883</t>
  </si>
  <si>
    <t>RRA-KOEBERG</t>
  </si>
  <si>
    <t>ALTOM POWER SERVICE</t>
  </si>
  <si>
    <t>AREVA</t>
  </si>
  <si>
    <t>TNC 630 AX4</t>
  </si>
  <si>
    <t>A16913</t>
  </si>
  <si>
    <t>ELFOULADH</t>
  </si>
  <si>
    <t>SOCIETE TUNIS SIDERUR</t>
  </si>
  <si>
    <t>IDEM</t>
  </si>
  <si>
    <t>JEMAC500RS4</t>
  </si>
  <si>
    <t>A16959</t>
  </si>
  <si>
    <t>COWATER</t>
  </si>
  <si>
    <t>COWATER INDUSTRY</t>
  </si>
  <si>
    <t>SONEDE</t>
  </si>
  <si>
    <t>JEMAC450AM6-5,5-50</t>
  </si>
  <si>
    <t>A16982</t>
  </si>
  <si>
    <t>MOTEURS MHSI K3</t>
  </si>
  <si>
    <t>JEMAC355RS2-6,6-50</t>
  </si>
  <si>
    <t>A17058</t>
  </si>
  <si>
    <t>RRA NINGDE 3 1 4</t>
  </si>
  <si>
    <t>A17065</t>
  </si>
  <si>
    <t>MEDINA YAMBU</t>
  </si>
  <si>
    <t>ARABIE SAOUDITE</t>
  </si>
  <si>
    <t>SWCC</t>
  </si>
  <si>
    <t>TNCX 710 B10</t>
  </si>
  <si>
    <t>A17090</t>
  </si>
  <si>
    <t>OASIS BELLY</t>
  </si>
  <si>
    <t>OASIS TECHNICAL CORP</t>
  </si>
  <si>
    <t>JEMAC 400TL6_5.5_50</t>
  </si>
  <si>
    <t>JEMAC 450TS6_5.5_50</t>
  </si>
  <si>
    <t>A17254</t>
  </si>
  <si>
    <t>NAMA_GASCO_2</t>
  </si>
  <si>
    <t>JEMAC400TS2 3300V 50Hz</t>
  </si>
  <si>
    <t>A16730_M10</t>
  </si>
  <si>
    <t>A17275</t>
  </si>
  <si>
    <t>SWAM 2</t>
  </si>
  <si>
    <t>SWAM</t>
  </si>
  <si>
    <t>JEMAC 450TM6 770KW</t>
  </si>
  <si>
    <t>A16959_M10</t>
  </si>
  <si>
    <t>JEMAC 355TS4 450KW</t>
  </si>
  <si>
    <t>JEMAC 355TS4 250 KW</t>
  </si>
  <si>
    <t>A17279</t>
  </si>
  <si>
    <t>5 MOTEURS 6?6 KV</t>
  </si>
  <si>
    <t>EDF</t>
  </si>
  <si>
    <t>RNCY 156-70-6</t>
  </si>
  <si>
    <t>A16221_M70</t>
  </si>
  <si>
    <t>A17434</t>
  </si>
  <si>
    <t>TERMIGAS</t>
  </si>
  <si>
    <t>JOHNSON CONTROL INDUSTRIE</t>
  </si>
  <si>
    <t>JEMAC500RL4-10.5-50</t>
  </si>
  <si>
    <t>JEMAC500TL4-10.5-50</t>
  </si>
  <si>
    <t>A17496</t>
  </si>
  <si>
    <t>GHDIR EL GHOLA TR2</t>
  </si>
  <si>
    <t>JEMAC 355 AL 6-5.5-50</t>
  </si>
  <si>
    <t>COWATER 2</t>
  </si>
  <si>
    <t>JEMAC 450 A M 6-5.5-50</t>
  </si>
  <si>
    <t>A17559</t>
  </si>
  <si>
    <t>PUMPIRAN</t>
  </si>
  <si>
    <t>KALAJOO FZC</t>
  </si>
  <si>
    <t>PUMP IRAN</t>
  </si>
  <si>
    <t>JEMAC 400 TS6</t>
  </si>
  <si>
    <t>A17496_M10</t>
  </si>
  <si>
    <t>A17575</t>
  </si>
  <si>
    <t>AIN SOKHNA EGYPTE</t>
  </si>
  <si>
    <t>TERMOMECCANICA</t>
  </si>
  <si>
    <t>NCIC</t>
  </si>
  <si>
    <t>JEMAC560TS10</t>
  </si>
  <si>
    <t>X16861_M20</t>
  </si>
  <si>
    <t>A17627</t>
  </si>
  <si>
    <t>HYOSUNG SHIRAZ</t>
  </si>
  <si>
    <t>HYOSUNG</t>
  </si>
  <si>
    <t>ZOLAL SHIRAZ PUMPING</t>
  </si>
  <si>
    <t>JEMAB 630 TSH 4-6,3-50</t>
  </si>
  <si>
    <t>ASYNCH_BAGUES</t>
  </si>
  <si>
    <t>A17656</t>
  </si>
  <si>
    <t>MERI_KARKER</t>
  </si>
  <si>
    <t>MERI</t>
  </si>
  <si>
    <t>JEMAC500TS4 690V 50Hz</t>
  </si>
  <si>
    <t>A17434_M10</t>
  </si>
  <si>
    <t>A17689</t>
  </si>
  <si>
    <t>SENELEC</t>
  </si>
  <si>
    <t>CASSIS EQUIPEMENT</t>
  </si>
  <si>
    <t>JEMAC355AS8</t>
  </si>
  <si>
    <t>A17698</t>
  </si>
  <si>
    <t>QATARGAS</t>
  </si>
  <si>
    <t>TSCX 900 D 4</t>
  </si>
  <si>
    <t>A17706</t>
  </si>
  <si>
    <t>CIMAR</t>
  </si>
  <si>
    <t>CIMENTS DU MAROC</t>
  </si>
  <si>
    <t>JEMAC 500TS8_0.69_50_H_R</t>
  </si>
  <si>
    <t>A17708</t>
  </si>
  <si>
    <t>AIN SOKHNA</t>
  </si>
  <si>
    <t>EL-NASR</t>
  </si>
  <si>
    <t>JEMAC400TL2</t>
  </si>
  <si>
    <t>GAMME JEMAC 355-450</t>
  </si>
  <si>
    <t>A17797</t>
  </si>
  <si>
    <t>PDO OMAN</t>
  </si>
  <si>
    <t>AMRAN ESTABLISHEMENT LLC</t>
  </si>
  <si>
    <t>PDO LLC</t>
  </si>
  <si>
    <t>JEMAC630TL2</t>
  </si>
  <si>
    <t>A16380_M10</t>
  </si>
  <si>
    <t>1A1A1</t>
  </si>
  <si>
    <t>A17872</t>
  </si>
  <si>
    <t>ASTEMARA</t>
  </si>
  <si>
    <t>ASMENT TEMARA</t>
  </si>
  <si>
    <t>JEMAB710TS8</t>
  </si>
  <si>
    <t>A17901</t>
  </si>
  <si>
    <t>OCP MAROC</t>
  </si>
  <si>
    <t>OCP</t>
  </si>
  <si>
    <t>TNCY180-109-12</t>
  </si>
  <si>
    <t>A17935</t>
  </si>
  <si>
    <t>PETCO-ABADAN</t>
  </si>
  <si>
    <t>M40</t>
  </si>
  <si>
    <t>IDCC</t>
  </si>
  <si>
    <t>PETCO</t>
  </si>
  <si>
    <t>JEMAC560TS4</t>
  </si>
  <si>
    <t>JEMAC500TS4</t>
  </si>
  <si>
    <t>JEMAC450TL2</t>
  </si>
  <si>
    <t>A17947</t>
  </si>
  <si>
    <t>TIGF</t>
  </si>
  <si>
    <t>JEMAC1120RS14</t>
  </si>
  <si>
    <t>A17999</t>
  </si>
  <si>
    <t>TARA STEEL</t>
  </si>
  <si>
    <t>MOBARAKEH STEEL</t>
  </si>
  <si>
    <t>JEMAB1120TS8</t>
  </si>
  <si>
    <t>A18000</t>
  </si>
  <si>
    <t>JEMAC560TL6</t>
  </si>
  <si>
    <t>A18055</t>
  </si>
  <si>
    <t>FARABARD SHIRAZ</t>
  </si>
  <si>
    <t>JEMAC500TS8</t>
  </si>
  <si>
    <t>A18082</t>
  </si>
  <si>
    <t>A17935_M30</t>
  </si>
  <si>
    <t>A18101</t>
  </si>
  <si>
    <t>CEMINDO</t>
  </si>
  <si>
    <t>FCB</t>
  </si>
  <si>
    <t>JEMAC560TM12</t>
  </si>
  <si>
    <t>FIVES FCB</t>
  </si>
  <si>
    <t>A18111</t>
  </si>
  <si>
    <t>YANBU</t>
  </si>
  <si>
    <t>TNCY900B14</t>
  </si>
  <si>
    <t>A18143</t>
  </si>
  <si>
    <t>JORF LASFAR</t>
  </si>
  <si>
    <t>JEMAC500TM2</t>
  </si>
  <si>
    <t>A18152</t>
  </si>
  <si>
    <t>TENGUIZ TPCB</t>
  </si>
  <si>
    <t>LFF</t>
  </si>
  <si>
    <t>TCO</t>
  </si>
  <si>
    <t>TPCB 710 Y 2</t>
  </si>
  <si>
    <t>A16054 M10</t>
  </si>
  <si>
    <t>TPCB 800 B 4</t>
  </si>
  <si>
    <t>A16136</t>
  </si>
  <si>
    <t>A18154</t>
  </si>
  <si>
    <t>HENGHAM</t>
  </si>
  <si>
    <t>M60</t>
  </si>
  <si>
    <t>AEROMECCANICA</t>
  </si>
  <si>
    <t>PIDEMCO</t>
  </si>
  <si>
    <t>JEMAC355TS2</t>
  </si>
  <si>
    <t>M50</t>
  </si>
  <si>
    <t>JEMAC450TS6</t>
  </si>
  <si>
    <t>JEMAC500TM6</t>
  </si>
  <si>
    <t>JEMAC560TL2</t>
  </si>
  <si>
    <t>JEMAC630TL6</t>
  </si>
  <si>
    <t>JEMAC710TL6</t>
  </si>
  <si>
    <t>A18180</t>
  </si>
  <si>
    <t>KSB RADES</t>
  </si>
  <si>
    <t>KSB</t>
  </si>
  <si>
    <t>STEG RADES</t>
  </si>
  <si>
    <t>JEMAC355TS4</t>
  </si>
  <si>
    <t>A18197</t>
  </si>
  <si>
    <t>BATON BASSE-CHUTE</t>
  </si>
  <si>
    <t>JEM</t>
  </si>
  <si>
    <t>HYDROSTADIUM EDF</t>
  </si>
  <si>
    <t>JEGAC400AS6</t>
  </si>
  <si>
    <t>A18250</t>
  </si>
  <si>
    <t>LG CHEM COREE</t>
  </si>
  <si>
    <t>LG CHEM</t>
  </si>
  <si>
    <t>RPC 182-56-20</t>
  </si>
  <si>
    <t>A18303</t>
  </si>
  <si>
    <t>BOUREGREG</t>
  </si>
  <si>
    <t>CEGELEC ACTEMIUM</t>
  </si>
  <si>
    <t>HNC 140-80-6</t>
  </si>
  <si>
    <t>JEMAC560RS6</t>
  </si>
  <si>
    <t>A18375</t>
  </si>
  <si>
    <t>WASCO</t>
  </si>
  <si>
    <t>KV MATERIAL</t>
  </si>
  <si>
    <t>JEMAC560RS4-6.6-50</t>
  </si>
  <si>
    <t>A18303_M10</t>
  </si>
  <si>
    <t>JEMAC500RL4-6.6-50</t>
  </si>
  <si>
    <t>A18386</t>
  </si>
  <si>
    <t>KSB - COTE D IVOIRE</t>
  </si>
  <si>
    <t>VEOLIA</t>
  </si>
  <si>
    <t>JEMAC450TM4</t>
  </si>
  <si>
    <t>A18415</t>
  </si>
  <si>
    <t>THRUSTER MSC VISTA</t>
  </si>
  <si>
    <t>JEMAC 630 A L 10-11-60</t>
  </si>
  <si>
    <t>A16801_M10</t>
  </si>
  <si>
    <t>A18426</t>
  </si>
  <si>
    <t>MFM MOGAS</t>
  </si>
  <si>
    <t>PARCO</t>
  </si>
  <si>
    <t>JEMAC400TS2_6_50</t>
  </si>
  <si>
    <t>A18442</t>
  </si>
  <si>
    <t>FOSSE_EQUILIBRAGE</t>
  </si>
  <si>
    <t>JEF</t>
  </si>
  <si>
    <t>JEMAC560AL4</t>
  </si>
  <si>
    <t>56X.EXM019</t>
  </si>
  <si>
    <t>0A6</t>
  </si>
  <si>
    <t>A18540</t>
  </si>
  <si>
    <t>KSB RUSSIE</t>
  </si>
  <si>
    <t>NIZHNEKAMSK</t>
  </si>
  <si>
    <t>JEMAC450TS2</t>
  </si>
  <si>
    <t>A17935_M10</t>
  </si>
  <si>
    <t>A18541</t>
  </si>
  <si>
    <t>JEMAC630TL12</t>
  </si>
  <si>
    <t>A18583</t>
  </si>
  <si>
    <t>KSB LAYYAH</t>
  </si>
  <si>
    <t>SHARJAHELECTRICITY &amp;WATER</t>
  </si>
  <si>
    <t>JEMAC900TL16</t>
  </si>
  <si>
    <t>A18662</t>
  </si>
  <si>
    <t>RED METAL ZAMBIE</t>
  </si>
  <si>
    <t>RMM</t>
  </si>
  <si>
    <t>JEMAC560TS8</t>
  </si>
  <si>
    <t>A18694</t>
  </si>
  <si>
    <t>SULZER LAYYAH</t>
  </si>
  <si>
    <t>SULZER</t>
  </si>
  <si>
    <t>SHARJAH UAE</t>
  </si>
  <si>
    <t>JEMAC355TS6</t>
  </si>
  <si>
    <t>A18709</t>
  </si>
  <si>
    <t>TMP TOMBAK</t>
  </si>
  <si>
    <t>NATIONAL IRANIAN OIL COMP</t>
  </si>
  <si>
    <t>A18720</t>
  </si>
  <si>
    <t>DAMAVAND</t>
  </si>
  <si>
    <t>ELEKTROSERVE</t>
  </si>
  <si>
    <t>JEMAC560_TL8_6_50</t>
  </si>
  <si>
    <t>A18721</t>
  </si>
  <si>
    <t>GPM-GMBH</t>
  </si>
  <si>
    <t>GPM</t>
  </si>
  <si>
    <t>JEMAC355_TS2_6.6_50</t>
  </si>
  <si>
    <t>A18730</t>
  </si>
  <si>
    <t>EQIOM JEMAB630TL6</t>
  </si>
  <si>
    <t>EQIOM</t>
  </si>
  <si>
    <t>JEMAB 630 TL6 2800Kw 5.5 kV 50Hz</t>
  </si>
  <si>
    <t>A17872_M10</t>
  </si>
  <si>
    <t>A18758</t>
  </si>
  <si>
    <t>ADCO ASAB</t>
  </si>
  <si>
    <t>ADNOC</t>
  </si>
  <si>
    <t>JEMAC710TL2</t>
  </si>
  <si>
    <t>A18766</t>
  </si>
  <si>
    <t>ELE_YAN</t>
  </si>
  <si>
    <t>MEDINA YANBU</t>
  </si>
  <si>
    <t>TNCY 152-112-12</t>
  </si>
  <si>
    <t>A18770</t>
  </si>
  <si>
    <t>FLOT LOG</t>
  </si>
  <si>
    <t>CHANTIERS DE LATLANTIQUE</t>
  </si>
  <si>
    <t>OCCAR</t>
  </si>
  <si>
    <t>JEMAC560TL8</t>
  </si>
  <si>
    <t>A18662_M10</t>
  </si>
  <si>
    <t>A18776</t>
  </si>
  <si>
    <t>JEMAC500TM4</t>
  </si>
  <si>
    <t>A18779</t>
  </si>
  <si>
    <t>ADISH</t>
  </si>
  <si>
    <t>ROODHART MENA DWC LLC</t>
  </si>
  <si>
    <t>INCONNU</t>
  </si>
  <si>
    <t>JEMAC450TS4</t>
  </si>
  <si>
    <t>JEMAC355TM4</t>
  </si>
  <si>
    <t>A18784</t>
  </si>
  <si>
    <t>DERICHEBOURG</t>
  </si>
  <si>
    <t>JEMAC630TL10</t>
  </si>
  <si>
    <t>A18809</t>
  </si>
  <si>
    <t>BANGALORE TEST BENCH</t>
  </si>
  <si>
    <t>ABB</t>
  </si>
  <si>
    <t>entrainement turbo de choc</t>
  </si>
  <si>
    <t>A18863</t>
  </si>
  <si>
    <t>TNCY 710L4 ZAKUM</t>
  </si>
  <si>
    <t>ADNOC ZAKUM</t>
  </si>
  <si>
    <t>TNCY 710 L4</t>
  </si>
  <si>
    <t>A18917</t>
  </si>
  <si>
    <t>RUMAILA BFP</t>
  </si>
  <si>
    <t>SULZER GERMANY</t>
  </si>
  <si>
    <t>CCPP IRAQ</t>
  </si>
  <si>
    <t>A18926</t>
  </si>
  <si>
    <t>RUMAILA CEP</t>
  </si>
  <si>
    <t>SULZER PUMPS SPAIN</t>
  </si>
  <si>
    <t>JEMAC400TS4</t>
  </si>
  <si>
    <t>A19031</t>
  </si>
  <si>
    <t>WEIR ADNOC</t>
  </si>
  <si>
    <t>A19035</t>
  </si>
  <si>
    <t>PERENCO</t>
  </si>
  <si>
    <t>PERENCO RIO DEL REY</t>
  </si>
  <si>
    <t>JEMAC630TXS6</t>
  </si>
  <si>
    <t>A19051</t>
  </si>
  <si>
    <t>APOLLO</t>
  </si>
  <si>
    <t>UAE</t>
  </si>
  <si>
    <t>A18694_M10</t>
  </si>
  <si>
    <t>A19085</t>
  </si>
  <si>
    <t>SOCOOPEC</t>
  </si>
  <si>
    <t>SOCCOPEC</t>
  </si>
  <si>
    <t>A18720_M10</t>
  </si>
  <si>
    <t>A19099</t>
  </si>
  <si>
    <t>LYONDELL BASELL</t>
  </si>
  <si>
    <t>JEMAC500RM4</t>
  </si>
  <si>
    <t>A19104</t>
  </si>
  <si>
    <t>CARTHAGE CEMENT</t>
  </si>
  <si>
    <t>JEMAC400TL6</t>
  </si>
  <si>
    <t>A19135</t>
  </si>
  <si>
    <t>TUI THRUSTERS</t>
  </si>
  <si>
    <t>FINCANTIERI</t>
  </si>
  <si>
    <t>JEMAC630RL10</t>
  </si>
  <si>
    <t>A19180</t>
  </si>
  <si>
    <t>ADNOC_OFFSHORE</t>
  </si>
  <si>
    <t>ADNOC OFFSHORE</t>
  </si>
  <si>
    <t>TNCY710L4</t>
  </si>
  <si>
    <t>A19239</t>
  </si>
  <si>
    <t>VOTORANTIM</t>
  </si>
  <si>
    <t>JEMAB630TS6</t>
  </si>
  <si>
    <t>A 17872_M10</t>
  </si>
  <si>
    <t>A19335</t>
  </si>
  <si>
    <t>ABB ALLH</t>
  </si>
  <si>
    <t>RNCC 560 LC4/6</t>
  </si>
  <si>
    <t>A19385</t>
  </si>
  <si>
    <t>DERICHEBOURG_2</t>
  </si>
  <si>
    <t>JEMAB800TL10</t>
  </si>
  <si>
    <t>A19396</t>
  </si>
  <si>
    <t>TATA STEEL NETHERLANDS</t>
  </si>
  <si>
    <t>TATA STEEL</t>
  </si>
  <si>
    <t>JEMAC560RS4_6_50</t>
  </si>
  <si>
    <t>A19475</t>
  </si>
  <si>
    <t>AL-RICHEMONT</t>
  </si>
  <si>
    <t>JEMAC710RS14</t>
  </si>
  <si>
    <t>A19603</t>
  </si>
  <si>
    <t>ACTEMIUM-AL</t>
  </si>
  <si>
    <t>ACTEMIUM</t>
  </si>
  <si>
    <t>JEMAC450TM6</t>
  </si>
  <si>
    <t>A19682</t>
  </si>
  <si>
    <t>RED METAL</t>
  </si>
  <si>
    <t>RED METAL MINING</t>
  </si>
  <si>
    <t>JEMAC450RS4</t>
  </si>
  <si>
    <t>A19711</t>
  </si>
  <si>
    <t>ADNOC-OFFSHORE</t>
  </si>
  <si>
    <t>A18863_M10</t>
  </si>
  <si>
    <t>A19724</t>
  </si>
  <si>
    <t>RUMAILA-CEP</t>
  </si>
  <si>
    <t>SULZER-PUMPS-SPAIN</t>
  </si>
  <si>
    <t>JEMAC400TS4-6.6-50</t>
  </si>
  <si>
    <t>A18926_M10</t>
  </si>
  <si>
    <t>A19726</t>
  </si>
  <si>
    <t>RUMAILA-BFP</t>
  </si>
  <si>
    <t>SULZER PUMPS GERMANY</t>
  </si>
  <si>
    <t>JEMAC450TL2-6.6-50</t>
  </si>
  <si>
    <t>A18917_M10</t>
  </si>
  <si>
    <t>A19747</t>
  </si>
  <si>
    <t>BIC</t>
  </si>
  <si>
    <t>SAS RAYONIER</t>
  </si>
  <si>
    <t>JEMAB560TS6</t>
  </si>
  <si>
    <t>A19239_M10</t>
  </si>
  <si>
    <t>A19777</t>
  </si>
  <si>
    <t>BRL</t>
  </si>
  <si>
    <t>BRL EXPLOITATION</t>
  </si>
  <si>
    <t>JEMAC560AXS6</t>
  </si>
  <si>
    <t>A19840</t>
  </si>
  <si>
    <t>ACTEMIUM UNIPER</t>
  </si>
  <si>
    <t>UNIPER</t>
  </si>
  <si>
    <t>A19986</t>
  </si>
  <si>
    <t>TARNOS-AL</t>
  </si>
  <si>
    <t>RNCC630LC4</t>
  </si>
  <si>
    <t>A18375_M20</t>
  </si>
  <si>
    <t>A20002</t>
  </si>
  <si>
    <t>A18784_M10</t>
  </si>
  <si>
    <t>A20063</t>
  </si>
  <si>
    <t>DANISCO</t>
  </si>
  <si>
    <t>DANISCO FRANCE</t>
  </si>
  <si>
    <t>A19682_M10</t>
  </si>
  <si>
    <t>A20245</t>
  </si>
  <si>
    <t>JEMAC400TM4</t>
  </si>
  <si>
    <t>A20872</t>
  </si>
  <si>
    <t>RASGAZ 3</t>
  </si>
  <si>
    <t>QATARENERGY LNG</t>
  </si>
  <si>
    <t>TPCB-710-Z-2</t>
  </si>
  <si>
    <t>A18152_M20</t>
  </si>
  <si>
    <t>AN17279</t>
  </si>
  <si>
    <t>5 MOTEURS RECHANGES EDF</t>
  </si>
  <si>
    <t>TNC 560 B4</t>
  </si>
  <si>
    <t>I</t>
  </si>
  <si>
    <t>TNCY 500 A4</t>
  </si>
  <si>
    <t>RNC 166-112-6</t>
  </si>
  <si>
    <t>5 MOTEURS RECHANHE EDF</t>
  </si>
  <si>
    <t>RNCY 78-44-4</t>
  </si>
  <si>
    <t>A154477 M30</t>
  </si>
  <si>
    <t>AN17361</t>
  </si>
  <si>
    <t>ND SULZER</t>
  </si>
  <si>
    <t>JEMAC 500</t>
  </si>
  <si>
    <t>AN17488</t>
  </si>
  <si>
    <t>RRA-TIANWAN 5-6</t>
  </si>
  <si>
    <t>SPX FLOW GLASGOW</t>
  </si>
  <si>
    <t>AN17578</t>
  </si>
  <si>
    <t>RRA DALIAN LHNP</t>
  </si>
  <si>
    <t>LIAONING HONGYANHE</t>
  </si>
  <si>
    <t>AN17621</t>
  </si>
  <si>
    <t>KSB UK RCV</t>
  </si>
  <si>
    <t>JEMAC 450</t>
  </si>
  <si>
    <t>A17254_M10</t>
  </si>
  <si>
    <t>AN17737</t>
  </si>
  <si>
    <t>MOTEUR AAD</t>
  </si>
  <si>
    <t>SPXFLOW GLASGOW</t>
  </si>
  <si>
    <t>EDF UK</t>
  </si>
  <si>
    <t>JEMAC 560 RM2-10-50</t>
  </si>
  <si>
    <t>X17500</t>
  </si>
  <si>
    <t>AN17754</t>
  </si>
  <si>
    <t>EPR TAISHAN - MOTEUR SEC</t>
  </si>
  <si>
    <t>FLOWSERVE POMPES SAS</t>
  </si>
  <si>
    <t>Jemac 500 ts 6</t>
  </si>
  <si>
    <t>AN17796</t>
  </si>
  <si>
    <t>12 MOTEURS EDF</t>
  </si>
  <si>
    <t>EDF UTO</t>
  </si>
  <si>
    <t>RNCY 99,5-62-4</t>
  </si>
  <si>
    <t>A16083</t>
  </si>
  <si>
    <t>TNCY 140-80-6</t>
  </si>
  <si>
    <t>A15168A2</t>
  </si>
  <si>
    <t>TNCY 140_70_6</t>
  </si>
  <si>
    <t>A15168A1</t>
  </si>
  <si>
    <t>RNCY 166-112-6</t>
  </si>
  <si>
    <t>an17279</t>
  </si>
  <si>
    <t>AN17884</t>
  </si>
  <si>
    <t>6 MOTEURS AERZEN</t>
  </si>
  <si>
    <t>AERSEN</t>
  </si>
  <si>
    <t>CNPDC</t>
  </si>
  <si>
    <t>JEMAC 400 RS6-10-50</t>
  </si>
  <si>
    <t>5I0000</t>
  </si>
  <si>
    <t>AN18240</t>
  </si>
  <si>
    <t>HPC SEN</t>
  </si>
  <si>
    <t>WEIR</t>
  </si>
  <si>
    <t>NNB</t>
  </si>
  <si>
    <t>JEMAC 560 TL10-10-50</t>
  </si>
  <si>
    <t>HPC SEC</t>
  </si>
  <si>
    <t>JEMAC 560 TM8-10-50</t>
  </si>
  <si>
    <t>AN18287</t>
  </si>
  <si>
    <t>FUJIAN FUQING 3 - 4</t>
  </si>
  <si>
    <t>CNEIC</t>
  </si>
  <si>
    <t>FQNPC</t>
  </si>
  <si>
    <t>AN18315</t>
  </si>
  <si>
    <t>YANGJIANG</t>
  </si>
  <si>
    <t>CGN / YJNPC</t>
  </si>
  <si>
    <t>an18287</t>
  </si>
  <si>
    <t>TNC 630 D4</t>
  </si>
  <si>
    <t>AN18383</t>
  </si>
  <si>
    <t>RRI</t>
  </si>
  <si>
    <t>SPX CLYDE UNION</t>
  </si>
  <si>
    <t>EPR UK</t>
  </si>
  <si>
    <t>JEMAC 450 RL4-10-50</t>
  </si>
  <si>
    <t>ASG</t>
  </si>
  <si>
    <t>JEMAC 450 RS2-10-50</t>
  </si>
  <si>
    <t>AN19119</t>
  </si>
  <si>
    <t>7 MOTEURS DE RECHANGE EDF</t>
  </si>
  <si>
    <t>M70</t>
  </si>
  <si>
    <t>TNCY 630 C6</t>
  </si>
  <si>
    <t>A15477 M20</t>
  </si>
  <si>
    <t>TNCY 630 A6</t>
  </si>
  <si>
    <t>TNCY 560 D6</t>
  </si>
  <si>
    <t>A15477 M60</t>
  </si>
  <si>
    <t>TNC 630 C4</t>
  </si>
  <si>
    <t>A15607 M20</t>
  </si>
  <si>
    <t>TNC 630 A4</t>
  </si>
  <si>
    <t>A15607 M30</t>
  </si>
  <si>
    <t>TNC 500 C4</t>
  </si>
  <si>
    <t>A15168A3</t>
  </si>
  <si>
    <t>MOTEUR DE RECHANGE EDF</t>
  </si>
  <si>
    <t>TNC 630 AX4 - RRA</t>
  </si>
  <si>
    <t>AN20093</t>
  </si>
  <si>
    <t>MOTEUR DE RECHANGE RRA</t>
  </si>
  <si>
    <t>AN20126</t>
  </si>
  <si>
    <t>CRF EPR2</t>
  </si>
  <si>
    <t>RNCY166-105-6</t>
  </si>
  <si>
    <t>AN17796_M20</t>
  </si>
  <si>
    <t>AN20762</t>
  </si>
  <si>
    <t>STATOR GMPP - EPR SZL</t>
  </si>
  <si>
    <t>FRAMATOME</t>
  </si>
  <si>
    <t>STATOR GMPP - PNCY 164 - 140 - 4</t>
  </si>
  <si>
    <t>XN17944</t>
  </si>
  <si>
    <t>AN20766</t>
  </si>
  <si>
    <t>ROTOR GMPP - EPR SZL</t>
  </si>
  <si>
    <t>ROTOR GMPP - PNCT 164 - 140 - 4</t>
  </si>
  <si>
    <t>AN20879</t>
  </si>
  <si>
    <t>21 MOTEURS RRA CP900</t>
  </si>
  <si>
    <t>AN21434</t>
  </si>
  <si>
    <t>LLI ROTOR GMPP - EPR2</t>
  </si>
  <si>
    <t>ROTOR GMPP - PNCY 164 - 140 - 4</t>
  </si>
  <si>
    <t>AN21542</t>
  </si>
  <si>
    <t>RRA CHINE TNC 630 AX4</t>
  </si>
  <si>
    <t>GUANGXI FANGCHENGGANG</t>
  </si>
  <si>
    <t>1 MOTEUR DE RECHANGE RRA - RHR - TNC 630 AX4</t>
  </si>
  <si>
    <t>AN18315_M20</t>
  </si>
  <si>
    <t>S15030</t>
  </si>
  <si>
    <t>STX_BCP3_AUXILIAIRE</t>
  </si>
  <si>
    <t>Jegsy 84</t>
  </si>
  <si>
    <t>SYNCH</t>
  </si>
  <si>
    <t>ALT_4P_S</t>
  </si>
  <si>
    <t>S15061</t>
  </si>
  <si>
    <t>JEGSY 418 GOTEBORG</t>
  </si>
  <si>
    <t>GOTEBORG ENERGY</t>
  </si>
  <si>
    <t>JEGSY 418</t>
  </si>
  <si>
    <t>S15092</t>
  </si>
  <si>
    <t>TIMELKAM</t>
  </si>
  <si>
    <t>ENERGIE AG</t>
  </si>
  <si>
    <t>ENERGIE AG - TIMELKAM</t>
  </si>
  <si>
    <t>245F</t>
  </si>
  <si>
    <t>56X.EI1293</t>
  </si>
  <si>
    <t>S15155</t>
  </si>
  <si>
    <t>WIERZCHOWICE</t>
  </si>
  <si>
    <t>WIERZCHOWICE POLAND</t>
  </si>
  <si>
    <t>JEGSY411</t>
  </si>
  <si>
    <t>S15203</t>
  </si>
  <si>
    <t>SLOVNAFT</t>
  </si>
  <si>
    <t>SKODA</t>
  </si>
  <si>
    <t>SLOVENSKE ENERGETICKE</t>
  </si>
  <si>
    <t>JISALT 255 S</t>
  </si>
  <si>
    <t>56X.EI1324</t>
  </si>
  <si>
    <t>8A6W7</t>
  </si>
  <si>
    <t>ALT_2P</t>
  </si>
  <si>
    <t>S15222</t>
  </si>
  <si>
    <t>FUCINE</t>
  </si>
  <si>
    <t>ENEL</t>
  </si>
  <si>
    <t>JEGSY88</t>
  </si>
  <si>
    <t>S15275</t>
  </si>
  <si>
    <t>Jisalt 245</t>
  </si>
  <si>
    <t>S15292</t>
  </si>
  <si>
    <t>SAMSUNG SKIDDA</t>
  </si>
  <si>
    <t>SKIKDA ALGERIE</t>
  </si>
  <si>
    <t>S15341</t>
  </si>
  <si>
    <t>THERMOSOLAR</t>
  </si>
  <si>
    <t>GE THERMODYN</t>
  </si>
  <si>
    <t>PUERTO ERRADO</t>
  </si>
  <si>
    <t>Jisalt 425 MEGA</t>
  </si>
  <si>
    <t>56X.EI1480</t>
  </si>
  <si>
    <t>ALT_4P_L</t>
  </si>
  <si>
    <t>S15376</t>
  </si>
  <si>
    <t>CLOV</t>
  </si>
  <si>
    <t>GENP</t>
  </si>
  <si>
    <t>TOTAL</t>
  </si>
  <si>
    <t>Machine 2 pole 84 - pressurisée Eexp</t>
  </si>
  <si>
    <t>56X.EI1477</t>
  </si>
  <si>
    <t>MS</t>
  </si>
  <si>
    <t>OIL_GAS</t>
  </si>
  <si>
    <t>S15400</t>
  </si>
  <si>
    <t>TERSA</t>
  </si>
  <si>
    <t>TERSA BARCELONNE</t>
  </si>
  <si>
    <t>Mal foutu</t>
  </si>
  <si>
    <t>S15485</t>
  </si>
  <si>
    <t>PAQUEBOT H33 - 4 JEGSY147</t>
  </si>
  <si>
    <t>JEGSY147</t>
  </si>
  <si>
    <t>S15517</t>
  </si>
  <si>
    <t>CHEVES</t>
  </si>
  <si>
    <t>SN POWER</t>
  </si>
  <si>
    <t>GENERATION CHEVES SA</t>
  </si>
  <si>
    <t>SAT 403,5-165-16</t>
  </si>
  <si>
    <t>ALT_4p_S</t>
  </si>
  <si>
    <t>S15547</t>
  </si>
  <si>
    <t>ALEXANDRIA EGYPT</t>
  </si>
  <si>
    <t>ALEXANDRIA SUGAR COMPANY</t>
  </si>
  <si>
    <t>Jegsy 417</t>
  </si>
  <si>
    <t>S15575</t>
  </si>
  <si>
    <t>ALT_ALLONGE_FESS_BUGEY</t>
  </si>
  <si>
    <t>UTO/EDF</t>
  </si>
  <si>
    <t>S15611</t>
  </si>
  <si>
    <t>VOESTALPINE</t>
  </si>
  <si>
    <t>SATL 77-140-2</t>
  </si>
  <si>
    <t>S15683</t>
  </si>
  <si>
    <t>MAN THIKA KENYA</t>
  </si>
  <si>
    <t>MAN</t>
  </si>
  <si>
    <t>S15719</t>
  </si>
  <si>
    <t>DAELIM</t>
  </si>
  <si>
    <t>FRANCO TOSI</t>
  </si>
  <si>
    <t>DUBAI</t>
  </si>
  <si>
    <t>Jisalt 458</t>
  </si>
  <si>
    <t>56X.EI1351</t>
  </si>
  <si>
    <t>S15734</t>
  </si>
  <si>
    <t>QATAR QAPCO</t>
  </si>
  <si>
    <t>QATAR-PETROCHEMIC</t>
  </si>
  <si>
    <t>QATAR PETROCHEMIC</t>
  </si>
  <si>
    <t>SAT 406-80-32</t>
  </si>
  <si>
    <t>S15751</t>
  </si>
  <si>
    <t>EDG INDE</t>
  </si>
  <si>
    <t>KOEL</t>
  </si>
  <si>
    <t>NPCIL</t>
  </si>
  <si>
    <t>JEGSY 609</t>
  </si>
  <si>
    <t>S15779</t>
  </si>
  <si>
    <t>STX MN33  1 JEGSY 66</t>
  </si>
  <si>
    <t>Jegsy 66</t>
  </si>
  <si>
    <t>STX MN33 3 JEGSY 87</t>
  </si>
  <si>
    <t>JEGSY 87</t>
  </si>
  <si>
    <t>S15811</t>
  </si>
  <si>
    <t>DRESSER TURQUIE JEGSY 415</t>
  </si>
  <si>
    <t>DRESSER RAND</t>
  </si>
  <si>
    <t>SODA SANAYII</t>
  </si>
  <si>
    <t>jegsy 415</t>
  </si>
  <si>
    <t>S15839</t>
  </si>
  <si>
    <t>SLEAFORD</t>
  </si>
  <si>
    <t>SLEAFORD UK</t>
  </si>
  <si>
    <t>JISALT 465 GIGA</t>
  </si>
  <si>
    <t>56X.EIEJ1025</t>
  </si>
  <si>
    <t>S15852</t>
  </si>
  <si>
    <t>POUZIN_CHARMES</t>
  </si>
  <si>
    <t>CNR</t>
  </si>
  <si>
    <t>JEGSY 88</t>
  </si>
  <si>
    <t>S15856</t>
  </si>
  <si>
    <t>WARTSILA NISHAT</t>
  </si>
  <si>
    <t>WARTSILA</t>
  </si>
  <si>
    <t>NNSHAT PAKISTAN</t>
  </si>
  <si>
    <t>JEGSY 421</t>
  </si>
  <si>
    <t>S15928</t>
  </si>
  <si>
    <t>MAN PORT GENTIL</t>
  </si>
  <si>
    <t>MAN DIESEL</t>
  </si>
  <si>
    <t>PORT GENTIL GABON</t>
  </si>
  <si>
    <t>JEGSY 160/L/12</t>
  </si>
  <si>
    <t>S15947</t>
  </si>
  <si>
    <t>PLATEFORME JE INDIA</t>
  </si>
  <si>
    <t>Alternateur-moteur pour plateforme essai</t>
  </si>
  <si>
    <t>MOTEUR_V_VAR</t>
  </si>
  <si>
    <t>S15989</t>
  </si>
  <si>
    <t>VALBELLA</t>
  </si>
  <si>
    <t>AXPO</t>
  </si>
  <si>
    <t>JEGSY 86</t>
  </si>
  <si>
    <t>S16002</t>
  </si>
  <si>
    <t>ZORYA</t>
  </si>
  <si>
    <t>SINOPEC</t>
  </si>
  <si>
    <t>JISALT 75-179.2-2</t>
  </si>
  <si>
    <t>S16003</t>
  </si>
  <si>
    <t>SUN 1 ET 2</t>
  </si>
  <si>
    <t>DOOSAN</t>
  </si>
  <si>
    <t>KHNP</t>
  </si>
  <si>
    <t>Alternateur de secours avec armoire d'excitat</t>
  </si>
  <si>
    <t>S16069</t>
  </si>
  <si>
    <t>DRESSER MEXIQUE</t>
  </si>
  <si>
    <t>DRESSER RAND UK</t>
  </si>
  <si>
    <t>XICOTENCATL</t>
  </si>
  <si>
    <t>Giga 458</t>
  </si>
  <si>
    <t>TAMAZULA</t>
  </si>
  <si>
    <t>S16073</t>
  </si>
  <si>
    <t>MAN BEMLAND</t>
  </si>
  <si>
    <t>BEMLAND SURINAME</t>
  </si>
  <si>
    <t>JEGSY S180L14</t>
  </si>
  <si>
    <t>S16081</t>
  </si>
  <si>
    <t>TALISMAN MONTROSE</t>
  </si>
  <si>
    <t>DRESSER</t>
  </si>
  <si>
    <t>MARUBENI</t>
  </si>
  <si>
    <t>offshore</t>
  </si>
  <si>
    <t>S16087</t>
  </si>
  <si>
    <t>DUS ABC</t>
  </si>
  <si>
    <t>ABC</t>
  </si>
  <si>
    <t>JEGSY S100 L 6 A</t>
  </si>
  <si>
    <t>S16176</t>
  </si>
  <si>
    <t>CEGELEC_TURQUIE</t>
  </si>
  <si>
    <t>CEGELEC</t>
  </si>
  <si>
    <t>JEGSY 105</t>
  </si>
  <si>
    <t>S16187</t>
  </si>
  <si>
    <t>TENGUIZ</t>
  </si>
  <si>
    <t>SAT 80,1 124-4</t>
  </si>
  <si>
    <t>56X.EI1408</t>
  </si>
  <si>
    <t>S16197</t>
  </si>
  <si>
    <t>LES FARETTES</t>
  </si>
  <si>
    <t>HYDRO EXPLOITATION</t>
  </si>
  <si>
    <t>ROMANDE ENERGIE</t>
  </si>
  <si>
    <t>JEGSY 1010</t>
  </si>
  <si>
    <t>S16198</t>
  </si>
  <si>
    <t>RECHANGE YONGGWANG COREE</t>
  </si>
  <si>
    <t>SAT 107,5 - 100 - 6</t>
  </si>
  <si>
    <t>S16266</t>
  </si>
  <si>
    <t>ZIRKU</t>
  </si>
  <si>
    <t>ZADCO</t>
  </si>
  <si>
    <t>mono palier sur skid ALSTOM</t>
  </si>
  <si>
    <t>S16332</t>
  </si>
  <si>
    <t>SAINT GIRONS</t>
  </si>
  <si>
    <t>SIEMENS</t>
  </si>
  <si>
    <t>BESVSG</t>
  </si>
  <si>
    <t>JEGSY 112L4</t>
  </si>
  <si>
    <t>S16336</t>
  </si>
  <si>
    <t>DUS WARTSILA</t>
  </si>
  <si>
    <t>JEGSY S90 L 8 A</t>
  </si>
  <si>
    <t>S16348</t>
  </si>
  <si>
    <t>MAN BOBO II</t>
  </si>
  <si>
    <t>BOBO</t>
  </si>
  <si>
    <t>Jegsy140 AS12_11_50_H</t>
  </si>
  <si>
    <t>0A1A1</t>
  </si>
  <si>
    <t>S16349</t>
  </si>
  <si>
    <t>EDMONTON</t>
  </si>
  <si>
    <t>SIMON CARVES</t>
  </si>
  <si>
    <t>CELANESE</t>
  </si>
  <si>
    <t>SAT 386-50-38</t>
  </si>
  <si>
    <t>5i0299</t>
  </si>
  <si>
    <t>IC7A1W7</t>
  </si>
  <si>
    <t>S16378</t>
  </si>
  <si>
    <t>EC NOWA</t>
  </si>
  <si>
    <t>machine seule, ni P/N, ni controles</t>
  </si>
  <si>
    <t>S16456</t>
  </si>
  <si>
    <t>NUBARIYAH</t>
  </si>
  <si>
    <t>ASC EGYPTE</t>
  </si>
  <si>
    <t>JEGSY 112S4</t>
  </si>
  <si>
    <t>S16474</t>
  </si>
  <si>
    <t>MAN BOBO III</t>
  </si>
  <si>
    <t>S16508</t>
  </si>
  <si>
    <t>MAN LEEDS</t>
  </si>
  <si>
    <t>MAN TURBO HAMBOURG</t>
  </si>
  <si>
    <t>CNIM VEOLIA</t>
  </si>
  <si>
    <t>JEGSY 112 M4</t>
  </si>
  <si>
    <t>S16512</t>
  </si>
  <si>
    <t>TOBENE SENEGAL</t>
  </si>
  <si>
    <t>MAN ST NAZAIRE</t>
  </si>
  <si>
    <t>MAN ?</t>
  </si>
  <si>
    <t>JEGSY 180AL12_15_50_H</t>
  </si>
  <si>
    <t>S16515</t>
  </si>
  <si>
    <t>KODDA</t>
  </si>
  <si>
    <t>BANGLADESH</t>
  </si>
  <si>
    <t>JEGSY 160L12</t>
  </si>
  <si>
    <t>S16529</t>
  </si>
  <si>
    <t>DRESSER-ADMA</t>
  </si>
  <si>
    <t>ADMA</t>
  </si>
  <si>
    <t>JEMSY 125 S 4 R</t>
  </si>
  <si>
    <t>S16550</t>
  </si>
  <si>
    <t>BRIGNOLES</t>
  </si>
  <si>
    <t>INOVA VAR BIOMASSE</t>
  </si>
  <si>
    <t>JEGSY 125 M 4</t>
  </si>
  <si>
    <t>S16529_M10</t>
  </si>
  <si>
    <t>S16554</t>
  </si>
  <si>
    <t>WILTON 11</t>
  </si>
  <si>
    <t>MAN OBERHAUSEN</t>
  </si>
  <si>
    <t>EXPLOITANT ANGLAIS</t>
  </si>
  <si>
    <t>Nouvelle gamme "89"</t>
  </si>
  <si>
    <t>S16557</t>
  </si>
  <si>
    <t>MANAGUA</t>
  </si>
  <si>
    <t>NICARAGUA</t>
  </si>
  <si>
    <t>JEGSY 180L14</t>
  </si>
  <si>
    <t>S16566</t>
  </si>
  <si>
    <t>ROLLS-ROYCE_ADMA</t>
  </si>
  <si>
    <t>ROLLS-ROYCE</t>
  </si>
  <si>
    <t>JISALT 255S</t>
  </si>
  <si>
    <t>S16610</t>
  </si>
  <si>
    <t>HAMBURGER</t>
  </si>
  <si>
    <t>DOOSAN SKODA POWER</t>
  </si>
  <si>
    <t>HAMBURGER HUNGARIA</t>
  </si>
  <si>
    <t>JISALT 458 GIGA</t>
  </si>
  <si>
    <t>S16624</t>
  </si>
  <si>
    <t>ANNECY</t>
  </si>
  <si>
    <t>INTERPEC</t>
  </si>
  <si>
    <t>INOVA</t>
  </si>
  <si>
    <t>JEGSY 100M4 R</t>
  </si>
  <si>
    <t>S16643</t>
  </si>
  <si>
    <t>I34</t>
  </si>
  <si>
    <t>BRITTANIY FERRIES</t>
  </si>
  <si>
    <t>JEGSY 112L</t>
  </si>
  <si>
    <t>JEGSY 140L</t>
  </si>
  <si>
    <t>S16717</t>
  </si>
  <si>
    <t>BENESSE MARENNE</t>
  </si>
  <si>
    <t>JEGSY 100M4</t>
  </si>
  <si>
    <t>S16718</t>
  </si>
  <si>
    <t>CEB FERNEY</t>
  </si>
  <si>
    <t>CEB</t>
  </si>
  <si>
    <t>S16739</t>
  </si>
  <si>
    <t>KINTELE</t>
  </si>
  <si>
    <t>JEGSY 56L6</t>
  </si>
  <si>
    <t>S16782</t>
  </si>
  <si>
    <t>CATAWBA</t>
  </si>
  <si>
    <t>DUKE POWER</t>
  </si>
  <si>
    <t>SAT 223-102-16</t>
  </si>
  <si>
    <t>56X.EIEJ0998</t>
  </si>
  <si>
    <t>S16800</t>
  </si>
  <si>
    <t>MSC STX JEGSY160</t>
  </si>
  <si>
    <t>JEGSY 160RM12_11_60_H</t>
  </si>
  <si>
    <t>MSC STX JEGSY140</t>
  </si>
  <si>
    <t>JEGSY 140 RS12_11_60_H</t>
  </si>
  <si>
    <t>S16865</t>
  </si>
  <si>
    <t>CASTIGNEAU</t>
  </si>
  <si>
    <t>BASE NAVALE TOULON</t>
  </si>
  <si>
    <t>JEGSY 100L12R</t>
  </si>
  <si>
    <t>S16976</t>
  </si>
  <si>
    <t>SALVAGNY 2</t>
  </si>
  <si>
    <t>CENTRALE HYDRAU SALVAGNY</t>
  </si>
  <si>
    <t>JEGSY 122</t>
  </si>
  <si>
    <t>SALVAGNY</t>
  </si>
  <si>
    <t>CHS</t>
  </si>
  <si>
    <t>CENTRAL HYDRAU SALVAGNY</t>
  </si>
  <si>
    <t>JEGSY 63S12A</t>
  </si>
  <si>
    <t>S16999</t>
  </si>
  <si>
    <t>TERMOPAIPA - ALSTOM</t>
  </si>
  <si>
    <t>ALSTOM GMBH</t>
  </si>
  <si>
    <t>TERMOPAIPA</t>
  </si>
  <si>
    <t>84-190</t>
  </si>
  <si>
    <t>S17014</t>
  </si>
  <si>
    <t>MARTINIQUE</t>
  </si>
  <si>
    <t>DDOSAN SKODA POWER</t>
  </si>
  <si>
    <t>ALBIOMA</t>
  </si>
  <si>
    <t>JISALT GIGA 458</t>
  </si>
  <si>
    <t>S17063</t>
  </si>
  <si>
    <t>FAISALABAD</t>
  </si>
  <si>
    <t>TGM KANIS TURBINEN</t>
  </si>
  <si>
    <t>IBRAHIM FIBRES PAKISTAN</t>
  </si>
  <si>
    <t>JEGSY 125 M 4 R</t>
  </si>
  <si>
    <t>S17202</t>
  </si>
  <si>
    <t>ABU QIR</t>
  </si>
  <si>
    <t>ABU QIR FERTILIZERS</t>
  </si>
  <si>
    <t>jegsy 112RM4</t>
  </si>
  <si>
    <t>S17225</t>
  </si>
  <si>
    <t>STX EDGE</t>
  </si>
  <si>
    <t>RCCL</t>
  </si>
  <si>
    <t>JEGSY 100 S 10 R</t>
  </si>
  <si>
    <t>S17225_M20</t>
  </si>
  <si>
    <t>STX-EDGE</t>
  </si>
  <si>
    <t>STX EUROPE</t>
  </si>
  <si>
    <t>JEGSY 140 R S 12_11_60_H800_PA</t>
  </si>
  <si>
    <t>S16800_M10</t>
  </si>
  <si>
    <t>JEGSY 112 R L 12_11_60_H710_PA</t>
  </si>
  <si>
    <t>S17269</t>
  </si>
  <si>
    <t>WIDMERPOOL</t>
  </si>
  <si>
    <t>FRANCO TOSI MECCANICA</t>
  </si>
  <si>
    <t>VEOLIA UK / STC POWER</t>
  </si>
  <si>
    <t>jegsy 90RM4_6_50</t>
  </si>
  <si>
    <t>S17456</t>
  </si>
  <si>
    <t>BELLEGARDE</t>
  </si>
  <si>
    <t>SITA SUEZ</t>
  </si>
  <si>
    <t>JISALT 412</t>
  </si>
  <si>
    <t>5I0145</t>
  </si>
  <si>
    <t>S17530</t>
  </si>
  <si>
    <t>STAFEL</t>
  </si>
  <si>
    <t>GRANDE DIXENCE S.A.</t>
  </si>
  <si>
    <t>SAT 103-109-4</t>
  </si>
  <si>
    <t>S17563</t>
  </si>
  <si>
    <t>STX-EDGE-K34</t>
  </si>
  <si>
    <t>S17225_M10</t>
  </si>
  <si>
    <t>S17660</t>
  </si>
  <si>
    <t>ABC RAECO</t>
  </si>
  <si>
    <t>RAECO</t>
  </si>
  <si>
    <t>JEGSY 63AL6</t>
  </si>
  <si>
    <t>S17711</t>
  </si>
  <si>
    <t>TORRELAVEGA</t>
  </si>
  <si>
    <t>SOLVAY</t>
  </si>
  <si>
    <t>SOLVAY QUIMICA SL</t>
  </si>
  <si>
    <t>2 paliers pieds - ventilation par le dessous</t>
  </si>
  <si>
    <t>S17868</t>
  </si>
  <si>
    <t>HPP 1224</t>
  </si>
  <si>
    <t>HYDRO POWER PLAN</t>
  </si>
  <si>
    <t>(?) RDCONGO</t>
  </si>
  <si>
    <t>JEGSY125AS14</t>
  </si>
  <si>
    <t>S17885</t>
  </si>
  <si>
    <t>FERPECLE</t>
  </si>
  <si>
    <t>GRANDE DIXENCE</t>
  </si>
  <si>
    <t>JEMSY 90 892 mm 4 R</t>
  </si>
  <si>
    <t>S17530_M10</t>
  </si>
  <si>
    <t>IM1107</t>
  </si>
  <si>
    <t>IP23</t>
  </si>
  <si>
    <t>S17926</t>
  </si>
  <si>
    <t>ABC TESTBENCH</t>
  </si>
  <si>
    <t>JEGSY 112RL8</t>
  </si>
  <si>
    <t>S17868_M10</t>
  </si>
  <si>
    <t>IC8A6W7</t>
  </si>
  <si>
    <t>S18133</t>
  </si>
  <si>
    <t>TENGIZ - SYNCHRONES</t>
  </si>
  <si>
    <t>TCO - TENGIZCHEVROIL</t>
  </si>
  <si>
    <t>Moteur SAT 80.1/124/4</t>
  </si>
  <si>
    <t>Moteur SAT80.1/124/4</t>
  </si>
  <si>
    <t>S18234</t>
  </si>
  <si>
    <t>HALDIA</t>
  </si>
  <si>
    <t>BPCL INDIA</t>
  </si>
  <si>
    <t>S18369</t>
  </si>
  <si>
    <t>EDGE M34</t>
  </si>
  <si>
    <t>JEGSY 100 S10R</t>
  </si>
  <si>
    <t>S17563_M30</t>
  </si>
  <si>
    <t>EDGE_M34</t>
  </si>
  <si>
    <t>JEGSY 140 S12R</t>
  </si>
  <si>
    <t>S17563_M20</t>
  </si>
  <si>
    <t>JEGSY 112</t>
  </si>
  <si>
    <t>S17563_M10</t>
  </si>
  <si>
    <t>S18372</t>
  </si>
  <si>
    <t>WORLD CLASS W34</t>
  </si>
  <si>
    <t>JEGSY 160RS12</t>
  </si>
  <si>
    <t>S16800_M20</t>
  </si>
  <si>
    <t>S18410</t>
  </si>
  <si>
    <t>VISTA</t>
  </si>
  <si>
    <t>Alternateur JEGSY 160M12</t>
  </si>
  <si>
    <t>Alternateur JEGSY 140S12</t>
  </si>
  <si>
    <t>S18452</t>
  </si>
  <si>
    <t>FREIN PLATE FORME</t>
  </si>
  <si>
    <t>JEUMONT ELECTRIC</t>
  </si>
  <si>
    <t>alt redresseur de freinage banc equilibrage</t>
  </si>
  <si>
    <t>S18485</t>
  </si>
  <si>
    <t>SUTA MAROC</t>
  </si>
  <si>
    <t>FICANTIERI</t>
  </si>
  <si>
    <t>COSUMAR</t>
  </si>
  <si>
    <t>S17269_M10</t>
  </si>
  <si>
    <t>S18600</t>
  </si>
  <si>
    <t>KIPAS TURKEY</t>
  </si>
  <si>
    <t>JEGSYL 140 RL4</t>
  </si>
  <si>
    <t>S18752</t>
  </si>
  <si>
    <t>JEGSY 100RXS10</t>
  </si>
  <si>
    <t>V17694_MDA2</t>
  </si>
  <si>
    <t>JEGSY 100RL10</t>
  </si>
  <si>
    <t>V17694_MDA1</t>
  </si>
  <si>
    <t>S18807</t>
  </si>
  <si>
    <t>ATLANTIS</t>
  </si>
  <si>
    <t>ATLANTIS ENERGY</t>
  </si>
  <si>
    <t>SAP 162-40-44</t>
  </si>
  <si>
    <t>S18808</t>
  </si>
  <si>
    <t>HATTELBERG PUMP</t>
  </si>
  <si>
    <t>ABB SWITZERLAND</t>
  </si>
  <si>
    <t>VERBUND</t>
  </si>
  <si>
    <t>Moteur synchrone 2 poles 60MW</t>
  </si>
  <si>
    <t>S18814</t>
  </si>
  <si>
    <t>TARANIS</t>
  </si>
  <si>
    <t>HAGER ELECTRO SAS</t>
  </si>
  <si>
    <t>turbo de choc</t>
  </si>
  <si>
    <t>S18824</t>
  </si>
  <si>
    <t>WOLFSBURG</t>
  </si>
  <si>
    <t>DSP</t>
  </si>
  <si>
    <t>JEGSY 140RL4</t>
  </si>
  <si>
    <t>S18932</t>
  </si>
  <si>
    <t>ABB CHEVRON</t>
  </si>
  <si>
    <t>ABB FRANCE</t>
  </si>
  <si>
    <t>ALRC 560 LD8</t>
  </si>
  <si>
    <t>S18934</t>
  </si>
  <si>
    <t>AIR LIQUIDE SANDOUVILLE</t>
  </si>
  <si>
    <t>SAT 146-35.5-16</t>
  </si>
  <si>
    <t>S18979</t>
  </si>
  <si>
    <t>BREMA</t>
  </si>
  <si>
    <t>SWB ENTSORGUNG GMBH</t>
  </si>
  <si>
    <t>remplacement Ã  l'identique machine précédente</t>
  </si>
  <si>
    <t>S18995</t>
  </si>
  <si>
    <t>TOTAL FEYZIN - 36MK0201</t>
  </si>
  <si>
    <t>TOTAL FEYZIN</t>
  </si>
  <si>
    <t>SAT 65.5 - 140 - 2 - moteur 4400 / 5100 rpm</t>
  </si>
  <si>
    <t>S19000</t>
  </si>
  <si>
    <t>LOSTOCK</t>
  </si>
  <si>
    <t>CNIM LOSTOCK</t>
  </si>
  <si>
    <t>JEGSY 160RL2</t>
  </si>
  <si>
    <t>Rotor tiaret</t>
  </si>
  <si>
    <t>S19020</t>
  </si>
  <si>
    <t>INDAVER - SUEZ - DOEL</t>
  </si>
  <si>
    <t>JEGSYL112RS4</t>
  </si>
  <si>
    <t>S19045</t>
  </si>
  <si>
    <t>PARONA</t>
  </si>
  <si>
    <t>FTM</t>
  </si>
  <si>
    <t>A2A</t>
  </si>
  <si>
    <t>JEGSYL 125RL4</t>
  </si>
  <si>
    <t>S19088</t>
  </si>
  <si>
    <t>ETI MADEN</t>
  </si>
  <si>
    <t>EMET SULF ACID PROD PLANT</t>
  </si>
  <si>
    <t>JEGSYL 100RL4</t>
  </si>
  <si>
    <t>S19124</t>
  </si>
  <si>
    <t>KEBAG</t>
  </si>
  <si>
    <t>SIEMENS ENERGY</t>
  </si>
  <si>
    <t>KEBAG ZUCHWIL</t>
  </si>
  <si>
    <t>JEGSYL 140RM4</t>
  </si>
  <si>
    <t>S18824_M10</t>
  </si>
  <si>
    <t>S19220</t>
  </si>
  <si>
    <t>ABC NIGER</t>
  </si>
  <si>
    <t>S18234_M10</t>
  </si>
  <si>
    <t>S19297</t>
  </si>
  <si>
    <t>PETRONAS</t>
  </si>
  <si>
    <t>JEGSY56AM4</t>
  </si>
  <si>
    <t>S19334</t>
  </si>
  <si>
    <t>PROTOS</t>
  </si>
  <si>
    <t>JEGSY 140RL2</t>
  </si>
  <si>
    <t>S19437</t>
  </si>
  <si>
    <t>SLOUGH</t>
  </si>
  <si>
    <t>SLOUGH MULTIFUEL</t>
  </si>
  <si>
    <t>SAT 89-290S</t>
  </si>
  <si>
    <t>S19489</t>
  </si>
  <si>
    <t>adaptation de Faisalabad - 4 poles - 21 MW - 11kV</t>
  </si>
  <si>
    <t>IC3A1</t>
  </si>
  <si>
    <t>S19669</t>
  </si>
  <si>
    <t>BOIS ROUGE</t>
  </si>
  <si>
    <t>S19045_M10</t>
  </si>
  <si>
    <t>S19784</t>
  </si>
  <si>
    <t>TOTAL CARLING</t>
  </si>
  <si>
    <t>SAT 290,31,28</t>
  </si>
  <si>
    <t>S19936</t>
  </si>
  <si>
    <t>21HERA</t>
  </si>
  <si>
    <t>FINCANTIERI S.P.A.</t>
  </si>
  <si>
    <t>JEGSYL112RL4</t>
  </si>
  <si>
    <t>S19983</t>
  </si>
  <si>
    <t>DUNKERQUE CP2</t>
  </si>
  <si>
    <t>SAT 96,125,4</t>
  </si>
  <si>
    <t>S20095</t>
  </si>
  <si>
    <t>UVELIA</t>
  </si>
  <si>
    <t>BH THERMODYN</t>
  </si>
  <si>
    <t>UVELIA LIEGE</t>
  </si>
  <si>
    <t>56X.EIEJ1236</t>
  </si>
  <si>
    <t>S20210</t>
  </si>
  <si>
    <t>KOMSILGA</t>
  </si>
  <si>
    <t>JA DELMAS</t>
  </si>
  <si>
    <t>SONABEL</t>
  </si>
  <si>
    <t>JEGSY140L12</t>
  </si>
  <si>
    <t>S20303</t>
  </si>
  <si>
    <t>EDGE N34</t>
  </si>
  <si>
    <t>S18369_M30</t>
  </si>
  <si>
    <t>EDGE_N34</t>
  </si>
  <si>
    <t>S18369_M20</t>
  </si>
  <si>
    <t>S18369_M10</t>
  </si>
  <si>
    <t>S20980</t>
  </si>
  <si>
    <t>ALBIOMA GALLION</t>
  </si>
  <si>
    <t>S21156</t>
  </si>
  <si>
    <t>HAMMERFEST</t>
  </si>
  <si>
    <t>EQUINOR</t>
  </si>
  <si>
    <t>JISALT 460</t>
  </si>
  <si>
    <t>5I0880</t>
  </si>
  <si>
    <t>S21312</t>
  </si>
  <si>
    <t>S17926_M10</t>
  </si>
  <si>
    <t>S21712</t>
  </si>
  <si>
    <t>EDGE_V35</t>
  </si>
  <si>
    <t>CHANTIERS DE L'ATLANTIQUE</t>
  </si>
  <si>
    <t>ROYAL CARIBBEAN CRUISE</t>
  </si>
  <si>
    <t>S17225_M30</t>
  </si>
  <si>
    <t>S17225_M20_S12 R</t>
  </si>
  <si>
    <t>CHANTIER DE L'ATLANTIQUE</t>
  </si>
  <si>
    <t>ROYAL CARIBBEAN CRUISES</t>
  </si>
  <si>
    <t>JEGSY 112 L12R</t>
  </si>
  <si>
    <t>SN17336</t>
  </si>
  <si>
    <t>BARAKAH</t>
  </si>
  <si>
    <t>JEGSY 160XS10</t>
  </si>
  <si>
    <t>SN18020</t>
  </si>
  <si>
    <t>PALO VERDE</t>
  </si>
  <si>
    <t>FRAMATOME USA</t>
  </si>
  <si>
    <t>ARIZONA PUBLIC SERVICE</t>
  </si>
  <si>
    <t>SAT 152-104-12</t>
  </si>
  <si>
    <t>S16782-M10</t>
  </si>
  <si>
    <t>SN18385</t>
  </si>
  <si>
    <t>AACDG SKN56</t>
  </si>
  <si>
    <t>HSD ENGINE</t>
  </si>
  <si>
    <t>Alternateur + armoire excitation</t>
  </si>
  <si>
    <t>SN18830</t>
  </si>
  <si>
    <t>EDG  HANUL</t>
  </si>
  <si>
    <t>EDG HANUL</t>
  </si>
  <si>
    <t>SAT 100-90-6</t>
  </si>
  <si>
    <t>SN18989</t>
  </si>
  <si>
    <t>ROOPPUR</t>
  </si>
  <si>
    <t>ROSATOM</t>
  </si>
  <si>
    <t>JEGSY 118ALL8</t>
  </si>
  <si>
    <t>IP41</t>
  </si>
  <si>
    <t>SN19001</t>
  </si>
  <si>
    <t>EDG ROOPPUR</t>
  </si>
  <si>
    <t>JEGSY 105ALL8</t>
  </si>
  <si>
    <t>SN19179</t>
  </si>
  <si>
    <t>ALTERNATEUR AP76B4</t>
  </si>
  <si>
    <t>ALTERNATEUR AP 76  B4</t>
  </si>
  <si>
    <t>EI1502</t>
  </si>
  <si>
    <t>SN21287</t>
  </si>
  <si>
    <t>EDG EPR2 ABC</t>
  </si>
  <si>
    <t>JEGSY118AXL8</t>
  </si>
  <si>
    <t>X15181</t>
  </si>
  <si>
    <t>EDG EPR FINLANDE</t>
  </si>
  <si>
    <t>TVO</t>
  </si>
  <si>
    <t>SATL 115-126-6</t>
  </si>
  <si>
    <t>BERAUBA</t>
  </si>
  <si>
    <t>X16689</t>
  </si>
  <si>
    <t>CEGELEC TOULON</t>
  </si>
  <si>
    <t>Etude groupe convertion fréquentiel</t>
  </si>
  <si>
    <t>X16861</t>
  </si>
  <si>
    <t>EPR UK ECI WEIR SEN</t>
  </si>
  <si>
    <t>WEIR GROUP</t>
  </si>
  <si>
    <t>Etude JEMAC560TL10_10_50</t>
  </si>
  <si>
    <t>EPR UK ECI WEIR SEC</t>
  </si>
  <si>
    <t>Etude JEMAC560TM8_10_50</t>
  </si>
  <si>
    <t>X16936</t>
  </si>
  <si>
    <t>U3 FLOWSERVE</t>
  </si>
  <si>
    <t>JEMAC4-6.6-50</t>
  </si>
  <si>
    <t>X16950</t>
  </si>
  <si>
    <t>U3 SPX CU</t>
  </si>
  <si>
    <t>SPX CU ANNECY</t>
  </si>
  <si>
    <t>JEMAC2-6.6-50</t>
  </si>
  <si>
    <t>X16963</t>
  </si>
  <si>
    <t>U3 SULZER</t>
  </si>
  <si>
    <t>X17332</t>
  </si>
  <si>
    <t>SABIC</t>
  </si>
  <si>
    <t>DSM</t>
  </si>
  <si>
    <t>SAT 383.8/63/32</t>
  </si>
  <si>
    <t>MOTEUR AAD  EPR UK</t>
  </si>
  <si>
    <t>SPXFLOW    GLASGOW</t>
  </si>
  <si>
    <t>EPR  HINKLEY</t>
  </si>
  <si>
    <t>JEMAC560RM2_10_50</t>
  </si>
  <si>
    <t>X17620</t>
  </si>
  <si>
    <t>CPR 1000</t>
  </si>
  <si>
    <t>AREVA DONGFANG</t>
  </si>
  <si>
    <t>DONGFANG DEYANG CHINE</t>
  </si>
  <si>
    <t>PNCY 164 90 4</t>
  </si>
  <si>
    <t>56X.EI1505</t>
  </si>
  <si>
    <t>X19027</t>
  </si>
  <si>
    <t>VALORSUL</t>
  </si>
  <si>
    <t>VALORSULSAO JOAO DE TALHA</t>
  </si>
  <si>
    <t>84-270-2 sur bati en palier pied</t>
  </si>
  <si>
    <t>5i0222</t>
  </si>
  <si>
    <t>XN17755</t>
  </si>
  <si>
    <t>RCP SODIUM  TERRA POWER</t>
  </si>
  <si>
    <t>SPX ANNECY</t>
  </si>
  <si>
    <t>TERRA POWER</t>
  </si>
  <si>
    <t>JEMAC900RS8-6.6-50</t>
  </si>
  <si>
    <t>GMPP EPR UK</t>
  </si>
  <si>
    <t>CENTRAL NUCLÃ‰AIRE HINKLEY</t>
  </si>
  <si>
    <t>PNCY 164-140-4</t>
  </si>
  <si>
    <t>56X.EI1393</t>
  </si>
  <si>
    <t>XN18482</t>
  </si>
  <si>
    <t>GMPP ANO</t>
  </si>
  <si>
    <t>FRAMATOME JT</t>
  </si>
  <si>
    <t>FRAMATOME  INC</t>
  </si>
  <si>
    <t>RNCY 164-112-6</t>
  </si>
  <si>
    <t>56X.EI1392</t>
  </si>
  <si>
    <t>Projet</t>
  </si>
  <si>
    <t>230ETELEC</t>
  </si>
  <si>
    <t>230ETMECA</t>
  </si>
  <si>
    <t>230ETMECNC</t>
  </si>
  <si>
    <t>230ETNQ</t>
  </si>
  <si>
    <t>230ETREGU</t>
  </si>
  <si>
    <t>240RD</t>
  </si>
  <si>
    <t>240RDNC</t>
  </si>
  <si>
    <t>Total général</t>
  </si>
  <si>
    <t>N° Affaire:</t>
  </si>
  <si>
    <t>Total</t>
  </si>
  <si>
    <t>S17032</t>
  </si>
  <si>
    <t>S16625</t>
  </si>
  <si>
    <t>S15704</t>
  </si>
  <si>
    <t>S15497</t>
  </si>
  <si>
    <t>S15252</t>
  </si>
  <si>
    <t>X17863</t>
  </si>
  <si>
    <t>S16304</t>
  </si>
  <si>
    <t>S15562</t>
  </si>
  <si>
    <t>S15251</t>
  </si>
  <si>
    <t>X16795</t>
  </si>
  <si>
    <t>A16221</t>
  </si>
  <si>
    <t>X17339</t>
  </si>
  <si>
    <t>S16313</t>
  </si>
  <si>
    <t>X17897</t>
  </si>
  <si>
    <t>X17836</t>
  </si>
  <si>
    <t>XN18217</t>
  </si>
  <si>
    <t>SN18220</t>
  </si>
  <si>
    <t>X17416</t>
  </si>
  <si>
    <t>X18992</t>
  </si>
  <si>
    <t>X17911</t>
  </si>
  <si>
    <t>X18548</t>
  </si>
  <si>
    <t>X15303</t>
  </si>
  <si>
    <t>S15502</t>
  </si>
  <si>
    <t>S16326</t>
  </si>
  <si>
    <t>X16142</t>
  </si>
  <si>
    <t>S17185</t>
  </si>
  <si>
    <t>X16723</t>
  </si>
  <si>
    <t>AN18341</t>
  </si>
  <si>
    <t>AM18532</t>
  </si>
  <si>
    <t>S17933</t>
  </si>
  <si>
    <t>S16847</t>
  </si>
  <si>
    <t>A15735</t>
  </si>
  <si>
    <t>X17469</t>
  </si>
  <si>
    <t>X16033</t>
  </si>
  <si>
    <t>XN19758</t>
  </si>
  <si>
    <t>S15313</t>
  </si>
  <si>
    <t>X16669</t>
  </si>
  <si>
    <t>X17576</t>
  </si>
  <si>
    <t>XN18272</t>
  </si>
  <si>
    <t>XN17677</t>
  </si>
  <si>
    <t>XN18125</t>
  </si>
  <si>
    <t>X16027</t>
  </si>
  <si>
    <t>XN18905</t>
  </si>
  <si>
    <t>A15026</t>
  </si>
  <si>
    <t>S16414</t>
  </si>
  <si>
    <t>XN19352</t>
  </si>
  <si>
    <t>X17176</t>
  </si>
  <si>
    <t>X17289</t>
  </si>
  <si>
    <t>A15477</t>
  </si>
  <si>
    <t>X15385</t>
  </si>
  <si>
    <t>XN20579</t>
  </si>
  <si>
    <t>XN18182</t>
  </si>
  <si>
    <t>A15168</t>
  </si>
  <si>
    <t>XN17826</t>
  </si>
  <si>
    <t>X16534</t>
  </si>
  <si>
    <t>XN18748</t>
  </si>
  <si>
    <t>A15607</t>
  </si>
  <si>
    <t>AM20355</t>
  </si>
  <si>
    <t>A15333</t>
  </si>
  <si>
    <t>X17619</t>
  </si>
  <si>
    <t>XN19023</t>
  </si>
  <si>
    <t>X15438</t>
  </si>
  <si>
    <t>XN19424</t>
  </si>
  <si>
    <t>X17020</t>
  </si>
  <si>
    <t>X15449</t>
  </si>
  <si>
    <t>X15197</t>
  </si>
  <si>
    <t>X15126</t>
  </si>
  <si>
    <t>AM20752</t>
  </si>
  <si>
    <t>X17506</t>
  </si>
  <si>
    <t>X15523</t>
  </si>
  <si>
    <t>A16054</t>
  </si>
  <si>
    <t>X15140</t>
  </si>
  <si>
    <t>X18543</t>
  </si>
  <si>
    <t>XN20215</t>
  </si>
  <si>
    <t>XN18927</t>
  </si>
  <si>
    <t>X18256</t>
  </si>
  <si>
    <t>X17435</t>
  </si>
  <si>
    <t>A16167</t>
  </si>
  <si>
    <t>S15876</t>
  </si>
  <si>
    <t>A15284</t>
  </si>
  <si>
    <t>A16074</t>
  </si>
  <si>
    <t>X15949</t>
  </si>
  <si>
    <t>X17146</t>
  </si>
  <si>
    <t>S16948</t>
  </si>
  <si>
    <t>XN17995</t>
  </si>
  <si>
    <t>XN18114</t>
  </si>
  <si>
    <t>A15922</t>
  </si>
  <si>
    <t>X15644</t>
  </si>
  <si>
    <t>XN20046</t>
  </si>
  <si>
    <t>X15321</t>
  </si>
  <si>
    <t>X17242</t>
  </si>
  <si>
    <t>XN18514</t>
  </si>
  <si>
    <t>S16480</t>
  </si>
  <si>
    <t>A16025</t>
  </si>
  <si>
    <t>X15819</t>
  </si>
  <si>
    <t>X17161</t>
  </si>
  <si>
    <t>X15425</t>
  </si>
  <si>
    <t>X15254</t>
  </si>
  <si>
    <t>X16778</t>
  </si>
  <si>
    <t>X17374</t>
  </si>
  <si>
    <t>X17540</t>
  </si>
  <si>
    <t>X16273</t>
  </si>
  <si>
    <t>XN19194</t>
  </si>
  <si>
    <t>X18405</t>
  </si>
  <si>
    <t>X15396</t>
  </si>
  <si>
    <t>X17368</t>
  </si>
  <si>
    <t>XN18717</t>
  </si>
  <si>
    <t>X16958</t>
  </si>
  <si>
    <t>X17769</t>
  </si>
  <si>
    <t>X17290</t>
  </si>
  <si>
    <t>X15325</t>
  </si>
  <si>
    <t>XN18611</t>
  </si>
  <si>
    <t>X16361</t>
  </si>
  <si>
    <t>X16874</t>
  </si>
  <si>
    <t>X18362</t>
  </si>
  <si>
    <t>X17044</t>
  </si>
  <si>
    <t>X16469</t>
  </si>
  <si>
    <t>X15760</t>
  </si>
  <si>
    <t>X18590</t>
  </si>
  <si>
    <t>X17410</t>
  </si>
  <si>
    <t>X18201</t>
  </si>
  <si>
    <t>XN18085</t>
  </si>
  <si>
    <t>AN20777</t>
  </si>
  <si>
    <t>X17224</t>
  </si>
  <si>
    <t>X16841</t>
  </si>
  <si>
    <t>X17015</t>
  </si>
  <si>
    <t>X16404</t>
  </si>
  <si>
    <t>X17810</t>
  </si>
  <si>
    <t>X15725</t>
  </si>
  <si>
    <t>X18504</t>
  </si>
  <si>
    <t>XN18455</t>
  </si>
  <si>
    <t>X15241</t>
  </si>
  <si>
    <t>A15377</t>
  </si>
  <si>
    <t>X17431</t>
  </si>
  <si>
    <t>X16876</t>
  </si>
  <si>
    <t>AN20776</t>
  </si>
  <si>
    <t>X18132</t>
  </si>
  <si>
    <t>XN18465</t>
  </si>
  <si>
    <t>X15472</t>
  </si>
  <si>
    <t>X15818</t>
  </si>
  <si>
    <t>X15174</t>
  </si>
  <si>
    <t>X17436</t>
  </si>
  <si>
    <t>XN18919</t>
  </si>
  <si>
    <t>XN20422</t>
  </si>
  <si>
    <t>X15700</t>
  </si>
  <si>
    <t>X15474</t>
  </si>
  <si>
    <t>X16031</t>
  </si>
  <si>
    <t>X16141</t>
  </si>
  <si>
    <t>X18538</t>
  </si>
  <si>
    <t>X16440</t>
  </si>
  <si>
    <t>X17528</t>
  </si>
  <si>
    <t>X17134</t>
  </si>
  <si>
    <t>XN19611</t>
  </si>
  <si>
    <t>X15060</t>
  </si>
  <si>
    <t>X17497</t>
  </si>
  <si>
    <t>XN19353</t>
  </si>
  <si>
    <t>X18355</t>
  </si>
  <si>
    <t>X17170</t>
  </si>
  <si>
    <t>X17905</t>
  </si>
  <si>
    <t>X15151</t>
  </si>
  <si>
    <t>X15405</t>
  </si>
  <si>
    <t>X17532</t>
  </si>
  <si>
    <t>X17638</t>
  </si>
  <si>
    <t>X17075</t>
  </si>
  <si>
    <t>SN17597</t>
  </si>
  <si>
    <t>X18659</t>
  </si>
  <si>
    <t>X15306</t>
  </si>
  <si>
    <t>XN19498</t>
  </si>
  <si>
    <t>X16343</t>
  </si>
  <si>
    <t>X17193</t>
  </si>
  <si>
    <t>AN17692</t>
  </si>
  <si>
    <t>X17037</t>
  </si>
  <si>
    <t>XN18241</t>
  </si>
  <si>
    <t>X17386</t>
  </si>
  <si>
    <t>X16067</t>
  </si>
  <si>
    <t>X17507</t>
  </si>
  <si>
    <t>X16059</t>
  </si>
  <si>
    <t>XN20469</t>
  </si>
  <si>
    <t>X16560</t>
  </si>
  <si>
    <t>X16667</t>
  </si>
  <si>
    <t>AN20778</t>
  </si>
  <si>
    <t>X16497</t>
  </si>
  <si>
    <t>X15804</t>
  </si>
  <si>
    <t>X15253</t>
  </si>
  <si>
    <t>X17665</t>
  </si>
  <si>
    <t>X16126</t>
  </si>
  <si>
    <t>XN19185</t>
  </si>
  <si>
    <t>X16707</t>
  </si>
  <si>
    <t>X16888</t>
  </si>
  <si>
    <t>X17779</t>
  </si>
  <si>
    <t>X15504</t>
  </si>
  <si>
    <t>X17932</t>
  </si>
  <si>
    <t>X19174</t>
  </si>
  <si>
    <t>X17186</t>
  </si>
  <si>
    <t>X15314</t>
  </si>
  <si>
    <t>X16217</t>
  </si>
  <si>
    <t>X16645</t>
  </si>
  <si>
    <t>X16785</t>
  </si>
  <si>
    <t>X16086</t>
  </si>
  <si>
    <t>X15801</t>
  </si>
  <si>
    <t>XN19126</t>
  </si>
  <si>
    <t>X15661</t>
  </si>
  <si>
    <t>X17648</t>
  </si>
  <si>
    <t>X15110</t>
  </si>
  <si>
    <t>X16470</t>
  </si>
  <si>
    <t>X15805</t>
  </si>
  <si>
    <t>X16851</t>
  </si>
  <si>
    <t>X17136</t>
  </si>
  <si>
    <t>AN20903</t>
  </si>
  <si>
    <t>X15979</t>
  </si>
  <si>
    <t>X15487</t>
  </si>
  <si>
    <t>X17391</t>
  </si>
  <si>
    <t>SN17612</t>
  </si>
  <si>
    <t>X16347</t>
  </si>
  <si>
    <t>AN18797</t>
  </si>
  <si>
    <t>X15164</t>
  </si>
  <si>
    <t>XN19474</t>
  </si>
  <si>
    <t>X15806</t>
  </si>
  <si>
    <t>X16190</t>
  </si>
  <si>
    <t>XN17685</t>
  </si>
  <si>
    <t>X15147</t>
  </si>
  <si>
    <t>X15050</t>
  </si>
  <si>
    <t>X19029</t>
  </si>
  <si>
    <t>X16189</t>
  </si>
  <si>
    <t>X15239</t>
  </si>
  <si>
    <t>X16898</t>
  </si>
  <si>
    <t>X16742</t>
  </si>
  <si>
    <t>X15829</t>
  </si>
  <si>
    <t>X17573</t>
  </si>
  <si>
    <t>X15414</t>
  </si>
  <si>
    <t>X16967</t>
  </si>
  <si>
    <t>XN17828</t>
  </si>
  <si>
    <t>X15887</t>
  </si>
  <si>
    <t>X15109</t>
  </si>
  <si>
    <t>S16810</t>
  </si>
  <si>
    <t>A16442</t>
  </si>
  <si>
    <t>X17200</t>
  </si>
  <si>
    <t>X15068</t>
  </si>
  <si>
    <t>X16356</t>
  </si>
  <si>
    <t>XN17794</t>
  </si>
  <si>
    <t>XN20983</t>
  </si>
  <si>
    <t>X16733</t>
  </si>
  <si>
    <t>X15067</t>
  </si>
  <si>
    <t>X16451</t>
  </si>
  <si>
    <t>X15285</t>
  </si>
  <si>
    <t>X15171</t>
  </si>
  <si>
    <t>XN18641</t>
  </si>
  <si>
    <t>X17324</t>
  </si>
  <si>
    <t>X17311</t>
  </si>
  <si>
    <t>X15063</t>
  </si>
  <si>
    <t>XN19532</t>
  </si>
  <si>
    <t>X18056</t>
  </si>
  <si>
    <t>X16234</t>
  </si>
  <si>
    <t>X17153</t>
  </si>
  <si>
    <t>X16419</t>
  </si>
  <si>
    <t>X17145</t>
  </si>
  <si>
    <t>X15021</t>
  </si>
  <si>
    <t>X16032</t>
  </si>
  <si>
    <t>X15066</t>
  </si>
  <si>
    <t>X15166</t>
  </si>
  <si>
    <t>X17929</t>
  </si>
  <si>
    <t>X17378</t>
  </si>
  <si>
    <t>XN17892</t>
  </si>
  <si>
    <t>X15664</t>
  </si>
  <si>
    <t>X17997</t>
  </si>
  <si>
    <t>X16150</t>
  </si>
  <si>
    <t>X16004</t>
  </si>
  <si>
    <t>XN19238</t>
  </si>
  <si>
    <t>XN18512</t>
  </si>
  <si>
    <t>XN18357</t>
  </si>
  <si>
    <t>X16662</t>
  </si>
  <si>
    <t>X16962</t>
  </si>
  <si>
    <t>X15148</t>
  </si>
  <si>
    <t>X17322</t>
  </si>
  <si>
    <t>AN17453</t>
  </si>
  <si>
    <t>X16060</t>
  </si>
  <si>
    <t>X16204</t>
  </si>
  <si>
    <t>X17686</t>
  </si>
  <si>
    <t>X17194</t>
  </si>
  <si>
    <t>X17992</t>
  </si>
  <si>
    <t>X15925</t>
  </si>
  <si>
    <t>X16493</t>
  </si>
  <si>
    <t>X16674</t>
  </si>
  <si>
    <t>X17771</t>
  </si>
  <si>
    <t>XN18642</t>
  </si>
  <si>
    <t>X15137</t>
  </si>
  <si>
    <t>X17466</t>
  </si>
  <si>
    <t>XN19120</t>
  </si>
  <si>
    <t>XN20150</t>
  </si>
  <si>
    <t>X18602</t>
  </si>
  <si>
    <t>XN17871</t>
  </si>
  <si>
    <t>X17471</t>
  </si>
  <si>
    <t>X17831</t>
  </si>
  <si>
    <t>XN17898</t>
  </si>
  <si>
    <t>X18524</t>
  </si>
  <si>
    <t>X17325</t>
  </si>
  <si>
    <t>X15706</t>
  </si>
  <si>
    <t>X15116</t>
  </si>
  <si>
    <t>X18024</t>
  </si>
  <si>
    <t>X17162</t>
  </si>
  <si>
    <t>XN19338</t>
  </si>
  <si>
    <t>X15843</t>
  </si>
  <si>
    <t>X18497</t>
  </si>
  <si>
    <t>X16213</t>
  </si>
  <si>
    <t>X15842</t>
  </si>
  <si>
    <t>X15094</t>
  </si>
  <si>
    <t>X17022</t>
  </si>
  <si>
    <t>XN17998</t>
  </si>
  <si>
    <t>X18379</t>
  </si>
  <si>
    <t>AN18994</t>
  </si>
  <si>
    <t>XN20793</t>
  </si>
  <si>
    <t>X17152</t>
  </si>
  <si>
    <t>AN19852</t>
  </si>
  <si>
    <t>XN19487</t>
  </si>
  <si>
    <t>X15162</t>
  </si>
  <si>
    <t>X16714</t>
  </si>
  <si>
    <t>X17795</t>
  </si>
  <si>
    <t>X17566</t>
  </si>
  <si>
    <t>X17609</t>
  </si>
  <si>
    <t>X16183</t>
  </si>
  <si>
    <t>X19172</t>
  </si>
  <si>
    <t>X17529</t>
  </si>
  <si>
    <t>X17120</t>
  </si>
  <si>
    <t>X18578</t>
  </si>
  <si>
    <t>XN18166</t>
  </si>
  <si>
    <t>X16405</t>
  </si>
  <si>
    <t>X17899</t>
  </si>
  <si>
    <t>X15146</t>
  </si>
  <si>
    <t>X15163</t>
  </si>
  <si>
    <t>X15765</t>
  </si>
  <si>
    <t>X16039</t>
  </si>
  <si>
    <t>X16333</t>
  </si>
  <si>
    <t>X17395</t>
  </si>
  <si>
    <t>XN18513</t>
  </si>
  <si>
    <t>X15482</t>
  </si>
  <si>
    <t>XN18281</t>
  </si>
  <si>
    <t>X16862</t>
  </si>
  <si>
    <t>X15101</t>
  </si>
  <si>
    <t>X15489</t>
  </si>
  <si>
    <t>X15062</t>
  </si>
  <si>
    <t>X17766</t>
  </si>
  <si>
    <t>X17946</t>
  </si>
  <si>
    <t>X15959</t>
  </si>
  <si>
    <t>X17060</t>
  </si>
  <si>
    <t>X17352</t>
  </si>
  <si>
    <t>XN19032</t>
  </si>
  <si>
    <t>X19488</t>
  </si>
  <si>
    <t>X16467</t>
  </si>
  <si>
    <t>X17047</t>
  </si>
  <si>
    <t>X16775</t>
  </si>
  <si>
    <t>X16201</t>
  </si>
  <si>
    <t>X16232</t>
  </si>
  <si>
    <t>X16458</t>
  </si>
  <si>
    <t>X17789</t>
  </si>
  <si>
    <t>X17455</t>
  </si>
  <si>
    <t>X17173</t>
  </si>
  <si>
    <t>X16496</t>
  </si>
  <si>
    <t>XN17793</t>
  </si>
  <si>
    <t>XN20517</t>
  </si>
  <si>
    <t>X16897</t>
  </si>
  <si>
    <t>X16507</t>
  </si>
  <si>
    <t>X16970</t>
  </si>
  <si>
    <t>X17785</t>
  </si>
  <si>
    <t>XN17816</t>
  </si>
  <si>
    <t>X17077</t>
  </si>
  <si>
    <t>X16044</t>
  </si>
  <si>
    <t>X18178</t>
  </si>
  <si>
    <t>X16953</t>
  </si>
  <si>
    <t>X16084</t>
  </si>
  <si>
    <t>X18472</t>
  </si>
  <si>
    <t>XN18171</t>
  </si>
  <si>
    <t>XN18914</t>
  </si>
  <si>
    <t>X17257</t>
  </si>
  <si>
    <t>X15945</t>
  </si>
  <si>
    <t>X16776</t>
  </si>
  <si>
    <t>XN19562</t>
  </si>
  <si>
    <t>XN19833</t>
  </si>
  <si>
    <t>X15099</t>
  </si>
  <si>
    <t>XN19572</t>
  </si>
  <si>
    <t>X16634</t>
  </si>
  <si>
    <t>X15010</t>
  </si>
  <si>
    <t>X15100</t>
  </si>
  <si>
    <t>X15764</t>
  </si>
  <si>
    <t>X17174</t>
  </si>
  <si>
    <t>XN19697</t>
  </si>
  <si>
    <t>X15245</t>
  </si>
  <si>
    <t>XN19543</t>
  </si>
  <si>
    <t>X15040</t>
  </si>
  <si>
    <t>XN18164</t>
  </si>
  <si>
    <t>X15056</t>
  </si>
  <si>
    <t>XN19186</t>
  </si>
  <si>
    <t>XN20087</t>
  </si>
  <si>
    <t>X15853</t>
  </si>
  <si>
    <t>X16387</t>
  </si>
  <si>
    <t>X15048</t>
  </si>
  <si>
    <t>X15692</t>
  </si>
  <si>
    <t>X16334</t>
  </si>
  <si>
    <t>X15753</t>
  </si>
  <si>
    <t>X15053</t>
  </si>
  <si>
    <t>A15755</t>
  </si>
  <si>
    <t>X18427</t>
  </si>
  <si>
    <t>X15573</t>
  </si>
  <si>
    <t>X15815</t>
  </si>
  <si>
    <t>X16207</t>
  </si>
  <si>
    <t>X15471</t>
  </si>
  <si>
    <t>X16423</t>
  </si>
  <si>
    <t>XN18469</t>
  </si>
  <si>
    <t>X15057</t>
  </si>
  <si>
    <t>X17238</t>
  </si>
  <si>
    <t>XN19300</t>
  </si>
  <si>
    <t>XN18679</t>
  </si>
  <si>
    <t>X15216</t>
  </si>
  <si>
    <t>X17226</t>
  </si>
  <si>
    <t>X17604</t>
  </si>
  <si>
    <t>XN18167</t>
  </si>
  <si>
    <t>XN18406</t>
  </si>
  <si>
    <t>XN20287</t>
  </si>
  <si>
    <t>XN20506</t>
  </si>
  <si>
    <t>X16245</t>
  </si>
  <si>
    <t>X15733</t>
  </si>
  <si>
    <t>XN18568</t>
  </si>
  <si>
    <t>XN19997</t>
  </si>
  <si>
    <t>X15893</t>
  </si>
  <si>
    <t>X15044</t>
  </si>
  <si>
    <t>X15098</t>
  </si>
  <si>
    <t>X16233</t>
  </si>
  <si>
    <t>X16927</t>
  </si>
  <si>
    <t>X17072</t>
  </si>
  <si>
    <t>X17119</t>
  </si>
  <si>
    <t>X16844</t>
  </si>
  <si>
    <t>X17558</t>
  </si>
  <si>
    <t>X17687</t>
  </si>
  <si>
    <t>XN18458</t>
  </si>
  <si>
    <t>XN19853</t>
  </si>
  <si>
    <t>X15024</t>
  </si>
  <si>
    <t>X15946</t>
  </si>
  <si>
    <t>X16811</t>
  </si>
  <si>
    <t>X15999</t>
  </si>
  <si>
    <t>X16130</t>
  </si>
  <si>
    <t>X16230</t>
  </si>
  <si>
    <t>X16472</t>
  </si>
  <si>
    <t>X16881</t>
  </si>
  <si>
    <t>X17328</t>
  </si>
  <si>
    <t>X17968</t>
  </si>
  <si>
    <t>XN19192</t>
  </si>
  <si>
    <t>X15070</t>
  </si>
  <si>
    <t>X15194</t>
  </si>
  <si>
    <t>X15943</t>
  </si>
  <si>
    <t>X16600</t>
  </si>
  <si>
    <t>XN17923</t>
  </si>
  <si>
    <t>XN19581</t>
  </si>
  <si>
    <t>X15772</t>
  </si>
  <si>
    <t>X17057</t>
  </si>
  <si>
    <t>XN19522</t>
  </si>
  <si>
    <t>X15090</t>
  </si>
  <si>
    <t>A18606</t>
  </si>
  <si>
    <t>X15058</t>
  </si>
  <si>
    <t>X15117</t>
  </si>
  <si>
    <t>X15685</t>
  </si>
  <si>
    <t>X16786</t>
  </si>
  <si>
    <t>X17790</t>
  </si>
  <si>
    <t>X18876</t>
  </si>
  <si>
    <t>XN19305</t>
  </si>
  <si>
    <t>X15043</t>
  </si>
  <si>
    <t>X15025</t>
  </si>
  <si>
    <t>X15052</t>
  </si>
  <si>
    <t>X15671</t>
  </si>
  <si>
    <t>XN19913</t>
  </si>
  <si>
    <t>XN18750</t>
  </si>
  <si>
    <t>X17557</t>
  </si>
  <si>
    <t>X17038</t>
  </si>
  <si>
    <t>X17733</t>
  </si>
  <si>
    <t>X18058</t>
  </si>
  <si>
    <t>X19199</t>
  </si>
  <si>
    <t>XN20498</t>
  </si>
  <si>
    <t>X16617</t>
  </si>
  <si>
    <t>X17206</t>
  </si>
  <si>
    <t>X15047</t>
  </si>
  <si>
    <t>XN19139</t>
  </si>
  <si>
    <t>X15574</t>
  </si>
  <si>
    <t>X15869</t>
  </si>
  <si>
    <t>X15983</t>
  </si>
  <si>
    <t>X16321</t>
  </si>
  <si>
    <t>X16462</t>
  </si>
  <si>
    <t>X18230</t>
  </si>
  <si>
    <t>XN18749</t>
  </si>
  <si>
    <t>X15256</t>
  </si>
  <si>
    <t>XN20803</t>
  </si>
  <si>
    <t>X15537</t>
  </si>
  <si>
    <t>XN18964</t>
  </si>
  <si>
    <t>X15103</t>
  </si>
  <si>
    <t>X15091</t>
  </si>
  <si>
    <t>X15192</t>
  </si>
  <si>
    <t>X15826</t>
  </si>
  <si>
    <t>X15927</t>
  </si>
  <si>
    <t>X17564</t>
  </si>
  <si>
    <t>XN17738</t>
  </si>
  <si>
    <t>XN17916</t>
  </si>
  <si>
    <t>XN18959</t>
  </si>
  <si>
    <t>XN20043</t>
  </si>
  <si>
    <t>X15097</t>
  </si>
  <si>
    <t>X15150</t>
  </si>
  <si>
    <t>X16619</t>
  </si>
  <si>
    <t>X17446</t>
  </si>
  <si>
    <t>X15046</t>
  </si>
  <si>
    <t>X15095</t>
  </si>
  <si>
    <t>X15962</t>
  </si>
  <si>
    <t>X16135</t>
  </si>
  <si>
    <t>X16528</t>
  </si>
  <si>
    <t>X16530</t>
  </si>
  <si>
    <t>X16797</t>
  </si>
  <si>
    <t>X17033</t>
  </si>
  <si>
    <t>X17129</t>
  </si>
  <si>
    <t>X17160</t>
  </si>
  <si>
    <t>X17515</t>
  </si>
  <si>
    <t>X17562</t>
  </si>
  <si>
    <t>X17705</t>
  </si>
  <si>
    <t>X17920</t>
  </si>
  <si>
    <t>X19005</t>
  </si>
  <si>
    <t>XN18165</t>
  </si>
  <si>
    <t>XN20086</t>
  </si>
  <si>
    <t>XN20149</t>
  </si>
  <si>
    <t>XN20160</t>
  </si>
  <si>
    <t>XN20921</t>
  </si>
  <si>
    <t>X15034</t>
  </si>
  <si>
    <t>X15127</t>
  </si>
  <si>
    <t>X16758</t>
  </si>
  <si>
    <t>X17083</t>
  </si>
  <si>
    <t>X17546</t>
  </si>
  <si>
    <t>XN21055</t>
  </si>
  <si>
    <t>X15152</t>
  </si>
  <si>
    <t>X15167</t>
  </si>
  <si>
    <t>X16178</t>
  </si>
  <si>
    <t>X16555</t>
  </si>
  <si>
    <t>X17107</t>
  </si>
  <si>
    <t>X17300</t>
  </si>
  <si>
    <t>X17608</t>
  </si>
  <si>
    <t>X17919</t>
  </si>
  <si>
    <t>X18226</t>
  </si>
  <si>
    <t>X18582</t>
  </si>
  <si>
    <t>X18791</t>
  </si>
  <si>
    <t>X18867</t>
  </si>
  <si>
    <t>X18896</t>
  </si>
  <si>
    <t>X18939</t>
  </si>
  <si>
    <t>X19010</t>
  </si>
  <si>
    <t>XN19632</t>
  </si>
  <si>
    <t>XN20218</t>
  </si>
  <si>
    <t>XN20959</t>
  </si>
  <si>
    <t>XN21007</t>
  </si>
  <si>
    <t>X15096</t>
  </si>
  <si>
    <t>X17150</t>
  </si>
  <si>
    <t>X16445</t>
  </si>
  <si>
    <t>Étiquettes de lignes</t>
  </si>
  <si>
    <t>Nombre de PROJET</t>
  </si>
  <si>
    <t>MIL</t>
  </si>
  <si>
    <t>NUC</t>
  </si>
  <si>
    <t>Name</t>
  </si>
  <si>
    <t>Report Cost Code</t>
  </si>
  <si>
    <t>Project Id</t>
  </si>
  <si>
    <t>Total Quantity</t>
  </si>
  <si>
    <t>MATHIEU ANDRUSZCZAK</t>
  </si>
  <si>
    <t>ALEX LIXON</t>
  </si>
  <si>
    <t>CARLA WALLART</t>
  </si>
  <si>
    <t>Requête SQL:</t>
  </si>
  <si>
    <t>CHRISTOPHE MAREE</t>
  </si>
  <si>
    <t>SELECT</t>
  </si>
  <si>
    <t xml:space="preserve">    T1.name,</t>
  </si>
  <si>
    <t>DANIEL LALOY</t>
  </si>
  <si>
    <t xml:space="preserve">    H2.report_cost_code,</t>
  </si>
  <si>
    <t>VINCENT DEWEZ</t>
  </si>
  <si>
    <t xml:space="preserve">    H2.Project_id,</t>
  </si>
  <si>
    <t>JULIEN FORNARA</t>
  </si>
  <si>
    <t xml:space="preserve">    SUM(H2.internal_quantity) AS total_quantity</t>
  </si>
  <si>
    <t>PHILIPPE LALOY</t>
  </si>
  <si>
    <t>MAAMAR GACI</t>
  </si>
  <si>
    <t>FROM IFSAPP.Project_transaction H2</t>
  </si>
  <si>
    <t>RAPHAEL VERDIN</t>
  </si>
  <si>
    <t>LEFT JOIN IFSAPP.PERSON_INFO_ALL T1</t>
  </si>
  <si>
    <t>MARC BERGAMASCO</t>
  </si>
  <si>
    <t xml:space="preserve">    ON T1.PERSON_ID = H2.emp_no</t>
  </si>
  <si>
    <t>CELDRIC BISCHOFF</t>
  </si>
  <si>
    <t>JOHANN PRONIER</t>
  </si>
  <si>
    <t>WHERE</t>
  </si>
  <si>
    <t>CATHERINE SADI</t>
  </si>
  <si>
    <t xml:space="preserve">    H2.report_cost_type_db = 1 </t>
  </si>
  <si>
    <t>IOSSIF PETROPOULOS</t>
  </si>
  <si>
    <t xml:space="preserve">    AND (</t>
  </si>
  <si>
    <t>DENIS BENICCHIO</t>
  </si>
  <si>
    <t xml:space="preserve">        H2.Project_id LIKE 'A1%'</t>
  </si>
  <si>
    <t>DIDIER SENECAT</t>
  </si>
  <si>
    <t xml:space="preserve">        OR H2.Project_id LIKE 'AN%'</t>
  </si>
  <si>
    <t>BERNARD JOUNIAUX</t>
  </si>
  <si>
    <t xml:space="preserve">        OR H2.Project_id LIKE 'AM%'</t>
  </si>
  <si>
    <t>KEVIN SCHMITT</t>
  </si>
  <si>
    <t xml:space="preserve">        OR H2.Project_id LIKE 'S1%'</t>
  </si>
  <si>
    <t>CHRISTOPHE SERPILLON</t>
  </si>
  <si>
    <t xml:space="preserve">        OR H2.Project_id LIKE 'SN%'</t>
  </si>
  <si>
    <t xml:space="preserve">        OR H2.Project_id LIKE 'SM%'</t>
  </si>
  <si>
    <t xml:space="preserve">        OR H2.Project_id LIKE 'X1%'</t>
  </si>
  <si>
    <t>DOMINIQUE BLAIRON</t>
  </si>
  <si>
    <t xml:space="preserve">        OR H2.Project_id LIKE 'XN%'</t>
  </si>
  <si>
    <t>ALAIN DUCROT</t>
  </si>
  <si>
    <t xml:space="preserve">        OR H2.Project_id LIKE 'XM%'</t>
  </si>
  <si>
    <t xml:space="preserve">    )</t>
  </si>
  <si>
    <t xml:space="preserve">        H2.report_cost_code LIKE '230%'</t>
  </si>
  <si>
    <t>STEPHANE NICOLAS</t>
  </si>
  <si>
    <t xml:space="preserve">        OR H2.report_cost_code LIKE '240%'</t>
  </si>
  <si>
    <t>ABDOUSSAMAD AMALLAH</t>
  </si>
  <si>
    <t>GROUP BY</t>
  </si>
  <si>
    <t>ANDRE HUART</t>
  </si>
  <si>
    <t>FRANCK LAURENT</t>
  </si>
  <si>
    <t xml:space="preserve">    H2.Project_id</t>
  </si>
  <si>
    <t>CYRIL DUBOIS</t>
  </si>
  <si>
    <t>JEAN CLAUDE LIENARD</t>
  </si>
  <si>
    <t>OLIVIER BARRE</t>
  </si>
  <si>
    <t>LOGAN HELIN</t>
  </si>
  <si>
    <t>THERESE CAWET</t>
  </si>
  <si>
    <t>BENOIT DENIMAL</t>
  </si>
  <si>
    <t>Aurélie FASQUELLE</t>
  </si>
  <si>
    <t>CHRISTIAN LAVIELLE</t>
  </si>
  <si>
    <t>BENOIT LESUEUR</t>
  </si>
  <si>
    <t>CHRISTOPHE MAS</t>
  </si>
  <si>
    <t>DIDIER BLYAU</t>
  </si>
  <si>
    <t>JEAN MICHEL BROUSMICHE</t>
  </si>
  <si>
    <t>DIDIER CLAUSE</t>
  </si>
  <si>
    <t>RACHID HARMOUN</t>
  </si>
  <si>
    <t>ETIENNE GILBERT</t>
  </si>
  <si>
    <t>SIMON BONNEMAISON</t>
  </si>
  <si>
    <t>DAVID FLAMANT</t>
  </si>
  <si>
    <t>BENJAMIN DUSSART</t>
  </si>
  <si>
    <t>MAXIME BALLIGAND</t>
  </si>
  <si>
    <t>AYMEN AMMAR</t>
  </si>
  <si>
    <t>DAVID PERISSINOTTO</t>
  </si>
  <si>
    <t>AURELIEN BUISSET</t>
  </si>
  <si>
    <t>WALID BOUGHANMI</t>
  </si>
  <si>
    <t>GIANY BRAVIN</t>
  </si>
  <si>
    <t>PATRICK CHARPENTIER</t>
  </si>
  <si>
    <t>LOUIS SAINT POL</t>
  </si>
  <si>
    <t>VINCENT SAUTIER</t>
  </si>
  <si>
    <t>CHRISTOPHE PARIS</t>
  </si>
  <si>
    <t>CLAUDE BERNAVILLE</t>
  </si>
  <si>
    <t>GREGORY KOPEC</t>
  </si>
  <si>
    <t>PATRICK BADER</t>
  </si>
  <si>
    <t>DIDACE EKEOM</t>
  </si>
  <si>
    <t>EMMANUEL DELANNOY</t>
  </si>
  <si>
    <t>ANTHONY GAMBEY</t>
  </si>
  <si>
    <t>NASSIM KADDOUH</t>
  </si>
  <si>
    <t>SEBASTIEN PITON</t>
  </si>
  <si>
    <t>LIYAS DJOUDI</t>
  </si>
  <si>
    <t>LAURENT LEPOUTERE</t>
  </si>
  <si>
    <t>JEAN DENIS DUMONT</t>
  </si>
  <si>
    <t>JEAN LUC LEPERS</t>
  </si>
  <si>
    <t>MAXIME PLOYARD</t>
  </si>
  <si>
    <t>GERMAIN LEQUIN</t>
  </si>
  <si>
    <t>PATRICE WALLERAND</t>
  </si>
  <si>
    <t>GUILLAUME LANCIGU</t>
  </si>
  <si>
    <t>MICKAEL HAUSSY</t>
  </si>
  <si>
    <t>SEBASTIEN BULTEEL</t>
  </si>
  <si>
    <t>PHILIPPE PERRET</t>
  </si>
  <si>
    <t>JEAN MICHEL LIBERT</t>
  </si>
  <si>
    <t>FREDERIC LELIEVRE</t>
  </si>
  <si>
    <t>ROMAIN LIBERT</t>
  </si>
  <si>
    <t>SULLIVAN FINET</t>
  </si>
  <si>
    <t>NICOLAS COX</t>
  </si>
  <si>
    <t>BERTRAND DEPOERS</t>
  </si>
  <si>
    <t>SEBASTIEN LELONG</t>
  </si>
  <si>
    <t>VINCENT DESBOIS</t>
  </si>
  <si>
    <t>STEVEN DESQUILBET</t>
  </si>
  <si>
    <t>STEPHANIE FERNET</t>
  </si>
  <si>
    <t>MAXIME CRESSIN</t>
  </si>
  <si>
    <t>FRANCOIS RONDEL</t>
  </si>
  <si>
    <t>JEROME LAPOSY</t>
  </si>
  <si>
    <t>FABIEN POTDEVIN</t>
  </si>
  <si>
    <t>XAVIER PLESSY</t>
  </si>
  <si>
    <t>GREGORY DEHOUST</t>
  </si>
  <si>
    <t>FLORIAN GOSSELIN</t>
  </si>
  <si>
    <t>JEAN MARC VIVIER</t>
  </si>
  <si>
    <t>PHILIPPE VANPEE</t>
  </si>
  <si>
    <t>MAUDE WIBAUT</t>
  </si>
  <si>
    <t>JEROME CHRETIEN</t>
  </si>
  <si>
    <t>NICOLAS RULLEAU</t>
  </si>
  <si>
    <t>JEAN MICHEL MATTEO</t>
  </si>
  <si>
    <t>BERNARD DESCAMPS</t>
  </si>
  <si>
    <t>PHILIPPE ROBERT</t>
  </si>
  <si>
    <t>THOMAS DANEL</t>
  </si>
  <si>
    <t>PHILIPPE DOMMANGET</t>
  </si>
  <si>
    <t>MURAT AYTEN</t>
  </si>
  <si>
    <t>GONZAGUE LAMBIN</t>
  </si>
  <si>
    <t>YANN LOFFREDO</t>
  </si>
  <si>
    <t>HERVE HATTE</t>
  </si>
  <si>
    <t>VINCENT AUGER</t>
  </si>
  <si>
    <t>ALEXANDRE GRZEGORZEWSKI</t>
  </si>
  <si>
    <t>YVES DEBLESER</t>
  </si>
  <si>
    <t>AURELIEN DUFOUR</t>
  </si>
  <si>
    <t>JEAN PIERRE DEVOS</t>
  </si>
  <si>
    <t>LAURIE WILLEMAN</t>
  </si>
  <si>
    <t>JACQUES GUILLOT</t>
  </si>
  <si>
    <t>ABDERRAHIM BENTEFRIT</t>
  </si>
  <si>
    <t>PATRICE APPLINCOURT</t>
  </si>
  <si>
    <t>MICKAEL DEGUELDRE</t>
  </si>
  <si>
    <t>FRANCISCO ARIAS</t>
  </si>
  <si>
    <t>REMI POCHET</t>
  </si>
  <si>
    <t>ALAIN SAMAIN</t>
  </si>
  <si>
    <t>HICHAM AOUZAL</t>
  </si>
  <si>
    <t>JEAN-PIERRE NASTOGA</t>
  </si>
  <si>
    <t>GUY LEGOIX</t>
  </si>
  <si>
    <t>HEURES REGULARISATION</t>
  </si>
  <si>
    <t>VINCENT DOCHEZ</t>
  </si>
  <si>
    <t>CARLO FERRARI</t>
  </si>
  <si>
    <t>PHILIPPE DELOFFRE</t>
  </si>
  <si>
    <t>THIERRY BERTRAND</t>
  </si>
  <si>
    <t>GUY FLURY</t>
  </si>
  <si>
    <t>HILIWI LEAKE KIDANE</t>
  </si>
  <si>
    <t>AYOUB AMAYOU</t>
  </si>
  <si>
    <t>RODOLPHE BOSCH CANO</t>
  </si>
  <si>
    <t>ALEXIS SAAL</t>
  </si>
  <si>
    <t>POL VICLAZ</t>
  </si>
  <si>
    <t>YUE AMELON</t>
  </si>
  <si>
    <t>BERNARD GOLLENTZ</t>
  </si>
  <si>
    <t>NICOLAS AMELON</t>
  </si>
  <si>
    <t>ROMAIN HEINRICH</t>
  </si>
  <si>
    <t>STEPHAN POUPON</t>
  </si>
  <si>
    <t>NICOLAS BEAUJEAN</t>
  </si>
  <si>
    <t>FREDERIC YARDIN</t>
  </si>
  <si>
    <t>CLEMENT LENNE</t>
  </si>
  <si>
    <t>LUDOVIC DECRUCQ</t>
  </si>
  <si>
    <t>JEROME DORMIGNY</t>
  </si>
  <si>
    <t>ROMUALD CORTHALS</t>
  </si>
  <si>
    <t>JEAN CLAUDE DESQUILBET</t>
  </si>
  <si>
    <t>PAUL GROSSAUX</t>
  </si>
  <si>
    <t>ANTONY DUTAILLY</t>
  </si>
  <si>
    <t>SEBASTIEN DEFRANCE</t>
  </si>
  <si>
    <t>JEAN PAUL PROTEAU</t>
  </si>
  <si>
    <t>VICTOR DOTSU</t>
  </si>
  <si>
    <t>EDDIE MATAGNE</t>
  </si>
  <si>
    <t>FRANCO DEL POZZO</t>
  </si>
  <si>
    <t>GUILLAUME LOCQUENEUX</t>
  </si>
  <si>
    <t>MICHAEL BERNAUX</t>
  </si>
  <si>
    <t>VINCENT FLAVIGNY</t>
  </si>
  <si>
    <t>CEDRIC DOUCHE</t>
  </si>
  <si>
    <t>JEREMY HAIM</t>
  </si>
  <si>
    <t>JEREMY LE ROUX</t>
  </si>
  <si>
    <t>FRANCOIS LE FOLL</t>
  </si>
  <si>
    <t>MARC ANTOINE LEMESLE</t>
  </si>
  <si>
    <t>AURELIEN GLACHET</t>
  </si>
  <si>
    <t>THIERRY LAPOSTOLLE</t>
  </si>
  <si>
    <t>ALI OUADOURI</t>
  </si>
  <si>
    <t>ALEXANDRE DENIS</t>
  </si>
  <si>
    <t>JONATHAN LOCOCCIOLO</t>
  </si>
  <si>
    <t>RUDY APPLINCOURT</t>
  </si>
  <si>
    <t>GEOFFREY TRUYENS</t>
  </si>
  <si>
    <t>MATTHIEU LENNE</t>
  </si>
  <si>
    <t>MATTHIEU MATON</t>
  </si>
  <si>
    <t>JULIEN SANTINI</t>
  </si>
  <si>
    <t>GUILLAUME DRU</t>
  </si>
  <si>
    <t>NICOLAS BRISSEZ</t>
  </si>
  <si>
    <t>JULIE VINCENT</t>
  </si>
  <si>
    <t>JEROME MOLLE</t>
  </si>
  <si>
    <t>SYLVAIN BOITELET</t>
  </si>
  <si>
    <t>SLIMANE HASSAINI</t>
  </si>
  <si>
    <t>SYLVAIN BELOT</t>
  </si>
  <si>
    <t>OLIVIER DIRAND</t>
  </si>
  <si>
    <t>ROMAIN BRIOIS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</si>
</sst>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theme="4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14" fontId="0" fillId="0" borderId="0" xfId="0" applyNumberFormat="1"/>
    <xf numFmtId="0" fontId="0" fillId="2" borderId="2" xfId="0" applyFill="1" applyBorder="1"/>
    <xf numFmtId="14" fontId="0" fillId="2" borderId="3" xfId="0" applyNumberFormat="1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4" borderId="5" xfId="0" applyFill="1" applyBorder="1"/>
    <xf numFmtId="0" fontId="0" fillId="0" borderId="0" xfId="0" applyAlignment="1">
      <alignment horizontal="left"/>
    </xf>
    <xf numFmtId="0" fontId="0" fillId="0" borderId="5" xfId="0" applyBorder="1"/>
    <xf numFmtId="0" fontId="0" fillId="2" borderId="5" xfId="0" applyFill="1" applyBorder="1"/>
    <xf numFmtId="0" fontId="1" fillId="2" borderId="5" xfId="0" applyFont="1" applyFill="1" applyBorder="1"/>
    <xf numFmtId="0" fontId="0" fillId="5" borderId="5" xfId="0" applyFill="1" applyBorder="1"/>
    <xf numFmtId="0" fontId="0" fillId="3" borderId="4" xfId="0" applyFill="1" applyBorder="1"/>
    <xf numFmtId="0" fontId="0" fillId="3" borderId="8" xfId="0" applyFill="1" applyBorder="1"/>
    <xf numFmtId="0" fontId="1" fillId="6" borderId="9" xfId="0" applyFont="1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ONFUT ANTOINE" refreshedDate="46104.608934027783" createdVersion="8" refreshedVersion="8" minRefreshableVersion="3" recordCount="359" xr:uid="{00000000-000A-0000-FFFF-FFFF00000000}">
  <cacheSource type="worksheet">
    <worksheetSource ref="A1:AB357" sheet="Machines"/>
  </cacheSource>
  <cacheFields count="29">
    <cacheField name="N° Projet" numFmtId="0">
      <sharedItems/>
    </cacheField>
    <cacheField name="DATE" numFmtId="14">
      <sharedItems containsSemiMixedTypes="0" containsNonDate="0" containsDate="1" containsString="0" minDate="2009-07-02T00:00:00" maxDate="2025-12-05T00:00:00"/>
    </cacheField>
    <cacheField name="PROJET" numFmtId="0">
      <sharedItems/>
    </cacheField>
    <cacheField name="NUMERO" numFmtId="0">
      <sharedItems/>
    </cacheField>
    <cacheField name="CLIENT" numFmtId="0">
      <sharedItems/>
    </cacheField>
    <cacheField name="CLIENT FINAL" numFmtId="0">
      <sharedItems/>
    </cacheField>
    <cacheField name="TYPE" numFmtId="0">
      <sharedItems/>
    </cacheField>
    <cacheField name="DESCRIPTION" numFmtId="0">
      <sharedItems containsBlank="1"/>
    </cacheField>
    <cacheField name="REFERENCE" numFmtId="0">
      <sharedItems containsBlank="1"/>
    </cacheField>
    <cacheField name="NB MACHINES" numFmtId="0">
      <sharedItems containsSemiMixedTypes="0" containsString="0" containsNumber="1" containsInteger="1" minValue="1" maxValue="99"/>
    </cacheField>
    <cacheField name="MW" numFmtId="0">
      <sharedItems containsSemiMixedTypes="0" containsString="0" containsNumber="1" minValue="0.1" maxValue="100"/>
    </cacheField>
    <cacheField name="KV" numFmtId="0">
      <sharedItems containsSemiMixedTypes="0" containsString="0" containsNumber="1" minValue="2" maxValue="16.8"/>
    </cacheField>
    <cacheField name="CPHI" numFmtId="0">
      <sharedItems containsSemiMixedTypes="0" containsString="0" containsNumber="1" minValue="0.7" maxValue="1"/>
    </cacheField>
    <cacheField name="HZ" numFmtId="0">
      <sharedItems containsSemiMixedTypes="0" containsString="0" containsNumber="1" minValue="0" maxValue="150"/>
    </cacheField>
    <cacheField name="TR/MIN" numFmtId="0">
      <sharedItems containsSemiMixedTypes="0" containsString="0" containsNumber="1" containsInteger="1" minValue="0" maxValue="4800"/>
    </cacheField>
    <cacheField name="DAL" numFmtId="0">
      <sharedItems containsSemiMixedTypes="0" containsString="0" containsNumber="1" containsInteger="1" minValue="20" maxValue="789"/>
    </cacheField>
    <cacheField name="LFER" numFmtId="0">
      <sharedItems containsSemiMixedTypes="0" containsString="0" containsNumber="1" containsInteger="1" minValue="20" maxValue="500"/>
    </cacheField>
    <cacheField name="NB POLES" numFmtId="0">
      <sharedItems containsSemiMixedTypes="0" containsString="0" containsNumber="1" containsInteger="1" minValue="0" maxValue="44"/>
    </cacheField>
    <cacheField name="NB ENCOCHES" numFmtId="0">
      <sharedItems containsSemiMixedTypes="0" containsString="0" containsNumber="1" containsInteger="1" minValue="20" maxValue="342"/>
    </cacheField>
    <cacheField name="IC" numFmtId="0">
      <sharedItems containsMixedTypes="1" containsNumber="1" containsInteger="1" minValue="0" maxValue="666"/>
    </cacheField>
    <cacheField name="IM" numFmtId="0">
      <sharedItems containsMixedTypes="1" containsNumber="1" containsInteger="1" minValue="1000" maxValue="8421"/>
    </cacheField>
    <cacheField name="IP" numFmtId="0">
      <sharedItems containsMixedTypes="1" containsNumber="1" containsInteger="1" minValue="0" maxValue="7326"/>
    </cacheField>
    <cacheField name="EEX" numFmtId="0">
      <sharedItems/>
    </cacheField>
    <cacheField name="Type produit" numFmtId="0">
      <sharedItems count="2">
        <s v="ASYNCH"/>
        <s v="SYNCH"/>
      </sharedItems>
    </cacheField>
    <cacheField name="Produit" numFmtId="0">
      <sharedItems count="6">
        <s v="ASYNCH_CAGE"/>
        <s v="ALT_4P_S"/>
        <s v=""/>
        <s v="ASYNCH_BAGUES"/>
        <s v="ALT_2P"/>
        <s v="ALT_4P_L"/>
      </sharedItems>
    </cacheField>
    <cacheField name="Type affaire" numFmtId="0">
      <sharedItems containsNonDate="0" containsString="0" containsBlank="1"/>
    </cacheField>
    <cacheField name="DAS" numFmtId="0">
      <sharedItems count="3">
        <s v="NUC"/>
        <s v="MS"/>
        <s v="MIL"/>
      </sharedItems>
    </cacheField>
    <cacheField name="Secteur" numFmtId="0">
      <sharedItems containsBlank="1"/>
    </cacheField>
    <cacheField name="Heures projet" numFmtId="0">
      <sharedItems containsMixedTypes="1" containsNumber="1" minValue="1" maxValue="1500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359">
  <r>
    <s v="AN19119"/>
    <d v="2021-01-07T00:00:00"/>
    <s v="7 MOTEURS DE RECHANGE EDF"/>
    <s v="M70"/>
    <s v="EDF UTO"/>
    <s v="EDF UTO"/>
    <s v="ASYN"/>
    <s v="TNCY 630 C6"/>
    <s v="A15477 M20"/>
    <n v="1"/>
    <n v="5"/>
    <n v="6"/>
    <n v="1"/>
    <n v="50"/>
    <n v="1000"/>
    <n v="55"/>
    <n v="50"/>
    <n v="6"/>
    <n v="72"/>
    <s v="6A1A1"/>
    <n v="3011"/>
    <n v="55"/>
    <s v="-"/>
    <x v="0"/>
    <x v="0"/>
    <m/>
    <x v="0"/>
    <s v=""/>
    <n v="4387.05"/>
  </r>
  <r>
    <s v="A18154"/>
    <d v="2018-06-18T00:00:00"/>
    <s v="HENGHAM"/>
    <s v="M60"/>
    <s v="AEROMECCANICA"/>
    <s v="PIDEMCO"/>
    <s v="ASYN"/>
    <s v="JEMAC355TS2"/>
    <m/>
    <n v="1"/>
    <n v="0.315"/>
    <n v="6"/>
    <n v="0.92"/>
    <n v="50"/>
    <n v="3000"/>
    <n v="36"/>
    <n v="35"/>
    <n v="2"/>
    <n v="42"/>
    <n v="611"/>
    <n v="1001"/>
    <n v="55"/>
    <s v="P"/>
    <x v="0"/>
    <x v="0"/>
    <m/>
    <x v="1"/>
    <s v=""/>
    <n v="960.2"/>
  </r>
  <r>
    <s v="AN19119"/>
    <d v="2021-01-07T00:00:00"/>
    <s v="7 MOTEURS DE RECHANGE EDF"/>
    <s v="M60"/>
    <s v="EDF UTO"/>
    <s v="EDF UTO"/>
    <s v="ASYN"/>
    <s v="TNCY 630 A6"/>
    <m/>
    <n v="1"/>
    <n v="4"/>
    <n v="6"/>
    <n v="1"/>
    <n v="50"/>
    <n v="1000"/>
    <n v="50"/>
    <n v="50"/>
    <n v="6"/>
    <n v="72"/>
    <n v="151"/>
    <n v="3011"/>
    <n v="55"/>
    <s v="-"/>
    <x v="0"/>
    <x v="0"/>
    <m/>
    <x v="0"/>
    <s v=""/>
    <n v="4387.05"/>
  </r>
  <r>
    <s v="A18154"/>
    <d v="2018-06-18T00:00:00"/>
    <s v="HENGHAM"/>
    <s v="M50"/>
    <s v="AEROMECCANICA"/>
    <s v="PIDEMCO"/>
    <s v="ASYN"/>
    <s v="JEMAC450TS6"/>
    <m/>
    <n v="1"/>
    <n v="0.85"/>
    <n v="6"/>
    <n v="0.84"/>
    <n v="50"/>
    <n v="1000"/>
    <n v="57"/>
    <n v="68"/>
    <n v="6"/>
    <n v="72"/>
    <n v="611"/>
    <n v="1001"/>
    <n v="55"/>
    <s v="-"/>
    <x v="0"/>
    <x v="0"/>
    <m/>
    <x v="1"/>
    <s v=""/>
    <n v="960.2"/>
  </r>
  <r>
    <s v="AN17279"/>
    <d v="2016-03-21T00:00:00"/>
    <s v="5 MOTEURS RECHANGES EDF"/>
    <s v="M50"/>
    <s v="EDF"/>
    <s v="EDF"/>
    <s v="ASYN"/>
    <s v="TNC 560 B4"/>
    <m/>
    <n v="1"/>
    <n v="1"/>
    <n v="6"/>
    <n v="1"/>
    <n v="50"/>
    <n v="1500"/>
    <n v="45"/>
    <n v="37"/>
    <n v="4"/>
    <n v="66"/>
    <n v="151"/>
    <n v="1001"/>
    <n v="55"/>
    <s v="I"/>
    <x v="0"/>
    <x v="0"/>
    <m/>
    <x v="0"/>
    <m/>
    <n v="3435.02"/>
  </r>
  <r>
    <s v="AN17796"/>
    <d v="2017-10-06T00:00:00"/>
    <s v="12 MOTEURS EDF"/>
    <s v="M50"/>
    <s v="EDF UTO"/>
    <s v="EDF UTO"/>
    <s v="ASYN"/>
    <s v="RNCY 99,5-62-4"/>
    <s v="A16083"/>
    <n v="2"/>
    <n v="1"/>
    <n v="6"/>
    <n v="1"/>
    <n v="50"/>
    <n v="1500"/>
    <n v="67"/>
    <n v="62"/>
    <n v="4"/>
    <n v="72"/>
    <s v="8A1W7"/>
    <n v="3011"/>
    <n v="55"/>
    <s v="-"/>
    <x v="0"/>
    <x v="0"/>
    <m/>
    <x v="0"/>
    <m/>
    <n v="1830.7"/>
  </r>
  <r>
    <s v="AN19119"/>
    <d v="2021-01-07T00:00:00"/>
    <s v="7 MOTEURS DE RECHANGE EDF"/>
    <s v="M50"/>
    <s v="EDF UTO"/>
    <s v="EDF UTO"/>
    <s v="ASYN"/>
    <s v="TNCY 560 D6"/>
    <s v="A15477 M60"/>
    <n v="1"/>
    <n v="3"/>
    <n v="6"/>
    <n v="1"/>
    <n v="50"/>
    <n v="1000"/>
    <n v="48"/>
    <n v="47"/>
    <n v="6"/>
    <n v="72"/>
    <s v="5A1A1"/>
    <n v="3011"/>
    <n v="55"/>
    <s v="-"/>
    <x v="0"/>
    <x v="0"/>
    <m/>
    <x v="0"/>
    <m/>
    <n v="4387.05"/>
  </r>
  <r>
    <s v="A17935"/>
    <d v="2018-01-08T00:00:00"/>
    <s v="PETCO-ABADAN"/>
    <s v="M40"/>
    <s v="IDCC"/>
    <s v="PETCO"/>
    <s v="ASYN"/>
    <s v="JEMAC560TS4"/>
    <m/>
    <n v="3"/>
    <n v="2.1"/>
    <n v="6"/>
    <n v="0.88"/>
    <n v="50"/>
    <n v="1500"/>
    <n v="66"/>
    <n v="94"/>
    <n v="4"/>
    <n v="72"/>
    <n v="611"/>
    <n v="1001"/>
    <n v="55"/>
    <s v="E"/>
    <x v="0"/>
    <x v="0"/>
    <m/>
    <x v="1"/>
    <m/>
    <n v="469.35"/>
  </r>
  <r>
    <s v="A18154"/>
    <d v="2018-06-18T00:00:00"/>
    <s v="HENGHAM"/>
    <s v="M40"/>
    <s v="AEROMECCANICA"/>
    <s v="PIDEMCO"/>
    <s v="ASYN"/>
    <s v="JEMAC500TM6"/>
    <m/>
    <n v="1"/>
    <n v="1.6"/>
    <n v="6"/>
    <n v="0.87"/>
    <n v="50"/>
    <n v="1000"/>
    <n v="62"/>
    <n v="104"/>
    <n v="6"/>
    <n v="72"/>
    <n v="611"/>
    <n v="1001"/>
    <n v="55"/>
    <s v="-"/>
    <x v="0"/>
    <x v="0"/>
    <m/>
    <x v="1"/>
    <m/>
    <n v="960.2"/>
  </r>
  <r>
    <s v="A18779"/>
    <d v="2019-12-06T00:00:00"/>
    <s v="ADISH"/>
    <s v="M40"/>
    <s v="ROODHART MENA DWC LLC"/>
    <s v="INCONNU"/>
    <s v="ASYN"/>
    <s v="JEMAC450TS4"/>
    <m/>
    <n v="2"/>
    <n v="1.1"/>
    <n v="6"/>
    <n v="0.89"/>
    <n v="50"/>
    <n v="1500"/>
    <n v="51"/>
    <n v="70"/>
    <n v="4"/>
    <n v="72"/>
    <n v="611"/>
    <n v="1001"/>
    <n v="55"/>
    <s v="E"/>
    <x v="0"/>
    <x v="0"/>
    <m/>
    <x v="1"/>
    <m/>
    <n v="202.6"/>
  </r>
  <r>
    <s v="AN17279"/>
    <d v="2016-03-21T00:00:00"/>
    <s v="5 MOTEURS RECHANGES EDF"/>
    <s v="M40"/>
    <s v="EDF"/>
    <s v="EDF"/>
    <s v="ASYN"/>
    <s v="TNCY 500 A4"/>
    <m/>
    <n v="1"/>
    <n v="1"/>
    <n v="6"/>
    <n v="1"/>
    <n v="50"/>
    <n v="1500"/>
    <n v="38"/>
    <n v="38"/>
    <n v="4"/>
    <n v="66"/>
    <n v="151"/>
    <n v="1001"/>
    <n v="55"/>
    <s v="-"/>
    <x v="0"/>
    <x v="0"/>
    <m/>
    <x v="0"/>
    <m/>
    <n v="3435.02"/>
  </r>
  <r>
    <s v="AN17796"/>
    <d v="2017-10-06T00:00:00"/>
    <s v="12 MOTEURS EDF"/>
    <s v="M40"/>
    <s v="EDF UTO"/>
    <s v="EDF UTO"/>
    <s v="ASYN"/>
    <s v="TNCY 140-80-6"/>
    <s v="A15168A2"/>
    <n v="2"/>
    <n v="3"/>
    <n v="6"/>
    <n v="1"/>
    <n v="50"/>
    <n v="1000"/>
    <n v="99"/>
    <n v="80"/>
    <n v="6"/>
    <n v="108"/>
    <s v="6A1A1"/>
    <n v="3011"/>
    <n v="55"/>
    <s v="-"/>
    <x v="0"/>
    <x v="0"/>
    <m/>
    <x v="0"/>
    <m/>
    <n v="1830.7"/>
  </r>
  <r>
    <s v="AN19119"/>
    <d v="2021-01-07T00:00:00"/>
    <s v="7 MOTEURS DE RECHANGE EDF"/>
    <s v="M40"/>
    <s v="EDF UTO"/>
    <s v="EDF UTO"/>
    <s v="ASYN"/>
    <s v="TNC 630 C4"/>
    <s v="A15607 M20"/>
    <n v="1"/>
    <n v="63"/>
    <n v="6"/>
    <n v="1"/>
    <n v="50"/>
    <n v="1500"/>
    <n v="52"/>
    <n v="51"/>
    <n v="4"/>
    <n v="72"/>
    <s v="6A1A1"/>
    <n v="1001"/>
    <n v="55"/>
    <s v="-"/>
    <x v="0"/>
    <x v="0"/>
    <m/>
    <x v="0"/>
    <m/>
    <n v="4387.05"/>
  </r>
  <r>
    <s v="S16643"/>
    <d v="2014-05-23T00:00:00"/>
    <s v="I34"/>
    <s v="M40"/>
    <s v="STX"/>
    <s v="BRITTANIY FERRIES"/>
    <s v="SYNCA"/>
    <s v="JEGSY 112L"/>
    <m/>
    <n v="2"/>
    <n v="7"/>
    <n v="11"/>
    <n v="0.9"/>
    <n v="50"/>
    <n v="500"/>
    <n v="141"/>
    <n v="129"/>
    <n v="12"/>
    <n v="144"/>
    <s v="8A1W7"/>
    <n v="1101"/>
    <n v="44"/>
    <s v="-"/>
    <x v="1"/>
    <x v="1"/>
    <m/>
    <x v="1"/>
    <m/>
    <n v="118.5"/>
  </r>
  <r>
    <s v="A16618"/>
    <d v="2014-04-23T00:00:00"/>
    <s v="ITER"/>
    <s v="M30"/>
    <s v="COFELY AXIMA"/>
    <s v="AIR LIQUIDE"/>
    <s v="ASYN"/>
    <s v="Jemac 500RL2_6,6_50"/>
    <m/>
    <n v="6"/>
    <n v="2.5"/>
    <n v="6.6"/>
    <n v="0.894"/>
    <n v="50"/>
    <n v="3000"/>
    <n v="44"/>
    <n v="89"/>
    <n v="2"/>
    <n v="54"/>
    <s v="IC8A1W7"/>
    <n v="1001"/>
    <n v="55"/>
    <s v="-"/>
    <x v="0"/>
    <x v="0"/>
    <m/>
    <x v="1"/>
    <m/>
    <n v="1824.95"/>
  </r>
  <r>
    <s v="A17275"/>
    <d v="2016-03-01T00:00:00"/>
    <s v="SWAM 2"/>
    <s v="M30"/>
    <s v="SWAM"/>
    <s v="SWAM"/>
    <s v="ASYN"/>
    <s v="JEMAC 450TM6 770KW"/>
    <s v="A16959_M10"/>
    <n v="6"/>
    <n v="1"/>
    <n v="6"/>
    <n v="0.9"/>
    <n v="50"/>
    <n v="1000"/>
    <n v="57"/>
    <n v="76"/>
    <n v="6"/>
    <n v="72"/>
    <s v="6A1A1"/>
    <n v="1001"/>
    <n v="55"/>
    <s v="E"/>
    <x v="0"/>
    <x v="0"/>
    <m/>
    <x v="1"/>
    <m/>
    <n v="2"/>
  </r>
  <r>
    <s v="A17935"/>
    <d v="2018-01-08T00:00:00"/>
    <s v="PETCO-ABADAN"/>
    <s v="M30"/>
    <s v="IDCC"/>
    <s v="PETCO"/>
    <s v="ASYN"/>
    <s v="JEMAC500TS4"/>
    <m/>
    <n v="3"/>
    <n v="1.35"/>
    <n v="6"/>
    <n v="0.87"/>
    <n v="50"/>
    <n v="1500"/>
    <n v="59"/>
    <n v="74"/>
    <n v="4"/>
    <n v="72"/>
    <n v="611"/>
    <n v="1001"/>
    <n v="55"/>
    <s v="E"/>
    <x v="0"/>
    <x v="0"/>
    <m/>
    <x v="1"/>
    <m/>
    <n v="469.35"/>
  </r>
  <r>
    <s v="A18154"/>
    <d v="2018-06-18T00:00:00"/>
    <s v="HENGHAM"/>
    <s v="M30"/>
    <s v="AEROMECCANICA"/>
    <s v="PIDEMCO"/>
    <s v="ASYN"/>
    <s v="JEMAC560TL2"/>
    <m/>
    <n v="1"/>
    <n v="2.25"/>
    <n v="6"/>
    <n v="0.92"/>
    <n v="50"/>
    <n v="3000"/>
    <n v="53"/>
    <n v="94"/>
    <n v="2"/>
    <n v="60"/>
    <n v="611"/>
    <n v="1001"/>
    <n v="55"/>
    <s v="-"/>
    <x v="0"/>
    <x v="0"/>
    <m/>
    <x v="1"/>
    <m/>
    <n v="960.2"/>
  </r>
  <r>
    <s v="A18779"/>
    <d v="2019-12-06T00:00:00"/>
    <s v="ADISH"/>
    <s v="M30"/>
    <s v="ROODHART MENA DWC LLC"/>
    <s v="INCONNU"/>
    <s v="ASYN"/>
    <s v="JEMAC355TS2"/>
    <m/>
    <n v="2"/>
    <n v="0.5"/>
    <n v="6"/>
    <n v="0.93"/>
    <n v="50"/>
    <n v="3000"/>
    <n v="36"/>
    <n v="45"/>
    <n v="2"/>
    <n v="42"/>
    <n v="611"/>
    <n v="1001"/>
    <n v="55"/>
    <s v="E"/>
    <x v="0"/>
    <x v="0"/>
    <m/>
    <x v="1"/>
    <m/>
    <n v="202.6"/>
  </r>
  <r>
    <s v="AN17279"/>
    <d v="2016-03-21T00:00:00"/>
    <s v="5 MOTEURS RECHANGES EDF"/>
    <s v="M30"/>
    <s v="EDF"/>
    <s v="EDF"/>
    <s v="ASYN"/>
    <s v="RNC 166-112-6"/>
    <m/>
    <n v="1"/>
    <n v="9"/>
    <n v="6"/>
    <n v="1"/>
    <n v="50"/>
    <n v="1000"/>
    <n v="118"/>
    <n v="112"/>
    <n v="6"/>
    <n v="108"/>
    <s v="W37A81"/>
    <n v="3011"/>
    <n v="55"/>
    <s v="-"/>
    <x v="0"/>
    <x v="0"/>
    <m/>
    <x v="0"/>
    <m/>
    <n v="3435.02"/>
  </r>
  <r>
    <s v="AN17796"/>
    <d v="2017-10-06T00:00:00"/>
    <s v="12 MOTEURS EDF"/>
    <s v="M30"/>
    <s v="EDF UTO"/>
    <s v="EDF UTO"/>
    <s v="ASYN"/>
    <s v="TNCY 140_70_6"/>
    <s v="A15168A1"/>
    <n v="2"/>
    <n v="3"/>
    <n v="6"/>
    <n v="1"/>
    <n v="50"/>
    <n v="1000"/>
    <n v="99"/>
    <n v="70"/>
    <n v="6"/>
    <n v="108"/>
    <s v="6A1A1"/>
    <n v="3011"/>
    <n v="55"/>
    <s v="-"/>
    <x v="0"/>
    <x v="0"/>
    <m/>
    <x v="0"/>
    <m/>
    <n v="1830.7"/>
  </r>
  <r>
    <s v="AN19119"/>
    <d v="2021-01-07T00:00:00"/>
    <s v="7 MOTEURS DE RECHANGE EDF"/>
    <s v="M30"/>
    <s v="EDF UTO"/>
    <s v="EDF UTO"/>
    <s v="ASYN"/>
    <s v="TNC 630 A4"/>
    <s v="A15607 M30"/>
    <n v="1"/>
    <n v="5"/>
    <n v="6"/>
    <n v="1"/>
    <n v="50"/>
    <n v="1500"/>
    <n v="52"/>
    <n v="38"/>
    <n v="4"/>
    <n v="72"/>
    <n v="151"/>
    <n v="1001"/>
    <n v="55"/>
    <s v="-"/>
    <x v="0"/>
    <x v="0"/>
    <m/>
    <x v="0"/>
    <m/>
    <n v="4387.05"/>
  </r>
  <r>
    <s v="S17225"/>
    <d v="2016-10-12T00:00:00"/>
    <s v="STX EDGE"/>
    <s v="M30"/>
    <s v="STX FRANCE"/>
    <s v="RCCL"/>
    <s v="SYNCA"/>
    <s v="JEGSY 100 S 10 R"/>
    <s v="S17225_M20"/>
    <n v="1"/>
    <n v="6.543"/>
    <n v="11"/>
    <n v="0.9"/>
    <n v="60"/>
    <n v="720"/>
    <n v="124"/>
    <n v="94"/>
    <n v="10"/>
    <n v="120"/>
    <s v="IC8A1W7"/>
    <n v="1101"/>
    <n v="56"/>
    <s v="-"/>
    <x v="1"/>
    <x v="1"/>
    <m/>
    <x v="1"/>
    <m/>
    <n v="3775.25"/>
  </r>
  <r>
    <s v="S18369"/>
    <d v="2019-03-11T00:00:00"/>
    <s v="EDGE M34"/>
    <s v="M30"/>
    <s v="STX"/>
    <s v="MSC"/>
    <s v="SYNCA"/>
    <s v="JEGSY 100 S10R"/>
    <s v="S17563_M30"/>
    <n v="1"/>
    <n v="6.543"/>
    <n v="11"/>
    <n v="0.9"/>
    <n v="60"/>
    <n v="720"/>
    <n v="122"/>
    <n v="94"/>
    <n v="10"/>
    <n v="120"/>
    <s v="8A1W7"/>
    <n v="1101"/>
    <n v="44"/>
    <s v="-"/>
    <x v="1"/>
    <x v="1"/>
    <m/>
    <x v="1"/>
    <m/>
    <n v="220.15"/>
  </r>
  <r>
    <s v="S20303"/>
    <d v="2023-03-06T00:00:00"/>
    <s v="EDGE N34"/>
    <s v="M30"/>
    <s v="STX"/>
    <s v="MSC"/>
    <s v="SYNCA"/>
    <s v="JEGSY 100 S10R"/>
    <s v="S18369_M30"/>
    <n v="1"/>
    <n v="6.543"/>
    <n v="11"/>
    <n v="0.9"/>
    <n v="60"/>
    <n v="720"/>
    <n v="122"/>
    <n v="94"/>
    <n v="10"/>
    <n v="120"/>
    <s v="8A1W7"/>
    <n v="1101"/>
    <n v="44"/>
    <s v="-"/>
    <x v="1"/>
    <x v="1"/>
    <m/>
    <x v="1"/>
    <m/>
    <s v=""/>
  </r>
  <r>
    <s v="S21712"/>
    <d v="2025-12-04T00:00:00"/>
    <s v="EDGE_V35"/>
    <s v="M30"/>
    <s v="CHANTIERS DE L'ATLANTIQUE"/>
    <s v="ROYAL CARIBBEAN CRUISE"/>
    <s v="SYNCA"/>
    <s v="JEGSY 100 S10R"/>
    <s v="S17225_M30"/>
    <n v="1"/>
    <n v="6"/>
    <n v="11"/>
    <n v="0.9"/>
    <n v="60"/>
    <n v="720"/>
    <n v="122"/>
    <n v="94"/>
    <n v="10"/>
    <n v="120"/>
    <s v="8A1W7"/>
    <n v="1101"/>
    <n v="44"/>
    <s v="-"/>
    <x v="1"/>
    <x v="1"/>
    <m/>
    <x v="1"/>
    <m/>
    <s v=""/>
  </r>
  <r>
    <s v="A16341"/>
    <d v="2013-09-19T00:00:00"/>
    <s v="RECHANGE TERGA 14P"/>
    <s v="M20"/>
    <s v="ALSTOM"/>
    <s v="ALSTOM"/>
    <s v="ASYN"/>
    <s v="JEMAC500TS14_6.6_50"/>
    <s v="56X.EI1463A2"/>
    <n v="1"/>
    <n v="0.615"/>
    <n v="6.6"/>
    <n v="0.74"/>
    <n v="50"/>
    <n v="428"/>
    <n v="69"/>
    <n v="114"/>
    <n v="14"/>
    <n v="126"/>
    <s v="6A1A1"/>
    <n v="3011"/>
    <n v="55"/>
    <s v="-"/>
    <x v="0"/>
    <x v="0"/>
    <m/>
    <x v="1"/>
    <m/>
    <n v="181"/>
  </r>
  <r>
    <s v="A16618"/>
    <d v="2015-07-07T00:00:00"/>
    <s v="ITER"/>
    <s v="M20"/>
    <s v="COFELY AXIMA"/>
    <s v="AIR LIQUIDE"/>
    <s v="ASYN"/>
    <s v="Jemac 400RXL2_6,6_60"/>
    <m/>
    <n v="3"/>
    <n v="1.1"/>
    <n v="6.6"/>
    <n v="0.91"/>
    <n v="60"/>
    <n v="3600"/>
    <n v="39"/>
    <n v="58"/>
    <n v="2"/>
    <n v="54"/>
    <s v="IC8A1W7"/>
    <n v="1001"/>
    <n v="55"/>
    <s v="-"/>
    <x v="0"/>
    <x v="0"/>
    <m/>
    <x v="1"/>
    <m/>
    <n v="1824.95"/>
  </r>
  <r>
    <s v="A16857"/>
    <d v="2015-01-28T00:00:00"/>
    <s v="1 JEMAC 900 TS10"/>
    <s v="M20"/>
    <s v="TERMOMECCANICA SPA"/>
    <s v="PARDIS PETROCHEMICAL CPY"/>
    <s v="ASYN"/>
    <s v="JEMAC900TS10-11-50"/>
    <s v="A15987"/>
    <n v="1"/>
    <n v="4.12"/>
    <n v="11"/>
    <n v="0.84"/>
    <n v="50"/>
    <n v="600"/>
    <n v="124"/>
    <n v="124"/>
    <n v="10"/>
    <n v="120"/>
    <s v="6A1A1"/>
    <n v="1001"/>
    <n v="55"/>
    <s v="-"/>
    <x v="0"/>
    <x v="0"/>
    <m/>
    <x v="1"/>
    <m/>
    <n v="268.15"/>
  </r>
  <r>
    <s v="A17090"/>
    <d v="2015-10-02T00:00:00"/>
    <s v="OASIS BELLY"/>
    <s v="M20"/>
    <s v="OASIS TECHNICAL CORP"/>
    <s v="SONEDE"/>
    <s v="ASYN"/>
    <s v="JEMAC 400TL6_5.5_50"/>
    <m/>
    <n v="1"/>
    <n v="0.71"/>
    <n v="5.5"/>
    <n v="0.84"/>
    <n v="50"/>
    <n v="1000"/>
    <n v="47"/>
    <n v="78"/>
    <n v="6"/>
    <n v="54"/>
    <s v="6A1A1"/>
    <n v="1001"/>
    <n v="55"/>
    <s v="-"/>
    <x v="0"/>
    <x v="0"/>
    <m/>
    <x v="1"/>
    <m/>
    <n v="22.3"/>
  </r>
  <r>
    <s v="A17275"/>
    <d v="2016-03-01T00:00:00"/>
    <s v="SWAM 2"/>
    <s v="M20"/>
    <s v="SWAM"/>
    <s v="SWAM"/>
    <s v="ASYN"/>
    <s v="JEMAC 355TS4 450KW"/>
    <s v="A16959_M10"/>
    <n v="4"/>
    <n v="1"/>
    <n v="6"/>
    <n v="0.9"/>
    <n v="50"/>
    <n v="1500"/>
    <n v="50"/>
    <n v="62"/>
    <n v="4"/>
    <n v="56"/>
    <s v="6A1A1"/>
    <n v="1001"/>
    <n v="55"/>
    <s v="E"/>
    <x v="0"/>
    <x v="0"/>
    <m/>
    <x v="1"/>
    <m/>
    <n v="2"/>
  </r>
  <r>
    <s v="A17496"/>
    <d v="2016-10-24T00:00:00"/>
    <s v="GHDIR EL GHOLA TR2"/>
    <s v="M20"/>
    <s v="COWATER INDUSTRY"/>
    <s v="SONEDE"/>
    <s v="ASYN"/>
    <s v="JEMAC 355 AL 6-5.5-50"/>
    <m/>
    <n v="2"/>
    <n v="0.52"/>
    <n v="5.5"/>
    <n v="0.83"/>
    <n v="50"/>
    <n v="1000"/>
    <n v="41"/>
    <n v="65"/>
    <n v="6"/>
    <n v="54"/>
    <s v="0A1"/>
    <n v="3011"/>
    <n v="23"/>
    <s v="-"/>
    <x v="0"/>
    <x v="0"/>
    <m/>
    <x v="1"/>
    <m/>
    <n v="46.3"/>
  </r>
  <r>
    <s v="A17935"/>
    <d v="2018-01-08T00:00:00"/>
    <s v="PETCO-ABADAN"/>
    <s v="M20"/>
    <s v="IDCC"/>
    <s v="PETCO"/>
    <s v="ASYN"/>
    <s v="JEMAC450TL2"/>
    <m/>
    <n v="3"/>
    <n v="1.45"/>
    <n v="6"/>
    <n v="0.91"/>
    <n v="50"/>
    <n v="3000"/>
    <n v="45"/>
    <n v="65"/>
    <n v="2"/>
    <n v="54"/>
    <n v="611"/>
    <n v="1001"/>
    <n v="55"/>
    <s v="E"/>
    <x v="0"/>
    <x v="0"/>
    <m/>
    <x v="1"/>
    <m/>
    <n v="469.35"/>
  </r>
  <r>
    <s v="A18152"/>
    <d v="2018-07-16T00:00:00"/>
    <s v="TENGUIZ TPCB"/>
    <s v="M20"/>
    <s v="LFF"/>
    <s v="TCO"/>
    <s v="ASYN"/>
    <s v="TPCB 710 Y 2"/>
    <s v="A16054 M10"/>
    <n v="1"/>
    <n v="2.7"/>
    <n v="10"/>
    <n v="0.9"/>
    <n v="50"/>
    <n v="3000"/>
    <n v="55"/>
    <n v="71"/>
    <n v="2"/>
    <n v="60"/>
    <n v="611"/>
    <n v="1001"/>
    <n v="54"/>
    <s v="P"/>
    <x v="0"/>
    <x v="0"/>
    <m/>
    <x v="1"/>
    <m/>
    <n v="1872.05"/>
  </r>
  <r>
    <s v="A18154"/>
    <d v="2018-06-18T00:00:00"/>
    <s v="HENGHAM"/>
    <s v="M20"/>
    <s v="AEROMECCANICA"/>
    <s v="PIDEMCO"/>
    <s v="ASYN"/>
    <s v="JEMAC630TL6"/>
    <m/>
    <n v="1"/>
    <n v="2.8"/>
    <n v="6"/>
    <n v="0.86"/>
    <n v="50"/>
    <n v="1000"/>
    <n v="79"/>
    <n v="109"/>
    <n v="6"/>
    <n v="90"/>
    <n v="611"/>
    <n v="1001"/>
    <n v="55"/>
    <s v="-"/>
    <x v="0"/>
    <x v="0"/>
    <m/>
    <x v="1"/>
    <m/>
    <n v="960.2"/>
  </r>
  <r>
    <s v="A18180"/>
    <d v="2018-07-23T00:00:00"/>
    <s v="KSB RADES"/>
    <s v="M20"/>
    <s v="KSB"/>
    <s v="STEG RADES"/>
    <s v="ASYN"/>
    <s v="JEMAC560TL2"/>
    <m/>
    <n v="2"/>
    <n v="2.35"/>
    <n v="6.6"/>
    <n v="0.92"/>
    <n v="50"/>
    <n v="3000"/>
    <n v="53"/>
    <n v="84"/>
    <n v="2"/>
    <n v="66"/>
    <n v="611"/>
    <n v="1001"/>
    <n v="55"/>
    <s v="-"/>
    <x v="0"/>
    <x v="0"/>
    <m/>
    <x v="1"/>
    <m/>
    <n v="20.25"/>
  </r>
  <r>
    <s v="A18303"/>
    <d v="2018-10-26T00:00:00"/>
    <s v="BOUREGREG"/>
    <s v="M20"/>
    <s v="CEGELEC ACTEMIUM"/>
    <s v="CEGELEC ACTEMIUM"/>
    <s v="ASYN"/>
    <s v="HNC 140-80-6"/>
    <m/>
    <n v="2"/>
    <n v="4.4"/>
    <n v="5.5"/>
    <n v="0.9"/>
    <n v="50"/>
    <n v="1000"/>
    <n v="98"/>
    <n v="80"/>
    <n v="6"/>
    <n v="108"/>
    <s v="0A1"/>
    <n v="1001"/>
    <n v="23"/>
    <s v="-"/>
    <x v="0"/>
    <x v="0"/>
    <m/>
    <x v="1"/>
    <m/>
    <n v="542.6"/>
  </r>
  <r>
    <s v="A18375"/>
    <d v="2018-12-20T00:00:00"/>
    <s v="WASCO"/>
    <s v="M20"/>
    <s v="KV MATERIAL"/>
    <s v="WASCO"/>
    <s v="ASYN"/>
    <s v="JEMAC560RS4-6.6-50"/>
    <s v="A18303_M10"/>
    <n v="16"/>
    <n v="2.7"/>
    <n v="6.6"/>
    <n v="0.9"/>
    <n v="50"/>
    <n v="1500"/>
    <n v="66"/>
    <n v="94"/>
    <n v="4"/>
    <n v="72"/>
    <s v="8A1W7"/>
    <n v="1001"/>
    <n v="55"/>
    <s v="-"/>
    <x v="0"/>
    <x v="0"/>
    <m/>
    <x v="1"/>
    <m/>
    <n v="653.2"/>
  </r>
  <r>
    <s v="A18540"/>
    <d v="2019-04-23T00:00:00"/>
    <s v="KSB RUSSIE"/>
    <s v="M20"/>
    <s v="KSB"/>
    <s v="NIZHNEKAMSK"/>
    <s v="ASYN"/>
    <s v="JEMAC355TS4"/>
    <m/>
    <n v="2"/>
    <n v="0.5"/>
    <n v="6.3"/>
    <n v="0.86"/>
    <n v="50"/>
    <n v="1500"/>
    <n v="40"/>
    <n v="56"/>
    <n v="4"/>
    <n v="48"/>
    <n v="611"/>
    <n v="3011"/>
    <n v="54"/>
    <s v="-"/>
    <x v="0"/>
    <x v="0"/>
    <m/>
    <x v="1"/>
    <m/>
    <n v="200.4"/>
  </r>
  <r>
    <s v="A18541"/>
    <d v="2019-04-23T00:00:00"/>
    <s v="KSB RUSSIE"/>
    <s v="M20"/>
    <s v="KSB"/>
    <s v="NIZHNEKAMSK"/>
    <s v="ASYN"/>
    <s v="JEMAC630TL12"/>
    <m/>
    <n v="2"/>
    <n v="1.65"/>
    <n v="6.3"/>
    <n v="0.75"/>
    <n v="50"/>
    <n v="500"/>
    <n v="86"/>
    <n v="129"/>
    <n v="12"/>
    <n v="108"/>
    <n v="611"/>
    <n v="1001"/>
    <n v="54"/>
    <s v="-"/>
    <x v="0"/>
    <x v="0"/>
    <m/>
    <x v="1"/>
    <m/>
    <n v="155.9"/>
  </r>
  <r>
    <s v="A18779"/>
    <d v="2019-12-06T00:00:00"/>
    <s v="ADISH"/>
    <s v="M20"/>
    <s v="ROODHART MENA DWC LLC"/>
    <s v="INCONNU"/>
    <s v="ASYN"/>
    <s v="JEMAC355TS2"/>
    <m/>
    <n v="2"/>
    <n v="0.25"/>
    <n v="6"/>
    <n v="0.93"/>
    <n v="50"/>
    <n v="3000"/>
    <n v="36"/>
    <n v="45"/>
    <n v="2"/>
    <n v="42"/>
    <n v="611"/>
    <n v="1001"/>
    <n v="55"/>
    <s v="E"/>
    <x v="0"/>
    <x v="0"/>
    <m/>
    <x v="1"/>
    <m/>
    <n v="202.6"/>
  </r>
  <r>
    <s v="A18917"/>
    <d v="2020-04-15T00:00:00"/>
    <s v="RUMAILA BFP"/>
    <s v="M20"/>
    <s v="SULZER GERMANY"/>
    <s v="CCPP IRAQ"/>
    <s v="ASYN"/>
    <s v="JEMAC450TL2"/>
    <m/>
    <n v="6"/>
    <n v="1.4"/>
    <n v="6.6"/>
    <n v="0.92"/>
    <n v="50"/>
    <n v="3000"/>
    <n v="45"/>
    <n v="65"/>
    <n v="2"/>
    <n v="54"/>
    <s v="6A1A1"/>
    <n v="1001"/>
    <n v="55"/>
    <s v="-"/>
    <x v="0"/>
    <x v="0"/>
    <m/>
    <x v="1"/>
    <m/>
    <n v="645.95"/>
  </r>
  <r>
    <s v="AN17279"/>
    <d v="2016-03-21T00:00:00"/>
    <s v="5 MOTEURS RECHANHE EDF"/>
    <s v="M20"/>
    <s v="EDF"/>
    <s v="EDF"/>
    <s v="ASYN"/>
    <s v="RNCY 78-44-4"/>
    <s v="A154477 M30"/>
    <n v="1"/>
    <n v="1"/>
    <n v="6"/>
    <n v="1"/>
    <n v="50"/>
    <n v="1500"/>
    <n v="52"/>
    <n v="44"/>
    <n v="4"/>
    <n v="72"/>
    <s v="8A1W7"/>
    <n v="3011"/>
    <n v="55"/>
    <s v="-"/>
    <x v="0"/>
    <x v="0"/>
    <m/>
    <x v="0"/>
    <m/>
    <n v="3435.02"/>
  </r>
  <r>
    <s v="AN17796"/>
    <d v="2017-10-06T00:00:00"/>
    <s v="12 MOTEURS EDF"/>
    <s v="M20"/>
    <s v="EDF UTO"/>
    <s v="EDF UTO"/>
    <s v="ASYN"/>
    <s v="RNCY 166-112-6"/>
    <s v="an17279"/>
    <n v="1"/>
    <n v="9"/>
    <n v="6"/>
    <n v="1"/>
    <n v="50"/>
    <n v="1000"/>
    <n v="118"/>
    <n v="112"/>
    <n v="6"/>
    <n v="108"/>
    <s v="W37A81"/>
    <n v="3011"/>
    <n v="55"/>
    <s v="-"/>
    <x v="0"/>
    <x v="0"/>
    <m/>
    <x v="0"/>
    <m/>
    <n v="1830.7"/>
  </r>
  <r>
    <s v="AN18240"/>
    <d v="2019-01-29T00:00:00"/>
    <s v="HPC SEN"/>
    <s v="M20"/>
    <s v="WEIR"/>
    <s v="NNB"/>
    <s v="ASYN"/>
    <s v="JEMAC 560 TL10-10-50"/>
    <m/>
    <n v="8"/>
    <n v="1"/>
    <n v="10"/>
    <n v="1"/>
    <n v="50"/>
    <n v="600"/>
    <n v="74"/>
    <n v="104"/>
    <n v="10"/>
    <n v="90"/>
    <s v="6A1A1"/>
    <n v="3011"/>
    <n v="55"/>
    <s v="-"/>
    <x v="0"/>
    <x v="0"/>
    <m/>
    <x v="0"/>
    <m/>
    <n v="2237.7"/>
  </r>
  <r>
    <s v="AN18315"/>
    <d v="2018-12-13T00:00:00"/>
    <s v="YANGJIANG"/>
    <s v="M20"/>
    <s v="CGN / YJNPC"/>
    <s v="YANGJIANG"/>
    <s v="ASYN"/>
    <s v="TNC 630 AX4"/>
    <s v="an18287"/>
    <n v="1"/>
    <n v="1"/>
    <n v="6"/>
    <n v="1"/>
    <n v="50"/>
    <n v="1500"/>
    <n v="52"/>
    <n v="35"/>
    <n v="4"/>
    <n v="72"/>
    <n v="151"/>
    <n v="1001"/>
    <n v="54"/>
    <s v="-"/>
    <x v="0"/>
    <x v="0"/>
    <m/>
    <x v="0"/>
    <m/>
    <n v="68.55"/>
  </r>
  <r>
    <s v="AN18383"/>
    <d v="2019-01-29T00:00:00"/>
    <s v="RRI"/>
    <s v="M20"/>
    <s v="SPX CLYDE UNION"/>
    <s v="EPR UK"/>
    <s v="ASYN"/>
    <s v="JEMAC 450 RL4-10-50"/>
    <m/>
    <n v="8"/>
    <n v="1"/>
    <n v="10"/>
    <n v="1"/>
    <n v="50"/>
    <n v="1500"/>
    <n v="45"/>
    <n v="76"/>
    <n v="4"/>
    <n v="48"/>
    <s v="8A1W7"/>
    <n v="1001"/>
    <n v="55"/>
    <s v="-"/>
    <x v="0"/>
    <x v="0"/>
    <m/>
    <x v="0"/>
    <m/>
    <n v="4084.35"/>
  </r>
  <r>
    <s v="AN19119"/>
    <d v="2021-01-07T00:00:00"/>
    <s v="7 MOTEURS DE RECHANGE EDF"/>
    <s v="M20"/>
    <s v="EDF UTO"/>
    <s v="EDF UTO"/>
    <s v="ASYN"/>
    <s v="TNC 500 C4"/>
    <s v="A15168A3"/>
    <n v="1"/>
    <n v="28"/>
    <n v="6"/>
    <n v="1"/>
    <n v="50"/>
    <n v="1500"/>
    <n v="38"/>
    <n v="46"/>
    <n v="4"/>
    <n v="66"/>
    <s v="6A1A1"/>
    <n v="1001"/>
    <n v="55"/>
    <s v="-"/>
    <x v="0"/>
    <x v="0"/>
    <m/>
    <x v="0"/>
    <m/>
    <n v="4387.05"/>
  </r>
  <r>
    <s v="S15779"/>
    <d v="2011-11-07T00:00:00"/>
    <s v="STX MN33  1 JEGSY 66"/>
    <s v="M20"/>
    <s v="STX"/>
    <s v="MARINE FÃ‰DÃ‰RATION RUSSIE"/>
    <s v="SYNCA"/>
    <s v="Jegsy 66"/>
    <m/>
    <n v="1"/>
    <n v="5.44"/>
    <n v="6"/>
    <n v="0.8"/>
    <n v="50"/>
    <n v="1000"/>
    <n v="99"/>
    <n v="94"/>
    <n v="6"/>
    <n v="72"/>
    <s v="8A1W7"/>
    <n v="1101"/>
    <n v="44"/>
    <s v="-"/>
    <x v="1"/>
    <x v="1"/>
    <m/>
    <x v="1"/>
    <m/>
    <n v="859.3499999999999"/>
  </r>
  <r>
    <s v="S16069"/>
    <d v="2012-09-06T00:00:00"/>
    <s v="DRESSER MEXIQUE"/>
    <s v="M20"/>
    <s v="DRESSER RAND UK"/>
    <s v="XICOTENCATL"/>
    <s v="SYNCA"/>
    <s v="Giga 458"/>
    <s v="S15719"/>
    <n v="1"/>
    <n v="33"/>
    <n v="13.8"/>
    <n v="0.8"/>
    <n v="60"/>
    <n v="1800"/>
    <n v="135"/>
    <n v="201"/>
    <n v="4"/>
    <n v="84"/>
    <s v="IC8A1W7"/>
    <n v="1005"/>
    <n v="54"/>
    <s v="-"/>
    <x v="1"/>
    <x v="2"/>
    <m/>
    <x v="1"/>
    <m/>
    <n v="633.8"/>
  </r>
  <r>
    <s v="S16643"/>
    <d v="2014-05-23T00:00:00"/>
    <s v="I34"/>
    <s v="M20"/>
    <s v="STX"/>
    <s v="BRITTANIY FERRIES"/>
    <s v="SYNCA"/>
    <s v="JEGSY 140L"/>
    <m/>
    <n v="2"/>
    <n v="14"/>
    <n v="11"/>
    <n v="0.9"/>
    <n v="50"/>
    <n v="500"/>
    <n v="176"/>
    <n v="129"/>
    <n v="12"/>
    <n v="144"/>
    <s v="8A1W7"/>
    <n v="1101"/>
    <n v="44"/>
    <s v="-"/>
    <x v="1"/>
    <x v="1"/>
    <m/>
    <x v="1"/>
    <m/>
    <n v="118.5"/>
  </r>
  <r>
    <s v="S16800"/>
    <d v="2014-11-28T00:00:00"/>
    <s v="MSC STX JEGSY160"/>
    <s v="M20"/>
    <s v="STX FRANCE SA"/>
    <s v="MSC"/>
    <s v="SYNCA"/>
    <s v="JEGSY 160RM12_11_60_H"/>
    <m/>
    <n v="2"/>
    <n v="19"/>
    <n v="11"/>
    <n v="0.85"/>
    <n v="60"/>
    <n v="600"/>
    <n v="196"/>
    <n v="124"/>
    <n v="12"/>
    <n v="144"/>
    <s v="IC8A1W7"/>
    <n v="1101"/>
    <n v="54"/>
    <s v="-"/>
    <x v="1"/>
    <x v="1"/>
    <m/>
    <x v="1"/>
    <m/>
    <n v="1745.12"/>
  </r>
  <r>
    <s v="S16976"/>
    <d v="2016-09-05T00:00:00"/>
    <s v="SALVAGNY 2"/>
    <s v="M20"/>
    <s v="CENTRALE HYDRAU SALVAGNY"/>
    <s v="CENTRALE HYDRAU SALVAGNY"/>
    <s v="SYNCA"/>
    <s v="JEGSY 122"/>
    <s v="S16976"/>
    <n v="1"/>
    <n v="1.665"/>
    <n v="2"/>
    <n v="0.9"/>
    <n v="50"/>
    <n v="500"/>
    <n v="100"/>
    <n v="79"/>
    <n v="12"/>
    <n v="144"/>
    <s v="0A1"/>
    <n v="1001"/>
    <n v="54"/>
    <s v="-"/>
    <x v="1"/>
    <x v="1"/>
    <m/>
    <x v="1"/>
    <m/>
    <n v="1066.3"/>
  </r>
  <r>
    <s v="S17225"/>
    <d v="2016-02-02T00:00:00"/>
    <s v="STX-EDGE"/>
    <s v="M20"/>
    <s v="STX EUROPE"/>
    <s v="RCCL"/>
    <s v="SYNCA"/>
    <s v="JEGSY 140 R S 12_11_60_H800_PA"/>
    <s v="S16800_M10"/>
    <n v="2"/>
    <n v="14.108"/>
    <n v="11"/>
    <n v="0.9"/>
    <n v="60"/>
    <n v="600"/>
    <n v="177"/>
    <n v="109"/>
    <n v="12"/>
    <n v="144"/>
    <s v="IC8A1W7"/>
    <n v="1101"/>
    <n v="44"/>
    <s v="-"/>
    <x v="1"/>
    <x v="1"/>
    <m/>
    <x v="1"/>
    <m/>
    <n v="3775.25"/>
  </r>
  <r>
    <s v="S17563"/>
    <d v="2018-07-25T00:00:00"/>
    <s v="STX-EDGE"/>
    <s v="M20"/>
    <s v="STX EUROPE"/>
    <s v="RCCL"/>
    <s v="SYNCA"/>
    <s v="JEGSY 140 R S 12_11_60_H800_PA"/>
    <s v="S17225_M20"/>
    <n v="2"/>
    <n v="14"/>
    <n v="11"/>
    <n v="1"/>
    <n v="60"/>
    <n v="600"/>
    <n v="177"/>
    <n v="109"/>
    <n v="12"/>
    <n v="144"/>
    <s v="IC8A1W7"/>
    <n v="1101"/>
    <n v="44"/>
    <s v="-"/>
    <x v="1"/>
    <x v="1"/>
    <m/>
    <x v="1"/>
    <m/>
    <n v="654.2500000000001"/>
  </r>
  <r>
    <s v="S18133"/>
    <d v="2018-06-01T00:00:00"/>
    <s v="TENGIZ - SYNCHRONES"/>
    <s v="M20"/>
    <s v="LFF"/>
    <s v="TCO - TENGIZCHEVROIL"/>
    <s v="SYNCM"/>
    <s v="Moteur SAT 80.1/124/4"/>
    <s v="S16187"/>
    <n v="2"/>
    <n v="5.4"/>
    <n v="10"/>
    <n v="0.78"/>
    <n v="50"/>
    <n v="1500"/>
    <n v="80"/>
    <n v="124"/>
    <n v="4"/>
    <n v="78"/>
    <s v="8A1W7"/>
    <n v="1003"/>
    <n v="54"/>
    <s v="P"/>
    <x v="1"/>
    <x v="2"/>
    <m/>
    <x v="1"/>
    <m/>
    <n v="5239.83"/>
  </r>
  <r>
    <s v="S18369"/>
    <d v="2019-03-11T00:00:00"/>
    <s v="EDGE_M34"/>
    <s v="M20"/>
    <s v="STX"/>
    <s v="MSC"/>
    <s v="SYNCA"/>
    <s v="JEGSY 140 S12R"/>
    <s v="S17563_M20"/>
    <n v="2"/>
    <n v="14.109"/>
    <n v="11"/>
    <n v="0.9"/>
    <n v="60"/>
    <n v="600"/>
    <n v="177"/>
    <n v="109"/>
    <n v="12"/>
    <n v="144"/>
    <s v="8A1W7"/>
    <n v="1101"/>
    <n v="44"/>
    <s v="-"/>
    <x v="1"/>
    <x v="1"/>
    <m/>
    <x v="1"/>
    <m/>
    <n v="220.15"/>
  </r>
  <r>
    <s v="S18410"/>
    <d v="2019-03-11T00:00:00"/>
    <s v="VISTA"/>
    <s v="M20"/>
    <s v="STX"/>
    <s v="MSC"/>
    <s v="SYNCA"/>
    <s v="Alternateur JEGSY 160M12"/>
    <s v="S16800_M20"/>
    <n v="2"/>
    <n v="18.746"/>
    <n v="11"/>
    <n v="0.85"/>
    <n v="60"/>
    <n v="600"/>
    <n v="196"/>
    <n v="124"/>
    <n v="12"/>
    <n v="144"/>
    <s v="8A1W7"/>
    <n v="1101"/>
    <n v="44"/>
    <s v="-"/>
    <x v="1"/>
    <x v="1"/>
    <m/>
    <x v="1"/>
    <m/>
    <n v="455.9"/>
  </r>
  <r>
    <s v="S18752"/>
    <d v="2019-11-21T00:00:00"/>
    <s v="FLOT LOG"/>
    <s v="M20"/>
    <s v="CHANTIERS DE LATLANTIQUE"/>
    <s v="OCCAR"/>
    <s v="SYNCA"/>
    <s v="JEGSY 100RXS10"/>
    <s v="V17694_MDA2"/>
    <n v="2"/>
    <n v="4.666"/>
    <n v="6.6"/>
    <n v="0.85"/>
    <n v="60"/>
    <n v="720"/>
    <n v="124"/>
    <n v="84"/>
    <n v="10"/>
    <n v="135"/>
    <s v="IC8A1W7"/>
    <n v="1101"/>
    <n v="44"/>
    <s v="-"/>
    <x v="1"/>
    <x v="1"/>
    <m/>
    <x v="1"/>
    <m/>
    <n v="2185.35"/>
  </r>
  <r>
    <s v="S20210"/>
    <d v="2022-12-15T00:00:00"/>
    <s v="KOMSILGA"/>
    <s v="M20"/>
    <s v="JA DELMAS"/>
    <s v="SONABEL"/>
    <s v="SYNCA"/>
    <s v="JEGSY140L12"/>
    <s v="S16348"/>
    <n v="3"/>
    <n v="14.042"/>
    <n v="11"/>
    <n v="0.8"/>
    <n v="50"/>
    <n v="500"/>
    <n v="177"/>
    <n v="134"/>
    <n v="12"/>
    <n v="144"/>
    <n v="1"/>
    <n v="1001"/>
    <n v="23"/>
    <s v="-"/>
    <x v="1"/>
    <x v="1"/>
    <m/>
    <x v="1"/>
    <m/>
    <s v=""/>
  </r>
  <r>
    <s v="S20303"/>
    <d v="2023-03-06T00:00:00"/>
    <s v="EDGE_N34"/>
    <s v="M20"/>
    <s v="STX"/>
    <s v="MSC"/>
    <s v="SYNCA"/>
    <s v="JEGSY 140 S12R"/>
    <s v="S18369_M20"/>
    <n v="2"/>
    <n v="14.109"/>
    <n v="11"/>
    <n v="0.9"/>
    <n v="60"/>
    <n v="600"/>
    <n v="177"/>
    <n v="109"/>
    <n v="12"/>
    <n v="144"/>
    <s v="8A1W7"/>
    <n v="1101"/>
    <n v="44"/>
    <s v="-"/>
    <x v="1"/>
    <x v="1"/>
    <m/>
    <x v="1"/>
    <m/>
    <s v=""/>
  </r>
  <r>
    <s v="S21712"/>
    <d v="2025-12-04T00:00:00"/>
    <s v="EDGE_V35"/>
    <s v="M20"/>
    <s v="CHANTIERS DE L'ATLANTIQUE"/>
    <s v="ROYAL CARIBBEAN CRUISE"/>
    <s v="SYNCA"/>
    <s v="JEGSY 140 S12R"/>
    <s v="S17225_M20_S12 R"/>
    <n v="2"/>
    <n v="14"/>
    <n v="11"/>
    <n v="0.9"/>
    <n v="60"/>
    <n v="600"/>
    <n v="176"/>
    <n v="109"/>
    <n v="12"/>
    <n v="144"/>
    <s v="8A1W7"/>
    <n v="1101"/>
    <n v="44"/>
    <s v="-"/>
    <x v="1"/>
    <x v="1"/>
    <m/>
    <x v="1"/>
    <m/>
    <s v=""/>
  </r>
  <r>
    <s v="X16861"/>
    <d v="2015-02-17T00:00:00"/>
    <s v="EPR UK ECI WEIR SEN"/>
    <s v="M20"/>
    <s v="WEIR GROUP"/>
    <s v="EPR UK"/>
    <s v="ASYN"/>
    <s v="Etude JEMAC560TL10_10_50"/>
    <m/>
    <n v="1"/>
    <n v="0.95"/>
    <n v="10"/>
    <n v="0.85"/>
    <n v="50"/>
    <n v="600"/>
    <n v="74"/>
    <n v="104"/>
    <n v="10"/>
    <n v="90"/>
    <s v="6A1A1"/>
    <n v="3011"/>
    <n v="55"/>
    <s v="-"/>
    <x v="0"/>
    <x v="0"/>
    <m/>
    <x v="1"/>
    <m/>
    <n v="1355.2"/>
  </r>
  <r>
    <s v="A15045"/>
    <d v="2009-12-17T00:00:00"/>
    <s v="MILLSTONE"/>
    <s v="M10"/>
    <s v="AREVA NP"/>
    <s v="DOMINION NUCLEAR"/>
    <s v="ASYN"/>
    <m/>
    <m/>
    <n v="1"/>
    <n v="1"/>
    <n v="4"/>
    <n v="1"/>
    <n v="60"/>
    <n v="300"/>
    <n v="137"/>
    <n v="63"/>
    <n v="24"/>
    <n v="234"/>
    <n v="0"/>
    <n v="1000"/>
    <n v="23"/>
    <s v="-"/>
    <x v="0"/>
    <x v="2"/>
    <m/>
    <x v="1"/>
    <m/>
    <n v="1617"/>
  </r>
  <r>
    <s v="A15055"/>
    <d v="2009-08-24T00:00:00"/>
    <s v="RRA HONG YAN HE 3"/>
    <s v="M10"/>
    <s v="SBW"/>
    <s v="CNPE"/>
    <s v="ASYN"/>
    <s v="TNC 630 Ax 4"/>
    <s v="EI1491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257.2"/>
  </r>
  <r>
    <s v="A15173"/>
    <d v="2010-02-08T00:00:00"/>
    <s v="RRA HONG YAN HE 4"/>
    <s v="M10"/>
    <s v="SBW"/>
    <s v="CNPE"/>
    <s v="ASYN"/>
    <s v="TNC 630 Ax 4"/>
    <s v="A15055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231.45"/>
  </r>
  <r>
    <s v="A15243"/>
    <d v="2010-04-29T00:00:00"/>
    <s v="SULZER PUMPS IRAN"/>
    <s v="M10"/>
    <s v="SULZER PUMPS UK"/>
    <s v="ASSALUYE BANDAR ABBAS"/>
    <s v="ASYN"/>
    <s v="JEMAC710TM2_11_50"/>
    <m/>
    <n v="4"/>
    <n v="3.9"/>
    <n v="11"/>
    <n v="0.92"/>
    <n v="50"/>
    <n v="3000"/>
    <n v="62"/>
    <n v="89"/>
    <n v="2"/>
    <n v="66"/>
    <s v="6A1A1"/>
    <n v="1001"/>
    <n v="55"/>
    <s v="-"/>
    <x v="0"/>
    <x v="0"/>
    <m/>
    <x v="1"/>
    <m/>
    <n v="735.1500000000001"/>
  </r>
  <r>
    <s v="A15249"/>
    <d v="2010-04-19T00:00:00"/>
    <s v="PORT HARCOURT"/>
    <s v="M10"/>
    <s v="CLYDE UNION"/>
    <s v="NIGERIA"/>
    <s v="ASYN"/>
    <s v="JEMAC 400 TM2_3.15_50"/>
    <m/>
    <n v="1"/>
    <n v="0.53"/>
    <n v="3.15"/>
    <n v="0.92"/>
    <n v="50"/>
    <n v="3000"/>
    <n v="39"/>
    <n v="48"/>
    <n v="2"/>
    <n v="42"/>
    <s v="6A1A1"/>
    <n v="1001"/>
    <n v="55"/>
    <s v="-"/>
    <x v="0"/>
    <x v="0"/>
    <m/>
    <x v="1"/>
    <m/>
    <n v="295.5"/>
  </r>
  <r>
    <s v="A15305"/>
    <d v="2010-06-03T00:00:00"/>
    <s v="RRA NING DE 3 ET 4"/>
    <s v="M10"/>
    <s v="CLYDE UNIONS LTD"/>
    <s v="CNPEC"/>
    <s v="ASYN"/>
    <s v="TNC 630 Ax 4"/>
    <s v="56X.EI1373"/>
    <n v="4"/>
    <n v="1"/>
    <n v="6"/>
    <n v="0.7"/>
    <n v="50"/>
    <n v="1500"/>
    <n v="52"/>
    <n v="35"/>
    <n v="4"/>
    <n v="72"/>
    <n v="0"/>
    <n v="1001"/>
    <n v="54"/>
    <s v="-"/>
    <x v="0"/>
    <x v="0"/>
    <m/>
    <x v="1"/>
    <m/>
    <n v="79.3"/>
  </r>
  <r>
    <s v="A15369"/>
    <d v="2010-08-10T00:00:00"/>
    <s v="FLOWSERVE MOTEUR SEC"/>
    <s v="M10"/>
    <s v="FLOW SERVE"/>
    <s v="TAISHAN NUCLEAR POWER"/>
    <s v="ASYN"/>
    <s v="JEMAC500TS6_10_50"/>
    <m/>
    <n v="8"/>
    <n v="0.9399999999999999"/>
    <n v="10"/>
    <n v="0.86"/>
    <n v="50"/>
    <n v="1000"/>
    <n v="63"/>
    <n v="74"/>
    <n v="6"/>
    <n v="72"/>
    <s v="6A1A1"/>
    <n v="1001"/>
    <n v="55"/>
    <s v="-"/>
    <x v="0"/>
    <x v="0"/>
    <m/>
    <x v="1"/>
    <m/>
    <n v="631.75"/>
  </r>
  <r>
    <s v="A15371"/>
    <d v="2011-03-07T00:00:00"/>
    <s v="JEMAC 450 ANNABA"/>
    <s v="M10"/>
    <s v="MITTAL ALGERIE"/>
    <s v="MITTAL ALGERIE"/>
    <s v="ASYN"/>
    <s v="JEMAC 450 AS 4_5.5_50"/>
    <m/>
    <n v="1"/>
    <n v="1"/>
    <n v="5"/>
    <n v="0.87"/>
    <n v="50"/>
    <n v="1500"/>
    <n v="50"/>
    <n v="72"/>
    <n v="4"/>
    <n v="60"/>
    <s v="0A1"/>
    <n v="1001"/>
    <n v="23"/>
    <s v="-"/>
    <x v="0"/>
    <x v="0"/>
    <m/>
    <x v="1"/>
    <m/>
    <n v="48"/>
  </r>
  <r>
    <s v="A15469"/>
    <d v="2010-11-29T00:00:00"/>
    <s v="RRA FANGCHENGGANG UNIT 1"/>
    <s v="M10"/>
    <s v="SBW"/>
    <s v="CNPE"/>
    <s v="ASYN"/>
    <s v="TNC 630 Ax 4"/>
    <s v="A15173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92.59999999999999"/>
  </r>
  <r>
    <s v="A15470"/>
    <d v="2010-11-29T00:00:00"/>
    <s v="RRA YANGJIANG UNIT 3"/>
    <s v="M10"/>
    <s v="SBW"/>
    <s v="CNPE"/>
    <s v="ASYN"/>
    <s v="TNC 630 Ax 4"/>
    <s v="A15173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100.9"/>
  </r>
  <r>
    <s v="A15486"/>
    <d v="2011-01-17T00:00:00"/>
    <s v="PAQUEBOT H33 - 2 JEMAC500"/>
    <s v="M10"/>
    <s v="STX FRANCE"/>
    <s v="HAPAG LLOYD"/>
    <s v="ASYN"/>
    <s v="JEMAC 500 T S 6-6.6-60"/>
    <m/>
    <n v="2"/>
    <n v="1.5"/>
    <n v="6.6"/>
    <n v="0.85"/>
    <n v="60"/>
    <n v="1200"/>
    <n v="64"/>
    <n v="64"/>
    <n v="6"/>
    <n v="71"/>
    <s v="6A1A1"/>
    <n v="3011"/>
    <n v="44"/>
    <s v="-"/>
    <x v="0"/>
    <x v="0"/>
    <m/>
    <x v="1"/>
    <m/>
    <n v="162.6"/>
  </r>
  <r>
    <s v="A15534"/>
    <d v="2011-01-27T00:00:00"/>
    <s v="PORT HARCOURT 2"/>
    <s v="M10"/>
    <s v="CLYDE UNION"/>
    <s v="NNPC"/>
    <s v="ASYN"/>
    <s v="JEMAC 400 TM2-3.15-50 dans carcasse HA450"/>
    <s v="A15249"/>
    <n v="1"/>
    <n v="0.53"/>
    <n v="3.15"/>
    <n v="0.92"/>
    <n v="50"/>
    <n v="3000"/>
    <n v="39"/>
    <n v="48"/>
    <n v="2"/>
    <n v="42"/>
    <s v="6A1A1"/>
    <n v="1001"/>
    <n v="55"/>
    <s v="-"/>
    <x v="0"/>
    <x v="0"/>
    <m/>
    <x v="1"/>
    <m/>
    <s v=""/>
  </r>
  <r>
    <s v="A15556"/>
    <d v="2011-02-25T00:00:00"/>
    <s v="ESSAR"/>
    <s v="M10"/>
    <s v="JE INDIA"/>
    <s v="ESSAR PROJECTS"/>
    <s v="ASYN"/>
    <s v="JEMAC 500 TS 12_6.6_50"/>
    <m/>
    <n v="5"/>
    <n v="1"/>
    <n v="6.6"/>
    <n v="0.7"/>
    <n v="50"/>
    <n v="500"/>
    <n v="656"/>
    <n v="109"/>
    <n v="12"/>
    <n v="108"/>
    <s v="6A1A1"/>
    <n v="1001"/>
    <n v="55"/>
    <s v="-"/>
    <x v="0"/>
    <x v="0"/>
    <m/>
    <x v="1"/>
    <m/>
    <n v="168.85"/>
  </r>
  <r>
    <s v="A15766"/>
    <d v="2012-03-08T00:00:00"/>
    <s v="RRA YANGJIANG UNIT 4"/>
    <s v="M10"/>
    <s v="SBW"/>
    <s v="CNPE"/>
    <s v="ASYN"/>
    <s v="TNC 630 Ax 4"/>
    <s v="A15470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95.05000000000001"/>
  </r>
  <r>
    <s v="A15767"/>
    <d v="2012-03-08T00:00:00"/>
    <s v="RRA FANGCHENGGANG UNIT 2"/>
    <s v="M10"/>
    <s v="SBW"/>
    <s v="CNPE"/>
    <s v="ASYN"/>
    <s v="TNC 630 Ax 4"/>
    <s v="A15469"/>
    <n v="2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44.25"/>
  </r>
  <r>
    <s v="A15768"/>
    <d v="2011-10-25T00:00:00"/>
    <s v="SITECH ASYNCHRONE K6501"/>
    <s v="M10"/>
    <s v="SITECH"/>
    <s v="SITECH"/>
    <s v="ASYN"/>
    <s v="JEMAC 800TL16"/>
    <m/>
    <n v="1"/>
    <n v="2.2"/>
    <n v="10"/>
    <n v="0.82"/>
    <n v="50"/>
    <n v="375"/>
    <n v="80"/>
    <n v="100"/>
    <n v="16"/>
    <n v="72"/>
    <s v="6A1A1"/>
    <n v="1005"/>
    <n v="55"/>
    <s v="N"/>
    <x v="0"/>
    <x v="0"/>
    <m/>
    <x v="1"/>
    <m/>
    <n v="569.7"/>
  </r>
  <r>
    <s v="A15780"/>
    <d v="2011-11-07T00:00:00"/>
    <s v="STX MN33 THRUSTER"/>
    <s v="M10"/>
    <s v="STX"/>
    <s v="MARINE FÃ‰DÃ‰RATION RUSSIE"/>
    <s v="ASYN"/>
    <s v="JEMAC 500 AS6_6.6_50"/>
    <m/>
    <n v="2"/>
    <n v="1.5"/>
    <n v="6"/>
    <n v="0.86"/>
    <n v="50"/>
    <n v="1000"/>
    <n v="63"/>
    <n v="64"/>
    <n v="6"/>
    <n v="90"/>
    <s v="0A1"/>
    <n v="3011"/>
    <n v="23"/>
    <s v="-"/>
    <x v="0"/>
    <x v="0"/>
    <m/>
    <x v="1"/>
    <m/>
    <n v="238.65"/>
  </r>
  <r>
    <s v="A15857"/>
    <d v="2012-02-22T00:00:00"/>
    <s v="JEMAC 560 DEWA"/>
    <s v="M10"/>
    <s v="DEWA"/>
    <s v="DEWA"/>
    <s v="ASYN"/>
    <s v="JEMAC 560 TS 12-6.6-50"/>
    <m/>
    <n v="1"/>
    <n v="0.99"/>
    <n v="6.6"/>
    <n v="0.79"/>
    <n v="50"/>
    <n v="500"/>
    <n v="75"/>
    <n v="114"/>
    <n v="12"/>
    <n v="108"/>
    <s v="5A1A1"/>
    <n v="3011"/>
    <n v="55"/>
    <s v="-"/>
    <x v="0"/>
    <x v="0"/>
    <m/>
    <x v="1"/>
    <m/>
    <n v="818.5"/>
  </r>
  <r>
    <s v="A15858"/>
    <d v="2012-03-08T00:00:00"/>
    <s v="RRA FUQING UNIT 3-4"/>
    <s v="M10"/>
    <s v="CLYDE UNION LTD"/>
    <s v="CNPEC"/>
    <s v="ASYN"/>
    <s v="TNC 630 Ax 4"/>
    <s v="EI1493"/>
    <n v="4"/>
    <n v="1"/>
    <n v="6"/>
    <n v="0.9"/>
    <n v="50"/>
    <n v="1500"/>
    <n v="52"/>
    <n v="35"/>
    <n v="4"/>
    <n v="72"/>
    <n v="0"/>
    <n v="1001"/>
    <n v="54"/>
    <s v="-"/>
    <x v="0"/>
    <x v="0"/>
    <m/>
    <x v="1"/>
    <m/>
    <n v="41.5"/>
  </r>
  <r>
    <s v="A15987"/>
    <d v="2012-05-24T00:00:00"/>
    <s v="TERMOMECCANICA TOMBAK"/>
    <s v="M10"/>
    <s v="TM.P.SPA TERMOMECCANICA"/>
    <s v="MAPNA"/>
    <s v="ASYN"/>
    <m/>
    <m/>
    <n v="5"/>
    <n v="2.05"/>
    <n v="6.6"/>
    <n v="0.78"/>
    <n v="50"/>
    <n v="428"/>
    <n v="96"/>
    <n v="139"/>
    <n v="14"/>
    <n v="126"/>
    <s v="6A1A1"/>
    <n v="1001"/>
    <n v="55"/>
    <s v="-"/>
    <x v="0"/>
    <x v="2"/>
    <m/>
    <x v="1"/>
    <m/>
    <n v="360.85"/>
  </r>
  <r>
    <s v="A16005"/>
    <d v="2012-07-02T00:00:00"/>
    <s v="MOTEURS JEMAC 400"/>
    <s v="M10"/>
    <s v="MEKEM MAKINA OTOMASYON"/>
    <s v="MEKEM MAKINA"/>
    <s v="ASYN"/>
    <s v="JEMAC 400 TL 4-6-50"/>
    <m/>
    <n v="6"/>
    <n v="1"/>
    <n v="6"/>
    <n v="0.88"/>
    <n v="50"/>
    <n v="1500"/>
    <n v="46"/>
    <n v="78"/>
    <n v="4"/>
    <n v="60"/>
    <s v="6A1A1"/>
    <n v="1001"/>
    <n v="55"/>
    <s v="E"/>
    <x v="0"/>
    <x v="0"/>
    <m/>
    <x v="1"/>
    <m/>
    <n v="90.84999999999999"/>
  </r>
  <r>
    <s v="A16013"/>
    <d v="2012-06-22T00:00:00"/>
    <s v="TEST BENCH JEI"/>
    <s v="M10"/>
    <s v="JEUMONT INDIA"/>
    <s v="JEUMONT INDIA"/>
    <s v="ASYN"/>
    <s v="Moteur d entrainement sur plateforme d'essai"/>
    <m/>
    <n v="1"/>
    <n v="0.4"/>
    <n v="2"/>
    <n v="0.8"/>
    <n v="60"/>
    <n v="1200"/>
    <n v="46"/>
    <n v="57"/>
    <n v="6"/>
    <n v="57"/>
    <s v="0A1"/>
    <n v="1001"/>
    <n v="23"/>
    <s v="-"/>
    <x v="0"/>
    <x v="2"/>
    <m/>
    <x v="1"/>
    <m/>
    <n v="57.1"/>
  </r>
  <r>
    <s v="A16050"/>
    <d v="2016-03-02T00:00:00"/>
    <s v="JEMAC 710 TL4"/>
    <s v="M10"/>
    <s v="KARKHEH"/>
    <s v="KARKHEH"/>
    <s v="ASYN"/>
    <s v="JEMAC 710 TL4"/>
    <m/>
    <n v="3"/>
    <n v="4"/>
    <n v="11"/>
    <n v="0.89"/>
    <n v="50"/>
    <n v="1500"/>
    <n v="87"/>
    <n v="114"/>
    <n v="4"/>
    <n v="72"/>
    <s v="6A1A1"/>
    <n v="1001"/>
    <n v="55"/>
    <s v="E"/>
    <x v="0"/>
    <x v="0"/>
    <m/>
    <x v="1"/>
    <m/>
    <n v="1123.5"/>
  </r>
  <r>
    <s v="A16325"/>
    <d v="2013-07-24T00:00:00"/>
    <s v="RRA HAINAN"/>
    <s v="M10"/>
    <s v="SPX ECOSSE"/>
    <s v="HAINAN CHINE"/>
    <s v="ASYN"/>
    <s v="TNC 560-Cy-4"/>
    <m/>
    <n v="4"/>
    <n v="0.225"/>
    <n v="6"/>
    <n v="0.87"/>
    <n v="50"/>
    <n v="1500"/>
    <n v="45"/>
    <n v="41"/>
    <n v="4"/>
    <n v="66"/>
    <s v="5A1A1"/>
    <n v="1001"/>
    <n v="55"/>
    <s v="-"/>
    <x v="0"/>
    <x v="0"/>
    <m/>
    <x v="1"/>
    <m/>
    <n v="908.65"/>
  </r>
  <r>
    <s v="A16341"/>
    <d v="2013-09-19T00:00:00"/>
    <s v="RECHANGE TERGA 12P"/>
    <s v="M10"/>
    <s v="ALSTOM"/>
    <s v="ALSTOM"/>
    <s v="ASYN"/>
    <s v="JEMAC500TS12-6.6-50"/>
    <s v="56X.EI1463A1"/>
    <n v="1"/>
    <n v="0.8"/>
    <n v="6.6"/>
    <n v="0.74"/>
    <n v="50"/>
    <n v="500"/>
    <n v="67"/>
    <n v="114"/>
    <n v="12"/>
    <n v="108"/>
    <s v="6A1A1"/>
    <n v="3011"/>
    <n v="55"/>
    <s v="-"/>
    <x v="0"/>
    <x v="0"/>
    <m/>
    <x v="1"/>
    <m/>
    <n v="181"/>
  </r>
  <r>
    <s v="A16380"/>
    <d v="2013-09-12T00:00:00"/>
    <s v="PORT ELISABETH"/>
    <s v="M10"/>
    <s v="LINDE AG"/>
    <s v="LINDE AG"/>
    <s v="ASYN"/>
    <s v="JEMAC 630 RL2-11-50"/>
    <m/>
    <n v="1"/>
    <n v="3"/>
    <n v="11"/>
    <n v="0.9"/>
    <n v="50"/>
    <n v="3000"/>
    <n v="56"/>
    <n v="74"/>
    <n v="2"/>
    <n v="60"/>
    <s v="8A1W7"/>
    <n v="1001"/>
    <n v="54"/>
    <s v="-"/>
    <x v="0"/>
    <x v="0"/>
    <m/>
    <x v="1"/>
    <m/>
    <n v="284.9"/>
  </r>
  <r>
    <s v="A16406"/>
    <d v="2014-05-28T00:00:00"/>
    <s v="JEMAC630TL16 VERTICAL"/>
    <s v="M10"/>
    <s v="FLOWSERVE"/>
    <s v="FLOWSERVE"/>
    <s v="ASYN"/>
    <s v="JEMAC630TL16-5.5-50"/>
    <s v="56X.EI1377"/>
    <n v="1"/>
    <n v="0.85"/>
    <n v="5.5"/>
    <n v="0.79"/>
    <n v="50"/>
    <n v="375"/>
    <n v="86"/>
    <n v="114"/>
    <n v="16"/>
    <n v="144"/>
    <s v="6A1A1"/>
    <n v="3011"/>
    <n v="54"/>
    <s v="-"/>
    <x v="0"/>
    <x v="0"/>
    <m/>
    <x v="1"/>
    <m/>
    <n v="375.05"/>
  </r>
  <r>
    <s v="A16484"/>
    <d v="2014-01-13T00:00:00"/>
    <s v="LINGDONG"/>
    <s v="M10"/>
    <s v="LING AO"/>
    <s v="CHINE"/>
    <s v="ASYN"/>
    <s v="RCV - TNC 630 D4"/>
    <s v="56X.EI1469"/>
    <n v="1"/>
    <n v="1"/>
    <n v="6"/>
    <n v="1"/>
    <n v="50"/>
    <n v="1500"/>
    <n v="52"/>
    <n v="53"/>
    <n v="4"/>
    <n v="72"/>
    <n v="151"/>
    <n v="1001"/>
    <n v="55"/>
    <s v="-"/>
    <x v="0"/>
    <x v="0"/>
    <m/>
    <x v="1"/>
    <m/>
    <n v="85.7"/>
  </r>
  <r>
    <s v="A16537"/>
    <d v="2014-02-27T00:00:00"/>
    <s v="RCV SPX CU ANNECY"/>
    <s v="M10"/>
    <s v="SPX CLYDE UNION ANNECY"/>
    <s v="CNPEC YANGJIANG"/>
    <s v="ASYN"/>
    <s v="tnc630 d4"/>
    <s v="56X.EI1469"/>
    <n v="6"/>
    <n v="1"/>
    <n v="6"/>
    <n v="1"/>
    <n v="50"/>
    <n v="1500"/>
    <n v="52"/>
    <n v="53"/>
    <n v="4"/>
    <n v="72"/>
    <n v="151"/>
    <n v="1001"/>
    <n v="55"/>
    <s v="-"/>
    <x v="0"/>
    <x v="0"/>
    <m/>
    <x v="1"/>
    <m/>
    <n v="67.8"/>
  </r>
  <r>
    <s v="A16561"/>
    <d v="2014-03-28T00:00:00"/>
    <s v="LINDE TERNI"/>
    <s v="M10"/>
    <s v="LINDE GAS ITALIA S.R.L."/>
    <s v="LINDE GAS ITALIA S.R.L."/>
    <s v="ASYN"/>
    <s v="JEMAC900RS4_6_50"/>
    <m/>
    <n v="1"/>
    <n v="5.7"/>
    <n v="6"/>
    <n v="0.93"/>
    <n v="50"/>
    <n v="1500"/>
    <n v="95"/>
    <n v="84"/>
    <n v="4"/>
    <n v="120"/>
    <s v="IC8A1W7"/>
    <n v="1001"/>
    <n v="55"/>
    <s v="-"/>
    <x v="0"/>
    <x v="0"/>
    <m/>
    <x v="1"/>
    <m/>
    <n v="667.65"/>
  </r>
  <r>
    <s v="A16586"/>
    <d v="2014-07-17T00:00:00"/>
    <s v="SOC IRAK KUFA"/>
    <s v="M10"/>
    <s v="SOC"/>
    <s v="SOC"/>
    <s v="ASYN"/>
    <s v="JEMAC 900TL12-6.6-50"/>
    <m/>
    <n v="1"/>
    <n v="3.4"/>
    <n v="6.6"/>
    <n v="0.78"/>
    <n v="50"/>
    <n v="500"/>
    <n v="125"/>
    <n v="112"/>
    <n v="12"/>
    <n v="108"/>
    <n v="666"/>
    <n v="1001"/>
    <n v="55"/>
    <s v="-"/>
    <x v="0"/>
    <x v="0"/>
    <m/>
    <x v="1"/>
    <m/>
    <n v="1737.15"/>
  </r>
  <r>
    <s v="A16605"/>
    <d v="2014-04-14T00:00:00"/>
    <s v="RRA   YANGJIANG 5 ET 6"/>
    <s v="M10"/>
    <s v="CLYDE UNION PUMPS GLASGOW"/>
    <s v="CNPEC"/>
    <s v="ASYN"/>
    <s v="rra - tnc 630 -  ax - 4"/>
    <m/>
    <n v="4"/>
    <n v="1"/>
    <n v="6"/>
    <n v="1"/>
    <n v="50"/>
    <n v="1500"/>
    <n v="52"/>
    <n v="36"/>
    <n v="4"/>
    <n v="72"/>
    <n v="151"/>
    <n v="1001"/>
    <n v="55"/>
    <s v="-"/>
    <x v="0"/>
    <x v="0"/>
    <m/>
    <x v="1"/>
    <m/>
    <n v="105.65"/>
  </r>
  <r>
    <s v="A16618"/>
    <d v="2015-07-07T00:00:00"/>
    <s v="ITER"/>
    <s v="M10"/>
    <s v="COFELY AXIMA"/>
    <s v="AIR LIQUIDE"/>
    <s v="ASYN"/>
    <s v="Jemac 400RL2_6,6_50"/>
    <m/>
    <n v="9"/>
    <n v="0.986"/>
    <n v="6.6"/>
    <n v="0.91"/>
    <n v="50"/>
    <n v="3000"/>
    <n v="39"/>
    <n v="58"/>
    <n v="2"/>
    <n v="54"/>
    <s v="IC8A1W7"/>
    <n v="1001"/>
    <n v="55"/>
    <s v="-"/>
    <x v="0"/>
    <x v="0"/>
    <m/>
    <x v="1"/>
    <m/>
    <n v="1824.95"/>
  </r>
  <r>
    <s v="A16639"/>
    <d v="2014-06-06T00:00:00"/>
    <s v="I34 BRITTANY FERRIES"/>
    <s v="M10"/>
    <s v="STX"/>
    <s v="BRITTANY FERRIES"/>
    <s v="ASYN"/>
    <s v="JEMAC1900"/>
    <m/>
    <n v="2"/>
    <n v="16"/>
    <n v="6"/>
    <n v="0.87"/>
    <n v="14"/>
    <n v="126"/>
    <n v="290"/>
    <n v="174"/>
    <n v="14"/>
    <n v="168"/>
    <s v="W37A81"/>
    <n v="7215"/>
    <n v="54"/>
    <s v="-"/>
    <x v="0"/>
    <x v="0"/>
    <m/>
    <x v="1"/>
    <m/>
    <n v="328.15"/>
  </r>
  <r>
    <s v="A16687"/>
    <d v="2014-07-17T00:00:00"/>
    <s v="SOC IRAK KUFA 2"/>
    <s v="M10"/>
    <s v="SOC"/>
    <s v="SOC"/>
    <s v="ASYN"/>
    <s v="JEMAC 900TL12-6.6-50"/>
    <s v="A16586_M10"/>
    <n v="1"/>
    <n v="3.4"/>
    <n v="6.6"/>
    <n v="0.78"/>
    <n v="50"/>
    <n v="500"/>
    <n v="125"/>
    <n v="112"/>
    <n v="12"/>
    <n v="108"/>
    <n v="666"/>
    <n v="1001"/>
    <n v="55"/>
    <s v="-"/>
    <x v="0"/>
    <x v="0"/>
    <m/>
    <x v="1"/>
    <m/>
    <n v="6"/>
  </r>
  <r>
    <s v="A16719"/>
    <d v="2014-08-19T00:00:00"/>
    <s v="JBEL OUST"/>
    <s v="M10"/>
    <s v="GROUPE CIMPOR"/>
    <s v="GROUPE CIMPOR"/>
    <s v="ASYN"/>
    <s v="JEMAC 450TS4_5.5_50"/>
    <s v="IA1002_M10"/>
    <n v="1"/>
    <n v="1.25"/>
    <n v="5.5"/>
    <n v="0.87"/>
    <n v="50"/>
    <n v="1500"/>
    <n v="51"/>
    <n v="70"/>
    <n v="4"/>
    <n v="72"/>
    <s v="6A1A1"/>
    <n v="1001"/>
    <n v="55"/>
    <s v="-"/>
    <x v="0"/>
    <x v="0"/>
    <m/>
    <x v="1"/>
    <m/>
    <n v="481.55"/>
  </r>
  <r>
    <s v="A16730"/>
    <d v="2014-09-11T00:00:00"/>
    <s v="NAMA GASCO"/>
    <s v="M10"/>
    <s v="NAMA DEVELOPMENT ENT"/>
    <s v="GASCO"/>
    <s v="ASYN"/>
    <s v="JEMAC 400TS2-3.3-50"/>
    <s v="A16618_M10"/>
    <n v="3"/>
    <n v="0.6"/>
    <n v="3.3"/>
    <n v="0.87"/>
    <n v="50"/>
    <n v="3000"/>
    <n v="40"/>
    <n v="45"/>
    <n v="2"/>
    <n v="54"/>
    <s v="6A1A1"/>
    <n v="1001"/>
    <n v="55"/>
    <s v="P"/>
    <x v="0"/>
    <x v="0"/>
    <m/>
    <x v="1"/>
    <m/>
    <n v="297.4"/>
  </r>
  <r>
    <s v="A16801"/>
    <d v="2014-11-28T00:00:00"/>
    <s v="MSC STX JEMAC 630"/>
    <s v="M10"/>
    <s v="STX FRANCE SA"/>
    <s v="MSC"/>
    <s v="ASYN"/>
    <s v="JEMAC 630AL10_11_60_V"/>
    <m/>
    <n v="4"/>
    <n v="3"/>
    <n v="11"/>
    <n v="0.803"/>
    <n v="60"/>
    <n v="720"/>
    <n v="84"/>
    <n v="129"/>
    <n v="10"/>
    <n v="90"/>
    <n v="1"/>
    <n v="3011"/>
    <n v="23"/>
    <s v="-"/>
    <x v="0"/>
    <x v="0"/>
    <m/>
    <x v="1"/>
    <m/>
    <n v="1232.21"/>
  </r>
  <r>
    <s v="A16857"/>
    <d v="2015-01-28T00:00:00"/>
    <s v="2 JEMAC 710"/>
    <s v="M10"/>
    <s v="TERMOMECCANICA SPA"/>
    <s v="PARDIS PETROCHEMICAL CPY"/>
    <s v="ASYN"/>
    <s v="JEMAC710TM12-11-50"/>
    <s v="A15987"/>
    <n v="2"/>
    <n v="1.77"/>
    <n v="11"/>
    <n v="0.79"/>
    <n v="50"/>
    <n v="500"/>
    <n v="96"/>
    <n v="119"/>
    <n v="12"/>
    <n v="108"/>
    <s v="6A1A1"/>
    <n v="3011"/>
    <n v="55"/>
    <s v="-"/>
    <x v="0"/>
    <x v="0"/>
    <m/>
    <x v="1"/>
    <m/>
    <n v="268.15"/>
  </r>
  <r>
    <s v="A16864"/>
    <d v="2015-02-12T00:00:00"/>
    <s v="CEGELEC CASTIGNEAU"/>
    <s v="M10"/>
    <s v="CEGELEC BASE NAVALE TOULO"/>
    <s v="CEGELEC BASE NAVALE TOULO"/>
    <s v="ASYN"/>
    <s v="JEMAC800RL10-10-50"/>
    <m/>
    <n v="1"/>
    <n v="4.2"/>
    <n v="10"/>
    <n v="0.86"/>
    <n v="50"/>
    <n v="600"/>
    <n v="109"/>
    <n v="119"/>
    <n v="10"/>
    <n v="90"/>
    <s v="8A1W7"/>
    <n v="1001"/>
    <n v="54"/>
    <s v="-"/>
    <x v="0"/>
    <x v="0"/>
    <m/>
    <x v="1"/>
    <m/>
    <n v="834.85"/>
  </r>
  <r>
    <s v="A16883"/>
    <d v="2015-03-02T00:00:00"/>
    <s v="RRA-KOEBERG"/>
    <s v="M10"/>
    <s v="ALTOM POWER SERVICE"/>
    <s v="AREVA"/>
    <s v="ASYN"/>
    <s v="TNC 630 AX4"/>
    <m/>
    <n v="1"/>
    <n v="1"/>
    <n v="6"/>
    <n v="1"/>
    <n v="50"/>
    <n v="1500"/>
    <n v="52"/>
    <n v="35"/>
    <n v="4"/>
    <n v="72"/>
    <n v="151"/>
    <n v="1001"/>
    <n v="55"/>
    <s v="-"/>
    <x v="0"/>
    <x v="0"/>
    <m/>
    <x v="1"/>
    <m/>
    <n v="364.85"/>
  </r>
  <r>
    <s v="A16913"/>
    <d v="2015-04-10T00:00:00"/>
    <s v="ELFOULADH"/>
    <s v="M10"/>
    <s v="SOCIETE TUNIS SIDERUR"/>
    <s v="IDEM"/>
    <s v="ASYN"/>
    <s v="JEMAC500RS4"/>
    <s v="A15369"/>
    <n v="1"/>
    <n v="2.24"/>
    <n v="5.5"/>
    <n v="0.87"/>
    <n v="50"/>
    <n v="1500"/>
    <n v="58"/>
    <n v="79"/>
    <n v="4"/>
    <n v="72"/>
    <s v="8A1W7"/>
    <n v="1001"/>
    <n v="55"/>
    <s v="-"/>
    <x v="0"/>
    <x v="0"/>
    <m/>
    <x v="1"/>
    <m/>
    <n v="106.4"/>
  </r>
  <r>
    <s v="A16959"/>
    <d v="2015-05-29T00:00:00"/>
    <s v="COWATER"/>
    <s v="M10"/>
    <s v="COWATER INDUSTRY"/>
    <s v="SONEDE"/>
    <s v="ASYN"/>
    <s v="JEMAC450AM6-5,5-50"/>
    <m/>
    <n v="2"/>
    <n v="1"/>
    <n v="5"/>
    <n v="0.88"/>
    <n v="50"/>
    <n v="1000"/>
    <n v="51"/>
    <n v="77"/>
    <n v="6"/>
    <n v="72"/>
    <s v="0A1"/>
    <n v="3011"/>
    <n v="23"/>
    <s v="-"/>
    <x v="0"/>
    <x v="0"/>
    <m/>
    <x v="1"/>
    <m/>
    <n v="61.8"/>
  </r>
  <r>
    <s v="A16982"/>
    <d v="2015-06-04T00:00:00"/>
    <s v="MOTEURS MHSI K3"/>
    <s v="M10"/>
    <s v="SPX CLYDE UNION ANNECY"/>
    <s v="CNPE"/>
    <s v="ASYN"/>
    <s v="JEMAC355RS2-6,6-50"/>
    <m/>
    <n v="4"/>
    <n v="1"/>
    <n v="6"/>
    <n v="0.9"/>
    <n v="50"/>
    <n v="3000"/>
    <n v="34"/>
    <n v="42"/>
    <n v="2"/>
    <n v="48"/>
    <s v="8A1W7"/>
    <n v="1001"/>
    <n v="55"/>
    <s v="-"/>
    <x v="0"/>
    <x v="0"/>
    <m/>
    <x v="1"/>
    <m/>
    <n v="1157.6"/>
  </r>
  <r>
    <s v="A17058"/>
    <d v="2015-10-06T00:00:00"/>
    <s v="RRA NINGDE 3 1 4"/>
    <s v="M10"/>
    <s v="CLYDE UNION"/>
    <s v="CHINE"/>
    <s v="ASYN"/>
    <s v="TNC 630 AX4"/>
    <s v="A15305"/>
    <n v="1"/>
    <n v="1"/>
    <n v="6"/>
    <n v="1"/>
    <n v="50"/>
    <n v="1500"/>
    <n v="52"/>
    <n v="36"/>
    <n v="4"/>
    <n v="72"/>
    <n v="151"/>
    <n v="1001"/>
    <n v="55"/>
    <s v="-"/>
    <x v="0"/>
    <x v="0"/>
    <m/>
    <x v="1"/>
    <m/>
    <n v="48"/>
  </r>
  <r>
    <s v="A17065"/>
    <d v="2015-09-03T00:00:00"/>
    <s v="MEDINA YAMBU"/>
    <s v="M10"/>
    <s v="ARABIE SAOUDITE"/>
    <s v="SWCC"/>
    <s v="ASYN"/>
    <s v="TNCX 710 B10"/>
    <m/>
    <n v="1"/>
    <n v="1"/>
    <n v="13"/>
    <n v="1"/>
    <n v="60"/>
    <n v="720"/>
    <n v="72"/>
    <n v="100"/>
    <n v="10"/>
    <n v="90"/>
    <n v="161"/>
    <n v="1001"/>
    <n v="54"/>
    <s v="-"/>
    <x v="0"/>
    <x v="0"/>
    <m/>
    <x v="1"/>
    <m/>
    <n v="266.7"/>
  </r>
  <r>
    <s v="A17090"/>
    <d v="2015-10-02T00:00:00"/>
    <s v="OASIS BELLY"/>
    <s v="M10"/>
    <s v="OASIS TECHNICAL CORP"/>
    <s v="SONEDE"/>
    <s v="ASYN"/>
    <s v="JEMAC 450TS6_5.5_50"/>
    <m/>
    <n v="5"/>
    <n v="0.71"/>
    <n v="5.5"/>
    <n v="0.84"/>
    <n v="50"/>
    <n v="1000"/>
    <n v="56"/>
    <n v="60"/>
    <n v="6"/>
    <n v="72"/>
    <s v="6A1A1"/>
    <n v="1001"/>
    <n v="55"/>
    <s v="-"/>
    <x v="0"/>
    <x v="0"/>
    <m/>
    <x v="1"/>
    <m/>
    <n v="22.3"/>
  </r>
  <r>
    <s v="A17254"/>
    <d v="2016-02-26T00:00:00"/>
    <s v="NAMA_GASCO_2"/>
    <s v="M10"/>
    <s v="NAMA"/>
    <s v="GASCO"/>
    <s v="ASYN"/>
    <s v="JEMAC400TS2 3300V 50Hz"/>
    <s v="A16730_M10"/>
    <n v="2"/>
    <n v="0.51"/>
    <n v="3.3"/>
    <n v="0.92"/>
    <n v="50"/>
    <n v="3000"/>
    <n v="40"/>
    <n v="45"/>
    <n v="2"/>
    <n v="54"/>
    <n v="611"/>
    <n v="1001"/>
    <n v="55"/>
    <s v="-"/>
    <x v="0"/>
    <x v="0"/>
    <m/>
    <x v="1"/>
    <m/>
    <n v="1004.85"/>
  </r>
  <r>
    <s v="A17275"/>
    <d v="2016-03-01T00:00:00"/>
    <s v="SWAM 2"/>
    <s v="M10"/>
    <s v="SWAM"/>
    <s v="SWAM"/>
    <s v="ASYN"/>
    <s v="JEMAC 355TS4 250 KW"/>
    <s v="A16959_M10"/>
    <n v="2"/>
    <n v="1"/>
    <n v="6"/>
    <n v="0.9"/>
    <n v="50"/>
    <n v="1500"/>
    <n v="40"/>
    <n v="56"/>
    <n v="4"/>
    <n v="48"/>
    <s v="6A1A1"/>
    <n v="1001"/>
    <n v="55"/>
    <s v="E"/>
    <x v="0"/>
    <x v="0"/>
    <m/>
    <x v="1"/>
    <m/>
    <n v="2"/>
  </r>
  <r>
    <s v="A17279"/>
    <d v="2016-03-21T00:00:00"/>
    <s v="5 MOTEURS 6?6 KV"/>
    <s v="M10"/>
    <s v="EDF"/>
    <s v="EDF"/>
    <s v="ASYN"/>
    <s v="RNCY 156-70-6"/>
    <s v="A16221_M70"/>
    <n v="1"/>
    <n v="5"/>
    <n v="6"/>
    <n v="1"/>
    <n v="50"/>
    <n v="1000"/>
    <n v="115"/>
    <n v="70"/>
    <n v="6"/>
    <n v="108"/>
    <s v="W37A81"/>
    <n v="3011"/>
    <n v="55"/>
    <s v="-"/>
    <x v="0"/>
    <x v="0"/>
    <m/>
    <x v="1"/>
    <m/>
    <s v=""/>
  </r>
  <r>
    <s v="A17279"/>
    <d v="2016-03-21T00:00:00"/>
    <s v="5 MOTEURS 6?6 KV"/>
    <s v="M10"/>
    <s v="EDF"/>
    <s v="EDF"/>
    <s v="ASYN"/>
    <s v="RNCY 156-70-6"/>
    <s v="A16221_M70"/>
    <n v="1"/>
    <n v="5"/>
    <n v="6"/>
    <n v="1"/>
    <n v="50"/>
    <n v="1000"/>
    <n v="115"/>
    <n v="70"/>
    <n v="6"/>
    <n v="108"/>
    <s v="W37A81"/>
    <n v="3011"/>
    <n v="55"/>
    <s v="-"/>
    <x v="0"/>
    <x v="0"/>
    <m/>
    <x v="1"/>
    <m/>
    <s v=""/>
  </r>
  <r>
    <s v="A17434"/>
    <d v="2016-07-28T00:00:00"/>
    <s v="TERMIGAS"/>
    <s v="M10"/>
    <s v="JOHNSON CONTROL INDUSTRIE"/>
    <s v="TERMIGAS"/>
    <s v="ASYN"/>
    <s v="JEMAC500RL4-10.5-50"/>
    <m/>
    <n v="1"/>
    <n v="2"/>
    <n v="10"/>
    <n v="0.85"/>
    <n v="50"/>
    <n v="1500"/>
    <n v="58"/>
    <n v="104"/>
    <n v="4"/>
    <n v="60"/>
    <s v="IC8A1W7"/>
    <n v="1001"/>
    <n v="55"/>
    <s v="-"/>
    <x v="0"/>
    <x v="0"/>
    <m/>
    <x v="1"/>
    <m/>
    <n v="6.949999999999999"/>
  </r>
  <r>
    <s v="A17434"/>
    <d v="2016-07-28T00:00:00"/>
    <s v="TERMIGAS"/>
    <s v="M10"/>
    <s v="JOHNSON CONTROL INDUSTRIE"/>
    <s v="TERMIGAS"/>
    <s v="ASYN"/>
    <s v="JEMAC500TL4-10.5-50"/>
    <m/>
    <n v="1"/>
    <n v="2"/>
    <n v="10"/>
    <n v="0.85"/>
    <n v="50"/>
    <n v="1500"/>
    <n v="58"/>
    <n v="104"/>
    <n v="4"/>
    <n v="60"/>
    <s v="IC8A1W7"/>
    <n v="1001"/>
    <n v="55"/>
    <s v="-"/>
    <x v="0"/>
    <x v="0"/>
    <m/>
    <x v="1"/>
    <m/>
    <n v="6.949999999999999"/>
  </r>
  <r>
    <s v="A17496"/>
    <d v="2016-10-24T00:00:00"/>
    <s v="COWATER 2"/>
    <s v="M10"/>
    <s v="COWATER INDUSTRY"/>
    <s v="SONEDE"/>
    <s v="ASYN"/>
    <s v="JEMAC 450 A M 6-5.5-50"/>
    <s v="A16959_M10"/>
    <n v="2"/>
    <n v="1"/>
    <n v="5.5"/>
    <n v="0.88"/>
    <n v="50"/>
    <n v="1000"/>
    <n v="51"/>
    <n v="78"/>
    <n v="6"/>
    <n v="72"/>
    <s v="0A1"/>
    <n v="3011"/>
    <n v="23"/>
    <s v="-"/>
    <x v="0"/>
    <x v="0"/>
    <m/>
    <x v="1"/>
    <m/>
    <n v="46.3"/>
  </r>
  <r>
    <s v="A17559"/>
    <d v="2017-01-09T00:00:00"/>
    <s v="PUMPIRAN"/>
    <s v="M10"/>
    <s v="KALAJOO FZC"/>
    <s v="PUMP IRAN"/>
    <s v="ASYN"/>
    <s v="JEMAC 400 TS6"/>
    <s v="A17496_M10"/>
    <n v="6"/>
    <n v="1"/>
    <n v="6"/>
    <n v="1"/>
    <n v="50"/>
    <n v="1000"/>
    <n v="430"/>
    <n v="500"/>
    <n v="6"/>
    <n v="58"/>
    <s v="6A1A1"/>
    <n v="3011"/>
    <n v="55"/>
    <s v="-"/>
    <x v="0"/>
    <x v="0"/>
    <m/>
    <x v="1"/>
    <m/>
    <n v="13.1"/>
  </r>
  <r>
    <s v="A17575"/>
    <d v="2017-01-12T00:00:00"/>
    <s v="AIN SOKHNA EGYPTE"/>
    <s v="M10"/>
    <s v="TERMOMECCANICA"/>
    <s v="NCIC"/>
    <s v="ASYN"/>
    <s v="JEMAC560TS10"/>
    <s v="X16861_M20"/>
    <n v="6"/>
    <n v="1.25"/>
    <n v="3.3"/>
    <n v="0.78"/>
    <n v="50"/>
    <n v="600"/>
    <n v="74"/>
    <n v="104"/>
    <n v="10"/>
    <n v="90"/>
    <s v="6A1A1"/>
    <n v="3011"/>
    <n v="55"/>
    <s v="-"/>
    <x v="0"/>
    <x v="0"/>
    <m/>
    <x v="1"/>
    <m/>
    <n v="27.65"/>
  </r>
  <r>
    <s v="A17627"/>
    <d v="2017-03-20T00:00:00"/>
    <s v="HYOSUNG SHIRAZ"/>
    <s v="M10"/>
    <s v="HYOSUNG"/>
    <s v="ZOLAL SHIRAZ PUMPING"/>
    <s v="ASYN"/>
    <s v="JEMAB 630 TSH 4-6,3-50"/>
    <m/>
    <n v="5"/>
    <n v="2"/>
    <n v="6"/>
    <n v="0.9"/>
    <n v="50"/>
    <n v="1500"/>
    <n v="75"/>
    <n v="94"/>
    <n v="4"/>
    <n v="72"/>
    <n v="666"/>
    <n v="1001"/>
    <n v="55"/>
    <s v="-"/>
    <x v="0"/>
    <x v="3"/>
    <m/>
    <x v="1"/>
    <m/>
    <n v="1168"/>
  </r>
  <r>
    <s v="A17656"/>
    <d v="2017-04-12T00:00:00"/>
    <s v="MERI_KARKER"/>
    <s v="M10"/>
    <s v="MERI"/>
    <s v="SONEDE"/>
    <s v="ASYN"/>
    <s v="JEMAC500TS4 690V 50Hz"/>
    <s v="A17434_M10"/>
    <n v="3"/>
    <n v="1.65"/>
    <n v="2"/>
    <n v="0.88"/>
    <n v="50"/>
    <n v="1500"/>
    <n v="59"/>
    <n v="79"/>
    <n v="4"/>
    <n v="72"/>
    <n v="611"/>
    <n v="1001"/>
    <n v="55"/>
    <s v="-"/>
    <x v="0"/>
    <x v="0"/>
    <m/>
    <x v="1"/>
    <m/>
    <n v="42.45"/>
  </r>
  <r>
    <s v="A17689"/>
    <d v="2017-05-30T00:00:00"/>
    <s v="SENELEC"/>
    <s v="M10"/>
    <s v="CASSIS EQUIPEMENT"/>
    <s v="SENELEC"/>
    <s v="ASYN"/>
    <s v="JEMAC355AS8"/>
    <m/>
    <n v="3"/>
    <n v="0.2"/>
    <n v="3.3"/>
    <n v="0.78"/>
    <n v="50"/>
    <n v="750"/>
    <n v="43"/>
    <n v="47"/>
    <n v="8"/>
    <n v="48"/>
    <s v="0A1"/>
    <n v="3011"/>
    <n v="23"/>
    <s v="-"/>
    <x v="0"/>
    <x v="0"/>
    <m/>
    <x v="1"/>
    <m/>
    <n v="10.65"/>
  </r>
  <r>
    <s v="A17698"/>
    <d v="2017-06-09T00:00:00"/>
    <s v="QATARGAS"/>
    <s v="M10"/>
    <s v="QATARGAS"/>
    <s v="QATARGAS"/>
    <s v="ASYN"/>
    <s v="TSCX 900 D 4"/>
    <m/>
    <n v="1"/>
    <n v="6"/>
    <n v="6"/>
    <n v="0.92"/>
    <n v="50"/>
    <n v="1500"/>
    <n v="89"/>
    <n v="125"/>
    <n v="4"/>
    <n v="96"/>
    <n v="611"/>
    <n v="1001"/>
    <n v="55"/>
    <s v="E"/>
    <x v="0"/>
    <x v="0"/>
    <m/>
    <x v="1"/>
    <m/>
    <n v="846.4000000000001"/>
  </r>
  <r>
    <s v="A17706"/>
    <d v="2017-06-15T00:00:00"/>
    <s v="CIMAR"/>
    <s v="M10"/>
    <s v="CIMENTS DU MAROC"/>
    <s v="CIMENTS DU MAROC"/>
    <s v="ASYN"/>
    <s v="JEMAC 500TS8_0.69_50_H_R"/>
    <m/>
    <n v="1"/>
    <n v="0.845"/>
    <n v="2"/>
    <n v="0.803"/>
    <n v="50"/>
    <n v="750"/>
    <n v="63"/>
    <n v="79"/>
    <n v="8"/>
    <n v="96"/>
    <s v="6A1A1"/>
    <n v="1001"/>
    <n v="55"/>
    <s v="-"/>
    <x v="0"/>
    <x v="0"/>
    <m/>
    <x v="1"/>
    <m/>
    <n v="18.65"/>
  </r>
  <r>
    <s v="A17708"/>
    <d v="2017-06-09T00:00:00"/>
    <s v="AIN SOKHNA"/>
    <s v="M10"/>
    <s v="TERMOMECCANICA"/>
    <s v="EL-NASR"/>
    <s v="ASYN"/>
    <s v="JEMAC400TL2"/>
    <s v="GAMME JEMAC 355-450"/>
    <n v="2"/>
    <n v="0.7"/>
    <n v="3"/>
    <n v="0.9"/>
    <n v="50"/>
    <n v="3000"/>
    <n v="40"/>
    <n v="60"/>
    <n v="2"/>
    <n v="54"/>
    <n v="611"/>
    <n v="1001"/>
    <n v="55"/>
    <s v="-"/>
    <x v="0"/>
    <x v="0"/>
    <m/>
    <x v="1"/>
    <m/>
    <n v="8.4"/>
  </r>
  <r>
    <s v="A17797"/>
    <d v="2017-08-29T00:00:00"/>
    <s v="PDO OMAN"/>
    <s v="M10"/>
    <s v="AMRAN ESTABLISHEMENT LLC"/>
    <s v="PDO LLC"/>
    <s v="ASYN"/>
    <s v="JEMAC630TL2"/>
    <s v="A16380_M10"/>
    <n v="2"/>
    <n v="2.65"/>
    <n v="11"/>
    <n v="0.92"/>
    <n v="50"/>
    <n v="3000"/>
    <n v="57"/>
    <n v="104"/>
    <n v="2"/>
    <n v="60"/>
    <s v="1A1A1"/>
    <n v="1001"/>
    <n v="55"/>
    <s v="N"/>
    <x v="0"/>
    <x v="0"/>
    <m/>
    <x v="1"/>
    <m/>
    <n v="1809.4"/>
  </r>
  <r>
    <s v="A17872"/>
    <d v="2017-11-08T00:00:00"/>
    <s v="ASTEMARA"/>
    <s v="M10"/>
    <s v="ASMENT TEMARA"/>
    <s v="ASMENT TEMARA"/>
    <s v="ASYN"/>
    <s v="JEMAB710TS8"/>
    <m/>
    <n v="1"/>
    <n v="1.8"/>
    <n v="5.5"/>
    <n v="0.84"/>
    <n v="50"/>
    <n v="750"/>
    <n v="83"/>
    <n v="104"/>
    <n v="8"/>
    <n v="96"/>
    <n v="611"/>
    <n v="1002"/>
    <n v="55"/>
    <s v="-"/>
    <x v="0"/>
    <x v="3"/>
    <m/>
    <x v="1"/>
    <m/>
    <n v="356.55"/>
  </r>
  <r>
    <s v="A17901"/>
    <d v="2017-11-24T00:00:00"/>
    <s v="OCP MAROC"/>
    <s v="M10"/>
    <s v="OCP"/>
    <s v="OCP"/>
    <s v="ASYN"/>
    <s v="TNCY180-109-12"/>
    <m/>
    <n v="3"/>
    <n v="4.6"/>
    <n v="10"/>
    <n v="0.85"/>
    <n v="50"/>
    <n v="500"/>
    <n v="142"/>
    <n v="109"/>
    <n v="12"/>
    <n v="144"/>
    <s v="6A1A1"/>
    <n v="3011"/>
    <n v="55"/>
    <s v="-"/>
    <x v="0"/>
    <x v="0"/>
    <m/>
    <x v="1"/>
    <m/>
    <n v="1085.55"/>
  </r>
  <r>
    <s v="A17935"/>
    <d v="2018-01-08T00:00:00"/>
    <s v="PETCO-ABADAN"/>
    <s v="M10"/>
    <s v="IDCC"/>
    <s v="PETCO"/>
    <s v="ASYN"/>
    <s v="JEMAC450TL2"/>
    <m/>
    <n v="3"/>
    <n v="1.1"/>
    <n v="6"/>
    <n v="0.91"/>
    <n v="50"/>
    <n v="3000"/>
    <n v="45"/>
    <n v="65"/>
    <n v="2"/>
    <n v="54"/>
    <n v="611"/>
    <n v="1001"/>
    <n v="55"/>
    <s v="E"/>
    <x v="0"/>
    <x v="0"/>
    <m/>
    <x v="1"/>
    <m/>
    <n v="469.35"/>
  </r>
  <r>
    <s v="A17947"/>
    <d v="2018-01-15T00:00:00"/>
    <s v="TIGF"/>
    <s v="M10"/>
    <s v="TIGF"/>
    <s v="TIGF"/>
    <s v="ASYN"/>
    <s v="JEMAC1120RS14"/>
    <m/>
    <n v="1"/>
    <n v="3.6"/>
    <n v="5.5"/>
    <n v="0.84"/>
    <n v="50"/>
    <n v="428"/>
    <n v="174"/>
    <n v="79"/>
    <n v="14"/>
    <n v="168"/>
    <s v="8A1W7"/>
    <n v="1001"/>
    <n v="55"/>
    <s v="P"/>
    <x v="0"/>
    <x v="0"/>
    <m/>
    <x v="1"/>
    <m/>
    <n v="2362.3"/>
  </r>
  <r>
    <s v="A17999"/>
    <d v="2018-03-01T00:00:00"/>
    <s v="TARA STEEL"/>
    <s v="M10"/>
    <s v="MOBARAKEH STEEL"/>
    <s v="MOBARAKEH STEEL"/>
    <s v="ASYN"/>
    <s v="JEMAB1120TS8"/>
    <m/>
    <n v="2"/>
    <n v="5.5"/>
    <n v="6.6"/>
    <n v="0.85"/>
    <n v="50"/>
    <n v="750"/>
    <n v="124"/>
    <n v="79"/>
    <n v="8"/>
    <n v="84"/>
    <n v="611"/>
    <n v="1001"/>
    <n v="55"/>
    <s v="-"/>
    <x v="0"/>
    <x v="3"/>
    <m/>
    <x v="1"/>
    <m/>
    <n v="1104.5"/>
  </r>
  <r>
    <s v="A18000"/>
    <d v="2018-02-27T00:00:00"/>
    <s v="TARA STEEL"/>
    <s v="M10"/>
    <s v="MOBARAKEH STEEL"/>
    <s v="MOBARAKEH STEEL"/>
    <s v="ASYN"/>
    <s v="JEMAC560TL6"/>
    <m/>
    <n v="1"/>
    <n v="1.8"/>
    <n v="6.6"/>
    <n v="0.87"/>
    <n v="50"/>
    <n v="1000"/>
    <n v="69"/>
    <n v="119"/>
    <n v="6"/>
    <n v="90"/>
    <n v="611"/>
    <n v="3011"/>
    <n v="55"/>
    <s v="-"/>
    <x v="0"/>
    <x v="0"/>
    <m/>
    <x v="1"/>
    <m/>
    <n v="20.85"/>
  </r>
  <r>
    <s v="A18055"/>
    <d v="2018-03-26T00:00:00"/>
    <s v="FARABARD SHIRAZ"/>
    <s v="M10"/>
    <s v="PETCO"/>
    <s v="PETCO"/>
    <s v="ASYN"/>
    <s v="JEMAC500TS8"/>
    <m/>
    <n v="12"/>
    <n v="0.85"/>
    <n v="6"/>
    <n v="0.73"/>
    <n v="50"/>
    <n v="750"/>
    <n v="64"/>
    <n v="84"/>
    <n v="8"/>
    <n v="72"/>
    <n v="611"/>
    <n v="1001"/>
    <n v="55"/>
    <s v="-"/>
    <x v="0"/>
    <x v="0"/>
    <m/>
    <x v="1"/>
    <m/>
    <n v="14.2"/>
  </r>
  <r>
    <s v="A18082"/>
    <d v="2018-05-31T00:00:00"/>
    <s v="TARA STEEL"/>
    <s v="M10"/>
    <s v="TARA STEEL"/>
    <s v="TARA STEEL"/>
    <s v="ASYN"/>
    <s v="JEMAC500TS4"/>
    <s v="A17935_M30"/>
    <n v="2"/>
    <n v="1.12"/>
    <n v="6.6"/>
    <n v="0.88"/>
    <n v="50"/>
    <n v="1500"/>
    <n v="59"/>
    <n v="74"/>
    <n v="4"/>
    <n v="72"/>
    <n v="611"/>
    <n v="1001"/>
    <n v="55"/>
    <s v="-"/>
    <x v="0"/>
    <x v="0"/>
    <m/>
    <x v="1"/>
    <m/>
    <n v="7.55"/>
  </r>
  <r>
    <s v="A18101"/>
    <d v="2018-05-02T00:00:00"/>
    <s v="CEMINDO"/>
    <s v="M10"/>
    <s v="FCB"/>
    <s v="FCB"/>
    <s v="ASYN"/>
    <s v="JEMAC560TM12"/>
    <m/>
    <n v="1"/>
    <n v="1.1"/>
    <n v="6.6"/>
    <n v="0.78"/>
    <n v="50"/>
    <n v="500"/>
    <n v="76"/>
    <n v="119"/>
    <n v="12"/>
    <n v="108"/>
    <s v="6A1A1"/>
    <n v="1001"/>
    <n v="55"/>
    <s v="-"/>
    <x v="0"/>
    <x v="0"/>
    <m/>
    <x v="1"/>
    <m/>
    <n v="15"/>
  </r>
  <r>
    <s v="A18101"/>
    <d v="2018-05-17T00:00:00"/>
    <s v="CEMINDO"/>
    <s v="M10"/>
    <s v="FIVES FCB"/>
    <s v="FIVES FCB"/>
    <s v="ASYN"/>
    <s v="JEMAC560TM12"/>
    <m/>
    <n v="1"/>
    <n v="1.1"/>
    <n v="6.6"/>
    <n v="0.78"/>
    <n v="50"/>
    <n v="500"/>
    <n v="76"/>
    <n v="119"/>
    <n v="12"/>
    <n v="108"/>
    <n v="611"/>
    <n v="1001"/>
    <n v="55"/>
    <s v="-"/>
    <x v="0"/>
    <x v="0"/>
    <m/>
    <x v="1"/>
    <m/>
    <n v="15"/>
  </r>
  <r>
    <s v="A18111"/>
    <d v="2018-06-04T00:00:00"/>
    <s v="YANBU"/>
    <s v="M10"/>
    <s v="SWCC"/>
    <s v="SWCC"/>
    <s v="ASYN"/>
    <s v="TNCY900B14"/>
    <m/>
    <n v="1"/>
    <n v="2.1"/>
    <n v="4"/>
    <n v="0.8"/>
    <n v="60"/>
    <n v="514"/>
    <n v="100"/>
    <n v="90"/>
    <n v="14"/>
    <n v="126"/>
    <n v="151"/>
    <n v="3011"/>
    <n v="54"/>
    <s v="-"/>
    <x v="0"/>
    <x v="0"/>
    <m/>
    <x v="1"/>
    <m/>
    <n v="225.65"/>
  </r>
  <r>
    <s v="A18143"/>
    <d v="2018-06-04T00:00:00"/>
    <s v="JORF LASFAR"/>
    <s v="M10"/>
    <s v="OCP"/>
    <s v="OCP"/>
    <s v="ASYN"/>
    <s v="JEMAC500TM2"/>
    <m/>
    <n v="1"/>
    <n v="1.315"/>
    <n v="10"/>
    <n v="0.92"/>
    <n v="50"/>
    <n v="3000"/>
    <n v="47"/>
    <n v="79"/>
    <n v="2"/>
    <n v="54"/>
    <n v="611"/>
    <n v="1001"/>
    <n v="55"/>
    <s v="-"/>
    <x v="0"/>
    <x v="0"/>
    <m/>
    <x v="1"/>
    <m/>
    <n v="24.85"/>
  </r>
  <r>
    <s v="A18152"/>
    <d v="2018-07-16T00:00:00"/>
    <s v="TENGUIZ TPCB"/>
    <s v="M10"/>
    <s v="LFF"/>
    <s v="TCO"/>
    <s v="ASYN"/>
    <s v="TPCB 800 B 4"/>
    <s v="A16136"/>
    <n v="1"/>
    <n v="4"/>
    <n v="10"/>
    <n v="0.91"/>
    <n v="50"/>
    <n v="1500"/>
    <n v="77"/>
    <n v="101"/>
    <n v="4"/>
    <n v="72"/>
    <n v="611"/>
    <n v="1001"/>
    <n v="54"/>
    <s v="P"/>
    <x v="0"/>
    <x v="0"/>
    <m/>
    <x v="1"/>
    <m/>
    <n v="1872.05"/>
  </r>
  <r>
    <s v="A18154"/>
    <d v="2018-06-18T00:00:00"/>
    <s v="HENGHAM"/>
    <s v="M10"/>
    <s v="AEROMECCANICA"/>
    <s v="PIDEMCO"/>
    <s v="ASYN"/>
    <s v="JEMAC710TL6"/>
    <m/>
    <n v="1"/>
    <n v="3.7"/>
    <n v="11"/>
    <n v="0.87"/>
    <n v="50"/>
    <n v="1000"/>
    <n v="93"/>
    <n v="119"/>
    <n v="6"/>
    <n v="90"/>
    <n v="611"/>
    <n v="1001"/>
    <n v="55"/>
    <s v="-"/>
    <x v="0"/>
    <x v="0"/>
    <m/>
    <x v="1"/>
    <m/>
    <n v="960.2"/>
  </r>
  <r>
    <s v="A18180"/>
    <d v="2018-07-23T00:00:00"/>
    <s v="KSB RADES"/>
    <s v="M10"/>
    <s v="KSB"/>
    <s v="STEG RADES"/>
    <s v="ASYN"/>
    <s v="JEMAC355TS4"/>
    <m/>
    <n v="2"/>
    <n v="0.6"/>
    <n v="6.6"/>
    <n v="0.87"/>
    <n v="50"/>
    <n v="1500"/>
    <n v="40"/>
    <n v="66"/>
    <n v="4"/>
    <n v="48"/>
    <n v="611"/>
    <n v="3011"/>
    <n v="55"/>
    <s v="-"/>
    <x v="0"/>
    <x v="0"/>
    <m/>
    <x v="1"/>
    <m/>
    <n v="20.25"/>
  </r>
  <r>
    <s v="A18197"/>
    <d v="2018-07-23T00:00:00"/>
    <s v="BATON BASSE-CHUTE"/>
    <s v="M10"/>
    <s v="JEM"/>
    <s v="HYDROSTADIUM EDF"/>
    <s v="ASYN"/>
    <s v="JEGAC400AS6"/>
    <m/>
    <n v="1"/>
    <n v="0.45"/>
    <n v="4"/>
    <n v="0.84"/>
    <n v="50"/>
    <n v="1000"/>
    <n v="46"/>
    <n v="65"/>
    <n v="6"/>
    <n v="72"/>
    <s v="0A1"/>
    <n v="1001"/>
    <n v="23"/>
    <s v="-"/>
    <x v="0"/>
    <x v="0"/>
    <m/>
    <x v="1"/>
    <m/>
    <n v="824"/>
  </r>
  <r>
    <s v="A18250"/>
    <d v="2018-09-05T00:00:00"/>
    <s v="LG CHEM COREE"/>
    <s v="M10"/>
    <s v="LG CHEM"/>
    <s v="LG CHEM"/>
    <s v="ASYN"/>
    <s v="RPC 182-56-20"/>
    <m/>
    <n v="1"/>
    <n v="2.6"/>
    <n v="6.6"/>
    <n v="0.8"/>
    <n v="60"/>
    <n v="360"/>
    <n v="149"/>
    <n v="56"/>
    <n v="20"/>
    <n v="180"/>
    <s v="8A1W7"/>
    <n v="7015"/>
    <n v="55"/>
    <s v="P"/>
    <x v="0"/>
    <x v="0"/>
    <m/>
    <x v="1"/>
    <m/>
    <n v="713.6"/>
  </r>
  <r>
    <s v="A18303"/>
    <d v="2018-10-26T00:00:00"/>
    <s v="BOUREGREG"/>
    <s v="M10"/>
    <s v="CEGELEC ACTEMIUM"/>
    <s v="CEGELEC ACTEMIUM"/>
    <s v="ASYN"/>
    <s v="JEMAC560RS6"/>
    <m/>
    <n v="2"/>
    <n v="2.2"/>
    <n v="5.5"/>
    <n v="0.89"/>
    <n v="50"/>
    <n v="1000"/>
    <n v="69"/>
    <n v="99"/>
    <n v="6"/>
    <n v="90"/>
    <s v="8A1W7"/>
    <n v="1001"/>
    <n v="55"/>
    <s v="-"/>
    <x v="0"/>
    <x v="0"/>
    <m/>
    <x v="1"/>
    <m/>
    <n v="542.6"/>
  </r>
  <r>
    <s v="A18375"/>
    <d v="2018-12-20T00:00:00"/>
    <s v="WASCO"/>
    <s v="M10"/>
    <s v="KV MATERIAL"/>
    <s v="WASCO"/>
    <s v="ASYN"/>
    <s v="JEMAC500RL4-6.6-50"/>
    <s v="A17434_M10"/>
    <n v="6"/>
    <n v="2.5"/>
    <n v="6.6"/>
    <n v="0.9"/>
    <n v="50"/>
    <n v="1500"/>
    <n v="59"/>
    <n v="104"/>
    <n v="4"/>
    <n v="72"/>
    <s v="IC8A1W7"/>
    <n v="1001"/>
    <n v="55"/>
    <s v="-"/>
    <x v="0"/>
    <x v="0"/>
    <m/>
    <x v="1"/>
    <m/>
    <n v="653.2"/>
  </r>
  <r>
    <s v="A18386"/>
    <d v="2019-01-04T00:00:00"/>
    <s v="KSB - COTE D IVOIRE"/>
    <s v="M10"/>
    <s v="KSB"/>
    <s v="VEOLIA"/>
    <s v="ASYN"/>
    <s v="JEMAC450TM4"/>
    <m/>
    <n v="6"/>
    <n v="1.4"/>
    <n v="6.6"/>
    <n v="0.92"/>
    <n v="50"/>
    <n v="1500"/>
    <n v="86"/>
    <n v="76"/>
    <n v="4"/>
    <n v="72"/>
    <s v="6A1A1"/>
    <n v="1001"/>
    <n v="55"/>
    <s v="-"/>
    <x v="0"/>
    <x v="0"/>
    <m/>
    <x v="1"/>
    <m/>
    <n v="84.80000000000001"/>
  </r>
  <r>
    <s v="A18415"/>
    <d v="2019-03-12T00:00:00"/>
    <s v="THRUSTER MSC VISTA"/>
    <s v="M10"/>
    <s v="STX"/>
    <s v="MSC"/>
    <s v="ASYN"/>
    <s v="JEMAC 630 A L 10-11-60"/>
    <s v="A16801_M10"/>
    <n v="4"/>
    <n v="3.3"/>
    <n v="11"/>
    <n v="0.802"/>
    <n v="60"/>
    <n v="720"/>
    <n v="84"/>
    <n v="129"/>
    <n v="10"/>
    <n v="90"/>
    <s v="0A1"/>
    <n v="3011"/>
    <n v="23"/>
    <s v="-"/>
    <x v="0"/>
    <x v="0"/>
    <m/>
    <x v="1"/>
    <m/>
    <n v="137.65"/>
  </r>
  <r>
    <s v="A18426"/>
    <d v="2019-02-06T00:00:00"/>
    <s v="MFM MOGAS"/>
    <s v="M10"/>
    <s v="CLYDE UNION"/>
    <s v="PARCO"/>
    <s v="ASYN"/>
    <s v="JEMAC400TS2_6_50"/>
    <m/>
    <n v="4"/>
    <n v="0.71"/>
    <n v="6"/>
    <n v="0.9"/>
    <n v="50"/>
    <n v="3000"/>
    <n v="40"/>
    <n v="45"/>
    <n v="2"/>
    <n v="54"/>
    <n v="611"/>
    <n v="1001"/>
    <n v="55"/>
    <s v="N"/>
    <x v="0"/>
    <x v="0"/>
    <m/>
    <x v="1"/>
    <m/>
    <n v="122.9"/>
  </r>
  <r>
    <s v="A18442"/>
    <d v="2019-02-12T00:00:00"/>
    <s v="FOSSE_EQUILIBRAGE"/>
    <s v="M10"/>
    <s v="JEF"/>
    <s v="JEF"/>
    <s v="ASYN"/>
    <s v="JEMAC560AL4"/>
    <s v="56X.EXM019"/>
    <n v="1"/>
    <n v="3"/>
    <n v="6.6"/>
    <n v="0.88"/>
    <n v="60"/>
    <n v="1800"/>
    <n v="65"/>
    <n v="114"/>
    <n v="4"/>
    <n v="72"/>
    <s v="0A6"/>
    <n v="1001"/>
    <n v="23"/>
    <s v="-"/>
    <x v="0"/>
    <x v="0"/>
    <m/>
    <x v="1"/>
    <m/>
    <s v=""/>
  </r>
  <r>
    <s v="A18540"/>
    <d v="2019-04-23T00:00:00"/>
    <s v="KSB RUSSIE"/>
    <s v="M10"/>
    <s v="KSB"/>
    <s v="NIZHNEKAMSK"/>
    <s v="ASYN"/>
    <s v="JEMAC450TS2"/>
    <s v="A17935_M10"/>
    <n v="4"/>
    <n v="1.165"/>
    <n v="6.3"/>
    <n v="0.92"/>
    <n v="50"/>
    <n v="3000"/>
    <n v="45"/>
    <n v="52"/>
    <n v="2"/>
    <n v="54"/>
    <n v="611"/>
    <n v="1001"/>
    <n v="54"/>
    <s v="-"/>
    <x v="0"/>
    <x v="0"/>
    <m/>
    <x v="1"/>
    <m/>
    <n v="200.4"/>
  </r>
  <r>
    <s v="A18541"/>
    <d v="2019-04-23T00:00:00"/>
    <s v="KSB RUSSIE"/>
    <s v="M10"/>
    <s v="KSB"/>
    <s v="NIZHNEKAMSK"/>
    <s v="ASYN"/>
    <s v="JEMAC355TS4"/>
    <m/>
    <n v="3"/>
    <n v="0.33"/>
    <n v="6.3"/>
    <n v="0.87"/>
    <n v="50"/>
    <n v="1500"/>
    <n v="40"/>
    <n v="46"/>
    <n v="4"/>
    <n v="48"/>
    <n v="611"/>
    <n v="3011"/>
    <n v="54"/>
    <s v="-"/>
    <x v="0"/>
    <x v="0"/>
    <m/>
    <x v="1"/>
    <m/>
    <n v="155.9"/>
  </r>
  <r>
    <s v="A18583"/>
    <d v="2019-06-06T00:00:00"/>
    <s v="KSB LAYYAH"/>
    <s v="M10"/>
    <s v="KSB"/>
    <s v="SHARJAHELECTRICITY &amp;WATER"/>
    <s v="ASYN"/>
    <s v="JEMAC900TL16"/>
    <m/>
    <n v="3"/>
    <n v="3.415"/>
    <n v="6.6"/>
    <n v="0.79"/>
    <n v="50"/>
    <n v="375"/>
    <n v="124"/>
    <n v="139"/>
    <n v="16"/>
    <n v="192"/>
    <n v="611"/>
    <n v="3011"/>
    <n v="55"/>
    <s v="-"/>
    <x v="0"/>
    <x v="0"/>
    <m/>
    <x v="1"/>
    <m/>
    <n v="1157.6"/>
  </r>
  <r>
    <s v="A18662"/>
    <d v="2019-09-04T00:00:00"/>
    <s v="RED METAL ZAMBIE"/>
    <s v="M10"/>
    <s v="RMM"/>
    <s v="RMM"/>
    <s v="ASYN"/>
    <s v="JEMAC560TS8"/>
    <m/>
    <n v="1"/>
    <n v="1.25"/>
    <n v="11"/>
    <n v="0.76"/>
    <n v="50"/>
    <n v="750"/>
    <n v="73"/>
    <n v="79"/>
    <n v="8"/>
    <n v="72"/>
    <n v="611"/>
    <n v="1001"/>
    <n v="55"/>
    <s v="-"/>
    <x v="0"/>
    <x v="0"/>
    <m/>
    <x v="1"/>
    <m/>
    <n v="377.95"/>
  </r>
  <r>
    <s v="A18694"/>
    <d v="2019-10-02T00:00:00"/>
    <s v="SULZER LAYYAH"/>
    <s v="M10"/>
    <s v="SULZER"/>
    <s v="SHARJAH UAE"/>
    <s v="ASYN"/>
    <s v="JEMAC355TS6"/>
    <m/>
    <n v="3"/>
    <n v="0.26"/>
    <n v="6.6"/>
    <n v="0.82"/>
    <n v="50"/>
    <n v="1000"/>
    <n v="41"/>
    <n v="61"/>
    <n v="6"/>
    <n v="54"/>
    <n v="611"/>
    <n v="3011"/>
    <n v="55"/>
    <s v="-"/>
    <x v="0"/>
    <x v="0"/>
    <m/>
    <x v="1"/>
    <m/>
    <n v="493.45"/>
  </r>
  <r>
    <s v="A18709"/>
    <d v="2019-10-03T00:00:00"/>
    <s v="TMP TOMBAK"/>
    <s v="M10"/>
    <s v="TERMOMECCANICA"/>
    <s v="NATIONAL IRANIAN OIL COMP"/>
    <s v="ASYN"/>
    <s v="JEMAC450TL2"/>
    <m/>
    <n v="1"/>
    <n v="1.4"/>
    <n v="6"/>
    <n v="0.91"/>
    <n v="50"/>
    <n v="3000"/>
    <n v="45"/>
    <n v="65"/>
    <n v="2"/>
    <n v="54"/>
    <n v="611"/>
    <n v="1001"/>
    <n v="55"/>
    <s v="-"/>
    <x v="0"/>
    <x v="0"/>
    <m/>
    <x v="1"/>
    <m/>
    <n v="262.45"/>
  </r>
  <r>
    <s v="A18720"/>
    <d v="2019-10-11T00:00:00"/>
    <s v="DAMAVAND"/>
    <s v="M10"/>
    <s v="ELEKTROSERVE"/>
    <s v="ELEKTROSERVE"/>
    <s v="ASYN"/>
    <s v="JEMAC560_TL8_6_50"/>
    <m/>
    <n v="3"/>
    <n v="1.7"/>
    <n v="6"/>
    <n v="0.85"/>
    <n v="50"/>
    <n v="750"/>
    <n v="73"/>
    <n v="124"/>
    <n v="8"/>
    <n v="96"/>
    <s v="6A1A1"/>
    <n v="1001"/>
    <n v="55"/>
    <s v="-"/>
    <x v="0"/>
    <x v="0"/>
    <m/>
    <x v="1"/>
    <m/>
    <n v="72.90000000000001"/>
  </r>
  <r>
    <s v="A18721"/>
    <d v="2019-10-11T00:00:00"/>
    <s v="GPM-GMBH"/>
    <s v="M10"/>
    <s v="GPM-GMBH"/>
    <s v="GPM"/>
    <s v="ASYN"/>
    <s v="JEMAC355_TS2_6.6_50"/>
    <m/>
    <n v="12"/>
    <n v="0.5"/>
    <n v="6.6"/>
    <n v="0.93"/>
    <n v="50"/>
    <n v="3000"/>
    <n v="36"/>
    <n v="42"/>
    <n v="2"/>
    <n v="42"/>
    <s v="6A1A1"/>
    <n v="1001"/>
    <n v="54"/>
    <s v="-"/>
    <x v="0"/>
    <x v="0"/>
    <m/>
    <x v="1"/>
    <m/>
    <n v="543.9"/>
  </r>
  <r>
    <s v="A18730"/>
    <d v="2019-11-04T00:00:00"/>
    <s v="EQIOM JEMAB630TL6"/>
    <s v="M10"/>
    <s v="EQIOM"/>
    <s v="EQIOM"/>
    <s v="ASYN"/>
    <s v="JEMAB 630 TL6 2800Kw 5.5 kV 50Hz"/>
    <s v="A17872_M10"/>
    <n v="1"/>
    <n v="2.8"/>
    <n v="5.5"/>
    <n v="0.86"/>
    <n v="50"/>
    <n v="1000"/>
    <n v="789"/>
    <n v="20"/>
    <n v="6"/>
    <n v="20"/>
    <n v="611"/>
    <n v="1001"/>
    <n v="54"/>
    <s v="-"/>
    <x v="0"/>
    <x v="3"/>
    <m/>
    <x v="1"/>
    <m/>
    <n v="677.4999999999999"/>
  </r>
  <r>
    <s v="A18758"/>
    <d v="2019-11-07T00:00:00"/>
    <s v="ADCO ASAB"/>
    <s v="M10"/>
    <s v="NAMA"/>
    <s v="ADNOC"/>
    <s v="ASYN"/>
    <s v="JEMAC710TL2"/>
    <m/>
    <n v="1"/>
    <n v="4.9"/>
    <n v="11"/>
    <n v="0.91"/>
    <n v="50"/>
    <n v="3000"/>
    <n v="62"/>
    <n v="114"/>
    <n v="2"/>
    <n v="60"/>
    <s v="6A1A1"/>
    <n v="1003"/>
    <n v="55"/>
    <s v="P"/>
    <x v="0"/>
    <x v="0"/>
    <m/>
    <x v="1"/>
    <m/>
    <n v="1887.4"/>
  </r>
  <r>
    <s v="A18766"/>
    <d v="2020-01-13T00:00:00"/>
    <s v="ELE_YAN"/>
    <s v="M10"/>
    <s v="MEDINA YANBU"/>
    <s v="MEDINA YANBU"/>
    <s v="ASYN"/>
    <s v="TNCY 152-112-12"/>
    <m/>
    <n v="2"/>
    <n v="2.7"/>
    <n v="13.2"/>
    <n v="0.8"/>
    <n v="60"/>
    <n v="600"/>
    <n v="112"/>
    <n v="112"/>
    <n v="12"/>
    <n v="108"/>
    <n v="151"/>
    <n v="3011"/>
    <n v="54"/>
    <s v="-"/>
    <x v="0"/>
    <x v="0"/>
    <m/>
    <x v="1"/>
    <m/>
    <n v="498.65"/>
  </r>
  <r>
    <s v="A18770"/>
    <d v="2019-11-27T00:00:00"/>
    <s v="FLOT LOG"/>
    <s v="M10"/>
    <s v="CHANTIERS DE LATLANTIQUE"/>
    <s v="OCCAR"/>
    <s v="ASYN"/>
    <s v="JEMAC560TL8"/>
    <s v="A18662_M10"/>
    <n v="1"/>
    <n v="2.5"/>
    <n v="6.6"/>
    <n v="0.82"/>
    <n v="60"/>
    <n v="900"/>
    <n v="72"/>
    <n v="124"/>
    <n v="8"/>
    <n v="72"/>
    <s v="6A1A1"/>
    <n v="3011"/>
    <n v="55"/>
    <s v="-"/>
    <x v="0"/>
    <x v="0"/>
    <m/>
    <x v="1"/>
    <m/>
    <n v="687.3"/>
  </r>
  <r>
    <s v="A18776"/>
    <d v="2019-12-02T00:00:00"/>
    <s v="GASCO"/>
    <s v="M10"/>
    <s v="NAMA"/>
    <s v="ADNOC"/>
    <s v="ASYN"/>
    <s v="JEMAC500TM4"/>
    <m/>
    <n v="1"/>
    <n v="1.5"/>
    <n v="11"/>
    <n v="0.87"/>
    <n v="50"/>
    <n v="1500"/>
    <n v="59"/>
    <n v="89"/>
    <n v="4"/>
    <n v="60"/>
    <n v="611"/>
    <n v="1001"/>
    <n v="55"/>
    <s v="N"/>
    <x v="0"/>
    <x v="0"/>
    <m/>
    <x v="1"/>
    <m/>
    <n v="666.0999999999999"/>
  </r>
  <r>
    <s v="A18779"/>
    <d v="2019-12-06T00:00:00"/>
    <s v="ADISH"/>
    <s v="M10"/>
    <s v="ROODHART MENA DWC LLC"/>
    <s v="INCONNU"/>
    <s v="ASYN"/>
    <s v="JEMAC355TM4"/>
    <m/>
    <n v="3"/>
    <n v="0.65"/>
    <n v="6"/>
    <n v="0.87"/>
    <n v="50"/>
    <n v="1500"/>
    <n v="40"/>
    <n v="64"/>
    <n v="4"/>
    <n v="48"/>
    <n v="611"/>
    <n v="3011"/>
    <n v="55"/>
    <s v="E"/>
    <x v="0"/>
    <x v="0"/>
    <m/>
    <x v="1"/>
    <m/>
    <n v="202.6"/>
  </r>
  <r>
    <s v="A18784"/>
    <d v="2019-12-05T00:00:00"/>
    <s v="DERICHEBOURG"/>
    <s v="M10"/>
    <s v="DERICHEBOURG"/>
    <s v="DERICHEBOURG"/>
    <s v="ASYN"/>
    <s v="JEMAC630TL10"/>
    <m/>
    <n v="1"/>
    <n v="1.304"/>
    <n v="6"/>
    <n v="0.83"/>
    <n v="50"/>
    <n v="600"/>
    <n v="84"/>
    <n v="119"/>
    <n v="10"/>
    <n v="120"/>
    <n v="616"/>
    <n v="1001"/>
    <n v="55"/>
    <s v="-"/>
    <x v="0"/>
    <x v="0"/>
    <m/>
    <x v="1"/>
    <m/>
    <n v="145.05"/>
  </r>
  <r>
    <s v="A18809"/>
    <d v="2020-01-16T00:00:00"/>
    <s v="BANGALORE TEST BENCH"/>
    <s v="M10"/>
    <s v="ABB"/>
    <s v="BANGALORE TEST BENCH"/>
    <s v="ASYN"/>
    <s v="entrainement turbo de choc"/>
    <m/>
    <n v="2"/>
    <n v="3.3"/>
    <n v="3.15"/>
    <n v="0.915"/>
    <n v="60"/>
    <n v="3600"/>
    <n v="62"/>
    <n v="54"/>
    <n v="2"/>
    <n v="66"/>
    <s v="8A1W7"/>
    <n v="1205"/>
    <n v="55"/>
    <s v="-"/>
    <x v="0"/>
    <x v="2"/>
    <m/>
    <x v="1"/>
    <m/>
    <n v="1341.9"/>
  </r>
  <r>
    <s v="A18863"/>
    <d v="2020-03-02T00:00:00"/>
    <s v="TNCY 710L4 ZAKUM"/>
    <s v="M10"/>
    <s v="NAMA"/>
    <s v="ADNOC ZAKUM"/>
    <s v="ASYN"/>
    <s v="TNCY 710 L4"/>
    <m/>
    <n v="1"/>
    <n v="1.3"/>
    <n v="6.6"/>
    <n v="0.91"/>
    <n v="50"/>
    <n v="1500"/>
    <n v="580"/>
    <n v="66"/>
    <n v="4"/>
    <n v="72"/>
    <n v="151"/>
    <n v="4011"/>
    <n v="55"/>
    <s v="E"/>
    <x v="0"/>
    <x v="0"/>
    <m/>
    <x v="1"/>
    <m/>
    <n v="1587.4"/>
  </r>
  <r>
    <s v="A18917"/>
    <d v="2020-04-15T00:00:00"/>
    <s v="RUMAILA BFP"/>
    <s v="M10"/>
    <s v="SULZER GERMANY"/>
    <s v="CCPP IRAQ"/>
    <s v="ASYN"/>
    <s v="JEMAC450TL2"/>
    <s v="A17935_M10"/>
    <n v="6"/>
    <n v="1.4"/>
    <n v="6.6"/>
    <n v="0.92"/>
    <n v="50"/>
    <n v="3000"/>
    <n v="45"/>
    <n v="65"/>
    <n v="2"/>
    <n v="54"/>
    <s v="6A1A1"/>
    <n v="1001"/>
    <n v="55"/>
    <s v="-"/>
    <x v="0"/>
    <x v="0"/>
    <m/>
    <x v="1"/>
    <m/>
    <n v="645.95"/>
  </r>
  <r>
    <s v="A18926"/>
    <d v="2020-04-08T00:00:00"/>
    <s v="RUMAILA CEP"/>
    <s v="M10"/>
    <s v="SULZER PUMPS SPAIN"/>
    <s v="SULZER PUMPS SPAIN"/>
    <s v="ASYN"/>
    <s v="JEMAC400TS4"/>
    <m/>
    <n v="6"/>
    <n v="0.78"/>
    <n v="6.6"/>
    <n v="0.87"/>
    <n v="50"/>
    <n v="1500"/>
    <n v="46"/>
    <n v="60"/>
    <n v="4"/>
    <n v="60"/>
    <s v="6A1A1"/>
    <n v="3011"/>
    <n v="55"/>
    <s v="-"/>
    <x v="0"/>
    <x v="0"/>
    <m/>
    <x v="1"/>
    <m/>
    <n v="367.3"/>
  </r>
  <r>
    <s v="A19031"/>
    <d v="2021-01-06T00:00:00"/>
    <s v="WEIR ADNOC"/>
    <s v="M10"/>
    <s v="WEIR ADNOC"/>
    <s v="ADNOC"/>
    <s v="ASYN"/>
    <s v="TNCY 710 L4"/>
    <s v="A18863"/>
    <n v="1"/>
    <n v="1.3"/>
    <n v="6.6"/>
    <n v="0.9"/>
    <n v="50"/>
    <n v="1500"/>
    <n v="58"/>
    <n v="66"/>
    <n v="4"/>
    <n v="72"/>
    <n v="611"/>
    <n v="4011"/>
    <n v="54"/>
    <s v="E"/>
    <x v="0"/>
    <x v="0"/>
    <m/>
    <x v="1"/>
    <m/>
    <n v="7.7"/>
  </r>
  <r>
    <s v="A19035"/>
    <d v="2020-09-07T00:00:00"/>
    <s v="PERENCO"/>
    <s v="M10"/>
    <s v="PERENCO"/>
    <s v="PERENCO RIO DEL REY"/>
    <s v="ASYN"/>
    <s v="JEMAC630TXS6"/>
    <m/>
    <n v="1"/>
    <n v="1.33"/>
    <n v="5.5"/>
    <n v="0.85"/>
    <n v="50"/>
    <n v="1000"/>
    <n v="79"/>
    <n v="79"/>
    <n v="6"/>
    <n v="90"/>
    <n v="611"/>
    <n v="1001"/>
    <n v="55"/>
    <s v="E"/>
    <x v="0"/>
    <x v="0"/>
    <m/>
    <x v="1"/>
    <m/>
    <n v="556.6500000000001"/>
  </r>
  <r>
    <s v="A19051"/>
    <d v="2020-09-21T00:00:00"/>
    <s v="APOLLO"/>
    <s v="M10"/>
    <s v="APOLLO"/>
    <s v="UAE"/>
    <s v="ASYN"/>
    <s v="JEMAC355TS4"/>
    <s v="A18694_M10"/>
    <n v="4"/>
    <n v="0.315"/>
    <n v="6.6"/>
    <n v="0.88"/>
    <n v="50"/>
    <n v="1500"/>
    <n v="40"/>
    <n v="49"/>
    <n v="4"/>
    <n v="48"/>
    <n v="611"/>
    <n v="1001"/>
    <n v="54"/>
    <s v="-"/>
    <x v="0"/>
    <x v="0"/>
    <m/>
    <x v="1"/>
    <m/>
    <n v="593.9"/>
  </r>
  <r>
    <s v="A19085"/>
    <d v="2020-10-27T00:00:00"/>
    <s v="SOCOOPEC"/>
    <s v="M10"/>
    <s v="SOCCOPEC"/>
    <s v="SOCOOPEC"/>
    <s v="ASYN"/>
    <s v="JEMAC560TS8"/>
    <s v="A18720_M10"/>
    <n v="6"/>
    <n v="1.28"/>
    <n v="6"/>
    <n v="0.87"/>
    <n v="50"/>
    <n v="750"/>
    <n v="70"/>
    <n v="109"/>
    <n v="8"/>
    <n v="96"/>
    <s v="6A1A1"/>
    <n v="1001"/>
    <n v="55"/>
    <s v="-"/>
    <x v="0"/>
    <x v="0"/>
    <m/>
    <x v="1"/>
    <m/>
    <n v="33.09999999999999"/>
  </r>
  <r>
    <s v="A19099"/>
    <d v="2020-11-13T00:00:00"/>
    <s v="LYONDELL BASELL"/>
    <s v="M10"/>
    <s v="LYONDELL BASELL"/>
    <s v="LYONDELL BASELL"/>
    <s v="ASYN"/>
    <s v="JEMAC500RM4"/>
    <s v="A17434_M10"/>
    <n v="1"/>
    <n v="2.35"/>
    <n v="5.5"/>
    <n v="0.89"/>
    <n v="50"/>
    <n v="1500"/>
    <n v="59"/>
    <n v="94"/>
    <n v="4"/>
    <n v="72"/>
    <s v="8A1W7"/>
    <n v="1001"/>
    <n v="55"/>
    <s v="E"/>
    <x v="0"/>
    <x v="0"/>
    <m/>
    <x v="1"/>
    <m/>
    <n v="757.15"/>
  </r>
  <r>
    <s v="A19104"/>
    <d v="2020-11-18T00:00:00"/>
    <s v="CARTHAGE CEMENT"/>
    <s v="M10"/>
    <s v="CARTHAGE CEMENT"/>
    <s v="CARTHAGE CEMENT"/>
    <s v="ASYN"/>
    <s v="JEMAC400TL6"/>
    <m/>
    <n v="1"/>
    <n v="0.44"/>
    <n v="11"/>
    <n v="0.74"/>
    <n v="50"/>
    <n v="1000"/>
    <n v="44"/>
    <n v="80"/>
    <n v="6"/>
    <n v="54"/>
    <n v="611"/>
    <n v="1001"/>
    <n v="55"/>
    <s v="-"/>
    <x v="0"/>
    <x v="0"/>
    <m/>
    <x v="1"/>
    <m/>
    <n v="108.4"/>
  </r>
  <r>
    <s v="A19135"/>
    <d v="2020-12-08T00:00:00"/>
    <s v="TUI THRUSTERS"/>
    <s v="M10"/>
    <s v="FINCANTIERI"/>
    <s v="FINCANTIERI"/>
    <s v="ASYN"/>
    <s v="JEMAC630RL10"/>
    <s v="A16801_M10"/>
    <n v="4"/>
    <n v="3.5"/>
    <n v="11"/>
    <n v="0.77"/>
    <n v="60"/>
    <n v="720"/>
    <n v="86"/>
    <n v="129"/>
    <n v="10"/>
    <n v="90"/>
    <s v="8A1W7"/>
    <n v="4011"/>
    <n v="55"/>
    <s v="-"/>
    <x v="0"/>
    <x v="0"/>
    <m/>
    <x v="1"/>
    <m/>
    <n v="148.55"/>
  </r>
  <r>
    <s v="A19180"/>
    <d v="2021-03-22T00:00:00"/>
    <s v="ADNOC_OFFSHORE"/>
    <s v="M10"/>
    <s v="NAMA"/>
    <s v="ADNOC OFFSHORE"/>
    <s v="ASYN"/>
    <s v="TNCY710L4"/>
    <s v="A18863"/>
    <n v="1"/>
    <n v="1.3"/>
    <n v="6.6"/>
    <n v="0.91"/>
    <n v="50"/>
    <n v="1500"/>
    <n v="58"/>
    <n v="66"/>
    <n v="4"/>
    <n v="72"/>
    <n v="611"/>
    <n v="4011"/>
    <n v="54"/>
    <s v="E"/>
    <x v="0"/>
    <x v="0"/>
    <m/>
    <x v="1"/>
    <m/>
    <n v="18"/>
  </r>
  <r>
    <s v="A19239"/>
    <d v="2021-03-11T00:00:00"/>
    <s v="ASTEMARA"/>
    <s v="M10"/>
    <s v="VOTORANTIM"/>
    <s v="ASMENT TEMARA"/>
    <s v="ASYN"/>
    <s v="JEMAB630TS6"/>
    <s v="A 17872_M10"/>
    <n v="1"/>
    <n v="1.8"/>
    <n v="5.5"/>
    <n v="0.87"/>
    <n v="50"/>
    <n v="1000"/>
    <n v="79"/>
    <n v="84"/>
    <n v="6"/>
    <n v="90"/>
    <n v="611"/>
    <n v="1001"/>
    <n v="54"/>
    <s v="-"/>
    <x v="0"/>
    <x v="3"/>
    <m/>
    <x v="1"/>
    <m/>
    <n v="547.35"/>
  </r>
  <r>
    <s v="A19335"/>
    <d v="2021-05-04T00:00:00"/>
    <s v="ABB ALLH"/>
    <s v="M10"/>
    <s v="ABB"/>
    <s v="ABB"/>
    <s v="ASYN"/>
    <s v="RNCC 560 LC4/6"/>
    <m/>
    <n v="1"/>
    <n v="1.3"/>
    <n v="6.6"/>
    <n v="0.87"/>
    <n v="60"/>
    <n v="1800"/>
    <n v="59"/>
    <n v="95"/>
    <n v="4"/>
    <n v="144"/>
    <s v="8A1W7"/>
    <n v="3001"/>
    <n v="55"/>
    <s v="-"/>
    <x v="0"/>
    <x v="0"/>
    <m/>
    <x v="1"/>
    <m/>
    <n v="4.4"/>
  </r>
  <r>
    <s v="A19385"/>
    <d v="2021-06-14T00:00:00"/>
    <s v="DERICHEBOURG_2"/>
    <s v="M10"/>
    <s v="DERICHEBOURG"/>
    <s v="DERICHEBOURG"/>
    <s v="ASYN"/>
    <s v="JEMAB800TL10"/>
    <m/>
    <n v="2"/>
    <n v="3"/>
    <n v="6"/>
    <n v="0.85"/>
    <n v="50"/>
    <n v="600"/>
    <n v="108"/>
    <n v="114"/>
    <n v="10"/>
    <n v="120"/>
    <n v="616"/>
    <n v="1001"/>
    <n v="55"/>
    <s v="-"/>
    <x v="0"/>
    <x v="3"/>
    <m/>
    <x v="1"/>
    <m/>
    <n v="1851.15"/>
  </r>
  <r>
    <s v="A19396"/>
    <d v="2021-06-15T00:00:00"/>
    <s v="TATA STEEL NETHERLANDS"/>
    <s v="M10"/>
    <s v="TATA STEEL"/>
    <s v="TATA STEEL"/>
    <s v="ASYN"/>
    <s v="JEMAC560RS4_6_50"/>
    <m/>
    <n v="1"/>
    <n v="2.4"/>
    <n v="6"/>
    <n v="0.9"/>
    <n v="50"/>
    <n v="1500"/>
    <n v="66"/>
    <n v="94"/>
    <n v="4"/>
    <n v="72"/>
    <s v="8A1W7"/>
    <n v="1005"/>
    <n v="56"/>
    <s v="-"/>
    <x v="0"/>
    <x v="0"/>
    <m/>
    <x v="1"/>
    <m/>
    <n v="58"/>
  </r>
  <r>
    <s v="A19475"/>
    <d v="2021-08-06T00:00:00"/>
    <s v="AL-RICHEMONT"/>
    <s v="M10"/>
    <s v="AIR LIQUIDE"/>
    <s v="AIR LIQUIDE"/>
    <s v="ASYN"/>
    <s v="JEMAC710RS14"/>
    <m/>
    <n v="1"/>
    <n v="1.36"/>
    <n v="6.6"/>
    <n v="0.8100000000000001"/>
    <n v="50"/>
    <n v="428"/>
    <n v="99"/>
    <n v="88"/>
    <n v="14"/>
    <n v="126"/>
    <s v="8A1W7"/>
    <n v="1005"/>
    <n v="55"/>
    <s v="-"/>
    <x v="0"/>
    <x v="0"/>
    <m/>
    <x v="1"/>
    <m/>
    <n v="92.44999999999999"/>
  </r>
  <r>
    <s v="A19603"/>
    <d v="2021-10-18T00:00:00"/>
    <s v="ACTEMIUM-AL"/>
    <s v="M10"/>
    <s v="ACTEMIUM"/>
    <s v="AIR LIQUIDE"/>
    <s v="ASYN"/>
    <s v="JEMAC450TM6"/>
    <m/>
    <n v="1"/>
    <n v="1.12"/>
    <n v="6"/>
    <n v="0.87"/>
    <n v="50"/>
    <n v="1000"/>
    <n v="57"/>
    <n v="86"/>
    <n v="6"/>
    <n v="72"/>
    <n v="611"/>
    <n v="1001"/>
    <n v="55"/>
    <s v="-"/>
    <x v="0"/>
    <x v="0"/>
    <m/>
    <x v="1"/>
    <m/>
    <n v="373.05"/>
  </r>
  <r>
    <s v="A19682"/>
    <d v="2021-11-22T00:00:00"/>
    <s v="RED METAL"/>
    <s v="M10"/>
    <s v="RED METAL MINING"/>
    <s v="RED METAL MINING"/>
    <s v="ASYN"/>
    <s v="JEMAC450RS4"/>
    <m/>
    <n v="1"/>
    <n v="1.3"/>
    <n v="11"/>
    <n v="0.85"/>
    <n v="50"/>
    <n v="1500"/>
    <n v="48"/>
    <n v="68"/>
    <n v="4"/>
    <n v="48"/>
    <s v="8A1W7"/>
    <n v="1001"/>
    <n v="55"/>
    <s v="-"/>
    <x v="0"/>
    <x v="0"/>
    <m/>
    <x v="1"/>
    <m/>
    <n v="46.45"/>
  </r>
  <r>
    <s v="A19711"/>
    <d v="2021-11-29T00:00:00"/>
    <s v="ADNOC-OFFSHORE"/>
    <s v="M10"/>
    <s v="NAMA"/>
    <s v="ADNOC-OFFSHORE"/>
    <s v="ASYN"/>
    <s v="TNCY710L4"/>
    <s v="A18863_M10"/>
    <n v="1"/>
    <n v="1.3"/>
    <n v="6.6"/>
    <n v="0.91"/>
    <n v="50"/>
    <n v="1500"/>
    <n v="58"/>
    <n v="66"/>
    <n v="4"/>
    <n v="72"/>
    <s v="6A1A1"/>
    <n v="4011"/>
    <n v="54"/>
    <s v="E"/>
    <x v="0"/>
    <x v="0"/>
    <m/>
    <x v="1"/>
    <m/>
    <n v="1"/>
  </r>
  <r>
    <s v="A19724"/>
    <d v="2021-12-01T00:00:00"/>
    <s v="RUMAILA-CEP"/>
    <s v="M10"/>
    <s v="SULZER-PUMPS-SPAIN"/>
    <s v="SULZER-PUMPS-SPAIN"/>
    <s v="ASYN"/>
    <s v="JEMAC400TS4-6.6-50"/>
    <s v="A18926_M10"/>
    <n v="6"/>
    <n v="0.78"/>
    <n v="6.6"/>
    <n v="0.87"/>
    <n v="50"/>
    <n v="1500"/>
    <n v="46"/>
    <n v="60"/>
    <n v="4"/>
    <n v="60"/>
    <n v="611"/>
    <n v="3011"/>
    <n v="55"/>
    <s v="-"/>
    <x v="0"/>
    <x v="0"/>
    <m/>
    <x v="1"/>
    <m/>
    <n v="14.2"/>
  </r>
  <r>
    <s v="A19726"/>
    <d v="2021-12-01T00:00:00"/>
    <s v="RUMAILA-BFP"/>
    <s v="M10"/>
    <s v="SULZER PUMPS GERMANY"/>
    <s v="SULZER PUMPS GERMANY"/>
    <s v="ASYN"/>
    <s v="JEMAC450TL2-6.6-50"/>
    <s v="A18917_M10"/>
    <n v="12"/>
    <n v="1.4"/>
    <n v="6.6"/>
    <n v="0.92"/>
    <n v="50"/>
    <n v="3000"/>
    <n v="45"/>
    <n v="65"/>
    <n v="2"/>
    <n v="54"/>
    <n v="611"/>
    <n v="1001"/>
    <n v="55"/>
    <s v="-"/>
    <x v="0"/>
    <x v="0"/>
    <m/>
    <x v="1"/>
    <m/>
    <n v="14.2"/>
  </r>
  <r>
    <s v="A19747"/>
    <d v="2021-12-17T00:00:00"/>
    <s v="BIC"/>
    <s v="M10"/>
    <s v="BIC"/>
    <s v="SAS RAYONIER"/>
    <s v="ASYN"/>
    <s v="JEMAB560TS6"/>
    <s v="A19239_M10"/>
    <n v="1"/>
    <n v="1.2"/>
    <n v="5.5"/>
    <n v="0.83"/>
    <n v="50"/>
    <n v="1000"/>
    <n v="71"/>
    <n v="79"/>
    <n v="6"/>
    <n v="72"/>
    <n v="611"/>
    <n v="1001"/>
    <n v="55"/>
    <s v="-"/>
    <x v="0"/>
    <x v="3"/>
    <m/>
    <x v="1"/>
    <m/>
    <n v="181.6"/>
  </r>
  <r>
    <s v="A19777"/>
    <d v="2022-01-17T00:00:00"/>
    <s v="BRL"/>
    <s v="M10"/>
    <s v="BRL EXPLOITATION"/>
    <s v="BRL EXPLOITATION"/>
    <s v="ASYN"/>
    <s v="JEMAC560AXS6"/>
    <m/>
    <n v="2"/>
    <n v="1.36"/>
    <n v="5.5"/>
    <n v="0.89"/>
    <n v="50"/>
    <n v="1000"/>
    <n v="69"/>
    <n v="64"/>
    <n v="6"/>
    <n v="90"/>
    <s v="0A1"/>
    <n v="3011"/>
    <n v="23"/>
    <s v="-"/>
    <x v="0"/>
    <x v="0"/>
    <m/>
    <x v="1"/>
    <m/>
    <n v="102.95"/>
  </r>
  <r>
    <s v="A19840"/>
    <d v="2022-03-11T00:00:00"/>
    <s v="ACTEMIUM UNIPER"/>
    <s v="M10"/>
    <s v="ACTEMIUM"/>
    <s v="UNIPER"/>
    <s v="ASYN"/>
    <s v="JEMAC355TS4"/>
    <m/>
    <n v="1"/>
    <n v="0.66"/>
    <n v="6.6"/>
    <n v="0.86"/>
    <n v="50"/>
    <n v="1500"/>
    <n v="40"/>
    <n v="53"/>
    <n v="4"/>
    <n v="48"/>
    <n v="611"/>
    <n v="3011"/>
    <n v="55"/>
    <s v="-"/>
    <x v="0"/>
    <x v="0"/>
    <m/>
    <x v="1"/>
    <m/>
    <n v="15.4"/>
  </r>
  <r>
    <s v="A19986"/>
    <d v="2022-06-13T00:00:00"/>
    <s v="TARNOS-AL"/>
    <s v="M10"/>
    <s v="AIR LIQUIDE"/>
    <s v="AIR LIQUIDE"/>
    <s v="ASYN"/>
    <s v="RNCC630LC4"/>
    <s v="A18375_M20"/>
    <n v="1"/>
    <n v="3.3"/>
    <n v="6.6"/>
    <n v="0.88"/>
    <n v="50"/>
    <n v="1500"/>
    <n v="66"/>
    <n v="94"/>
    <n v="4"/>
    <n v="72"/>
    <s v="8A1W7"/>
    <n v="1001"/>
    <n v="55"/>
    <s v="-"/>
    <x v="0"/>
    <x v="0"/>
    <m/>
    <x v="1"/>
    <m/>
    <n v="17.1"/>
  </r>
  <r>
    <s v="A20002"/>
    <d v="2022-06-21T00:00:00"/>
    <s v="DERICHEBOURG"/>
    <s v="M10"/>
    <s v="DERICHEBOURG"/>
    <s v="DERICHEBOURG"/>
    <s v="ASYN"/>
    <s v="JEMAC630TL10"/>
    <s v="A18784_M10"/>
    <n v="2"/>
    <n v="1.304"/>
    <n v="6"/>
    <n v="0.83"/>
    <n v="50"/>
    <n v="600"/>
    <n v="87"/>
    <n v="114"/>
    <n v="10"/>
    <n v="120"/>
    <n v="616"/>
    <n v="1001"/>
    <n v="55"/>
    <s v="-"/>
    <x v="0"/>
    <x v="0"/>
    <m/>
    <x v="1"/>
    <m/>
    <s v=""/>
  </r>
  <r>
    <s v="A20063"/>
    <d v="2022-08-25T00:00:00"/>
    <s v="DANISCO"/>
    <s v="M10"/>
    <s v="DANISCO FRANCE"/>
    <s v="DANISCO FRANCE"/>
    <s v="ASYN"/>
    <s v="JEMAC450RS4"/>
    <s v="A19682_M10"/>
    <n v="1"/>
    <n v="1.5"/>
    <n v="5.5"/>
    <n v="0.88"/>
    <n v="50"/>
    <n v="1500"/>
    <n v="51"/>
    <n v="68"/>
    <n v="4"/>
    <n v="72"/>
    <s v="8A1W7"/>
    <n v="1001"/>
    <n v="55"/>
    <s v="P"/>
    <x v="0"/>
    <x v="0"/>
    <m/>
    <x v="1"/>
    <m/>
    <s v=""/>
  </r>
  <r>
    <s v="A20245"/>
    <d v="2022-12-16T00:00:00"/>
    <s v="SOCOOPEC"/>
    <s v="M10"/>
    <s v="SOCOOPEC"/>
    <s v="SOCOOPEC"/>
    <s v="ASYN"/>
    <s v="JEMAC400TM4"/>
    <m/>
    <n v="3"/>
    <n v="0.9"/>
    <n v="6"/>
    <n v="0.88"/>
    <n v="50"/>
    <n v="1500"/>
    <n v="46"/>
    <n v="70"/>
    <n v="4"/>
    <n v="60"/>
    <s v="6A1A1"/>
    <n v="3011"/>
    <n v="55"/>
    <s v="-"/>
    <x v="0"/>
    <x v="0"/>
    <m/>
    <x v="1"/>
    <m/>
    <s v=""/>
  </r>
  <r>
    <s v="A20872"/>
    <d v="2024-05-02T00:00:00"/>
    <s v="RASGAZ 3"/>
    <s v="M10"/>
    <s v="QATARENERGY LNG"/>
    <s v="QATARENERGY LNG"/>
    <s v="ASYN"/>
    <s v="TPCB-710-Z-2"/>
    <s v="A18152_M20"/>
    <n v="1"/>
    <n v="3"/>
    <n v="6.6"/>
    <n v="0.93"/>
    <n v="50"/>
    <n v="3000"/>
    <n v="55"/>
    <n v="78"/>
    <n v="2"/>
    <n v="60"/>
    <s v="6A1A1"/>
    <n v="1001"/>
    <n v="55"/>
    <s v="P"/>
    <x v="0"/>
    <x v="0"/>
    <m/>
    <x v="1"/>
    <m/>
    <s v=""/>
  </r>
  <r>
    <s v="AM20752"/>
    <d v="2023-12-15T00:00:00"/>
    <s v="JPP PA-NG FRA"/>
    <s v="M10"/>
    <s v="FRAMATOME"/>
    <s v="FRAMATOME"/>
    <s v="ASYN"/>
    <s v="JPP"/>
    <s v="AM20355_M10"/>
    <n v="1"/>
    <n v="0.437"/>
    <n v="2"/>
    <n v="0.8"/>
    <n v="60"/>
    <n v="1800"/>
    <n v="24"/>
    <n v="80"/>
    <n v="4"/>
    <n v="48"/>
    <n v="10"/>
    <n v="3011"/>
    <s v="IP23"/>
    <s v="-"/>
    <x v="0"/>
    <x v="2"/>
    <m/>
    <x v="2"/>
    <m/>
    <n v="592.25"/>
  </r>
  <r>
    <s v="AN17279"/>
    <d v="2016-03-21T00:00:00"/>
    <s v="5 MOTEURS RECHANGES EDF"/>
    <s v="M10"/>
    <s v="EDF"/>
    <s v="EDF"/>
    <s v="ASYN"/>
    <s v="RNCY 156-70-6"/>
    <s v="A16221_M70"/>
    <n v="1"/>
    <n v="5"/>
    <n v="6"/>
    <n v="1"/>
    <n v="50"/>
    <n v="1000"/>
    <n v="115"/>
    <n v="70"/>
    <n v="6"/>
    <n v="108"/>
    <s v="W37A81"/>
    <n v="3011"/>
    <n v="55"/>
    <s v="-"/>
    <x v="0"/>
    <x v="0"/>
    <m/>
    <x v="0"/>
    <m/>
    <n v="3435.02"/>
  </r>
  <r>
    <s v="AN17361"/>
    <d v="2016-05-19T00:00:00"/>
    <s v="ND SULZER"/>
    <s v="M10"/>
    <s v="SULZER"/>
    <s v="EDF"/>
    <s v="ASYN"/>
    <s v="JEMAC 500"/>
    <m/>
    <n v="30"/>
    <n v="1"/>
    <n v="6"/>
    <n v="0.891"/>
    <n v="50"/>
    <n v="1500"/>
    <n v="589"/>
    <n v="350"/>
    <n v="4"/>
    <n v="72"/>
    <s v="5A1A1"/>
    <n v="3001"/>
    <n v="54"/>
    <s v="-"/>
    <x v="0"/>
    <x v="0"/>
    <m/>
    <x v="0"/>
    <m/>
    <n v="3927.5"/>
  </r>
  <r>
    <s v="AN17488"/>
    <d v="2016-10-18T00:00:00"/>
    <s v="RRA-TIANWAN 5-6"/>
    <s v="M10"/>
    <s v="SPX FLOW GLASGOW"/>
    <s v="CNPE"/>
    <s v="ASYN"/>
    <s v="TNC 630 AX4"/>
    <s v="A16605"/>
    <n v="4"/>
    <n v="1"/>
    <n v="6"/>
    <n v="1"/>
    <n v="50"/>
    <n v="1500"/>
    <n v="52"/>
    <n v="35"/>
    <n v="4"/>
    <n v="72"/>
    <n v="151"/>
    <n v="1001"/>
    <n v="55"/>
    <s v="-"/>
    <x v="0"/>
    <x v="0"/>
    <m/>
    <x v="0"/>
    <m/>
    <n v="198.65"/>
  </r>
  <r>
    <s v="AN17578"/>
    <d v="2017-04-03T00:00:00"/>
    <s v="RRA DALIAN LHNP"/>
    <s v="M10"/>
    <s v="LIAONING HONGYANHE"/>
    <s v="CNPE"/>
    <s v="ASYN"/>
    <s v="TNC 630 AX4"/>
    <s v="AN17488"/>
    <n v="1"/>
    <n v="1"/>
    <n v="6"/>
    <n v="1"/>
    <n v="50"/>
    <n v="1500"/>
    <n v="52"/>
    <n v="35"/>
    <n v="4"/>
    <n v="72"/>
    <n v="151"/>
    <n v="1001"/>
    <n v="55"/>
    <s v="-"/>
    <x v="0"/>
    <x v="0"/>
    <m/>
    <x v="0"/>
    <m/>
    <n v="69.69999999999999"/>
  </r>
  <r>
    <s v="AN17621"/>
    <d v="2017-03-03T00:00:00"/>
    <s v="KSB UK RCV"/>
    <s v="M10"/>
    <s v="KSB"/>
    <s v="EDF"/>
    <s v="ASYN"/>
    <s v="JEMAC 450"/>
    <s v="A17254_M10"/>
    <n v="5"/>
    <n v="1"/>
    <n v="10"/>
    <n v="0.85"/>
    <n v="50"/>
    <n v="3000"/>
    <n v="40"/>
    <n v="35"/>
    <n v="2"/>
    <n v="48"/>
    <s v="IC8A1W7"/>
    <n v="3011"/>
    <n v="55"/>
    <s v="-"/>
    <x v="0"/>
    <x v="0"/>
    <m/>
    <x v="0"/>
    <m/>
    <n v="3227.199999999999"/>
  </r>
  <r>
    <s v="AN17737"/>
    <d v="2017-10-11T00:00:00"/>
    <s v="MOTEUR AAD"/>
    <s v="M10"/>
    <s v="SPXFLOW GLASGOW"/>
    <s v="EDF UK"/>
    <s v="ASYN"/>
    <s v="JEMAC 560 RM2-10-50"/>
    <s v="X17500"/>
    <n v="2"/>
    <n v="1"/>
    <n v="10"/>
    <n v="1"/>
    <n v="50"/>
    <n v="3000"/>
    <n v="53"/>
    <n v="69"/>
    <n v="2"/>
    <n v="54"/>
    <s v="8A1W7"/>
    <n v="1001"/>
    <n v="55"/>
    <s v="-"/>
    <x v="0"/>
    <x v="0"/>
    <m/>
    <x v="0"/>
    <m/>
    <n v="1624.51"/>
  </r>
  <r>
    <s v="AN17754"/>
    <d v="2017-09-06T00:00:00"/>
    <s v="EPR TAISHAN - MOTEUR SEC"/>
    <s v="M10"/>
    <s v="FLOWSERVE POMPES SAS"/>
    <s v="CNPEC"/>
    <s v="ASYN"/>
    <s v="Jemac 500 ts 6"/>
    <s v="A15369"/>
    <n v="1"/>
    <n v="1"/>
    <n v="10"/>
    <n v="1"/>
    <n v="50"/>
    <n v="1000"/>
    <n v="63"/>
    <n v="74"/>
    <n v="6"/>
    <n v="72"/>
    <s v="6A1A1"/>
    <n v="1001"/>
    <n v="55"/>
    <s v="-"/>
    <x v="0"/>
    <x v="0"/>
    <m/>
    <x v="0"/>
    <m/>
    <n v="153.5"/>
  </r>
  <r>
    <s v="AN17796"/>
    <d v="2017-10-06T00:00:00"/>
    <s v="12 MOTEURS EDF"/>
    <s v="M10"/>
    <s v="EDF UTO"/>
    <s v="EDF UTO"/>
    <s v="ASYN"/>
    <s v="RNCY 156-70-6"/>
    <s v="an17279"/>
    <n v="4"/>
    <n v="5"/>
    <n v="6"/>
    <n v="1"/>
    <n v="50"/>
    <n v="1000"/>
    <n v="115"/>
    <n v="70"/>
    <n v="6"/>
    <n v="108"/>
    <s v="W37A81"/>
    <n v="3011"/>
    <n v="55"/>
    <s v="-"/>
    <x v="0"/>
    <x v="0"/>
    <m/>
    <x v="0"/>
    <m/>
    <n v="1830.7"/>
  </r>
  <r>
    <s v="AN17884"/>
    <d v="2017-11-10T00:00:00"/>
    <s v="6 MOTEURS AERZEN"/>
    <s v="M10"/>
    <s v="AERSEN"/>
    <s v="CNPDC"/>
    <s v="ASYN"/>
    <s v="JEMAC 400 RS6-10-50"/>
    <s v="5I0000"/>
    <n v="6"/>
    <n v="1"/>
    <n v="10"/>
    <n v="1"/>
    <n v="50"/>
    <n v="1000"/>
    <n v="44"/>
    <n v="44"/>
    <n v="6"/>
    <n v="54"/>
    <s v="8A1W7"/>
    <n v="1001"/>
    <n v="55"/>
    <s v="-"/>
    <x v="0"/>
    <x v="0"/>
    <m/>
    <x v="0"/>
    <m/>
    <n v="408.7"/>
  </r>
  <r>
    <s v="AN18240"/>
    <d v="2019-01-29T00:00:00"/>
    <s v="HPC SEC"/>
    <s v="M10"/>
    <s v="WEIR"/>
    <s v="NNB"/>
    <s v="ASYN"/>
    <s v="JEMAC 560 TM8-10-50"/>
    <m/>
    <n v="8"/>
    <n v="1"/>
    <n v="10"/>
    <n v="1"/>
    <n v="50"/>
    <n v="750"/>
    <n v="73"/>
    <n v="84"/>
    <n v="8"/>
    <n v="96"/>
    <s v="6A1A1"/>
    <n v="3011"/>
    <n v="55"/>
    <s v="-"/>
    <x v="0"/>
    <x v="0"/>
    <m/>
    <x v="0"/>
    <m/>
    <n v="2237.7"/>
  </r>
  <r>
    <s v="AN18287"/>
    <d v="2018-10-31T00:00:00"/>
    <s v="FUJIAN FUQING 3 - 4"/>
    <s v="M10"/>
    <s v="CNEIC"/>
    <s v="FQNPC"/>
    <s v="ASYN"/>
    <s v="TNC 630 AX4"/>
    <s v="A15858"/>
    <n v="1"/>
    <n v="1"/>
    <n v="6"/>
    <n v="1"/>
    <n v="50"/>
    <n v="1500"/>
    <n v="52"/>
    <n v="35"/>
    <n v="4"/>
    <n v="72"/>
    <n v="151"/>
    <n v="1001"/>
    <n v="55"/>
    <s v="-"/>
    <x v="0"/>
    <x v="0"/>
    <m/>
    <x v="0"/>
    <m/>
    <n v="34.8"/>
  </r>
  <r>
    <s v="AN18315"/>
    <d v="2018-12-13T00:00:00"/>
    <s v="YANGJIANG"/>
    <s v="M10"/>
    <s v="CGN / YJNPC"/>
    <s v="YANGJIANG"/>
    <s v="ASYN"/>
    <s v="TNC 630 D4"/>
    <s v="A16537"/>
    <n v="1"/>
    <n v="1"/>
    <n v="6"/>
    <n v="1"/>
    <n v="50"/>
    <n v="1500"/>
    <n v="52"/>
    <n v="53"/>
    <n v="4"/>
    <n v="72"/>
    <n v="151"/>
    <n v="1001"/>
    <n v="55"/>
    <s v="-"/>
    <x v="0"/>
    <x v="0"/>
    <m/>
    <x v="0"/>
    <m/>
    <n v="68.55"/>
  </r>
  <r>
    <s v="AN18383"/>
    <d v="2019-01-29T00:00:00"/>
    <s v="ASG"/>
    <s v="M10"/>
    <s v="SPX CLYDE UNION"/>
    <s v="EPR UK"/>
    <s v="ASYN"/>
    <s v="JEMAC 450 RS2-10-50"/>
    <m/>
    <n v="4"/>
    <n v="1"/>
    <n v="10"/>
    <n v="1"/>
    <n v="50"/>
    <n v="3000"/>
    <n v="40"/>
    <n v="45"/>
    <n v="2"/>
    <n v="48"/>
    <s v="8A1W7"/>
    <n v="1001"/>
    <n v="55"/>
    <s v="-"/>
    <x v="0"/>
    <x v="0"/>
    <m/>
    <x v="0"/>
    <m/>
    <n v="4084.35"/>
  </r>
  <r>
    <s v="AN19119"/>
    <d v="2021-01-06T00:00:00"/>
    <s v="7 MOTEURS DE RECHANGE EDF"/>
    <s v="M10"/>
    <s v="EDF UTO"/>
    <s v="EDF UTO"/>
    <s v="ASYN"/>
    <s v="7 MOTEURS DE RECHANGE EDF"/>
    <m/>
    <n v="7"/>
    <n v="1"/>
    <n v="6"/>
    <n v="1"/>
    <n v="50"/>
    <n v="1500"/>
    <n v="20"/>
    <n v="111"/>
    <n v="4"/>
    <n v="50"/>
    <n v="0"/>
    <n v="1000"/>
    <n v="0"/>
    <s v="-"/>
    <x v="0"/>
    <x v="2"/>
    <m/>
    <x v="0"/>
    <m/>
    <n v="4387.05"/>
  </r>
  <r>
    <s v="AN19119"/>
    <d v="2021-01-06T00:00:00"/>
    <s v="MOTEUR DE RECHANGE EDF"/>
    <s v="M10"/>
    <s v="EDF UTO"/>
    <s v="EDF UTO"/>
    <s v="ASYN"/>
    <s v="TNC 630 AX4 - RRA"/>
    <m/>
    <n v="1"/>
    <n v="35"/>
    <n v="6"/>
    <n v="1"/>
    <n v="50"/>
    <n v="1500"/>
    <n v="522"/>
    <n v="350"/>
    <n v="4"/>
    <n v="58"/>
    <n v="151"/>
    <n v="1001"/>
    <n v="55"/>
    <s v="-"/>
    <x v="0"/>
    <x v="0"/>
    <m/>
    <x v="0"/>
    <m/>
    <n v="4387.05"/>
  </r>
  <r>
    <s v="AN20093"/>
    <d v="2022-10-24T00:00:00"/>
    <s v="MOTEUR DE RECHANGE RRA"/>
    <s v="M10"/>
    <s v="EDF UTO"/>
    <s v="EDF UTO"/>
    <s v="ASYN"/>
    <s v="TNC 630 AX4 - RRA"/>
    <m/>
    <n v="13"/>
    <n v="35"/>
    <n v="6"/>
    <n v="1"/>
    <n v="50"/>
    <n v="1500"/>
    <n v="522"/>
    <n v="350"/>
    <n v="4"/>
    <n v="58"/>
    <n v="151"/>
    <n v="1001"/>
    <n v="55"/>
    <s v="-"/>
    <x v="0"/>
    <x v="0"/>
    <m/>
    <x v="0"/>
    <m/>
    <n v="71.09999999999999"/>
  </r>
  <r>
    <s v="AN20126"/>
    <d v="2022-10-24T00:00:00"/>
    <s v="CRF EPR2"/>
    <s v="M10"/>
    <s v="FLOWSERVE"/>
    <s v="EDF"/>
    <s v="ASYN"/>
    <s v="RNCY166-105-6"/>
    <s v="AN17796_M20"/>
    <n v="4"/>
    <n v="7.55"/>
    <n v="10"/>
    <n v="0.91"/>
    <n v="50"/>
    <n v="1000"/>
    <n v="118"/>
    <n v="105"/>
    <n v="6"/>
    <n v="108"/>
    <s v="8A1W7"/>
    <n v="3011"/>
    <n v="55"/>
    <s v="-"/>
    <x v="0"/>
    <x v="0"/>
    <m/>
    <x v="0"/>
    <m/>
    <n v="5754.349999999999"/>
  </r>
  <r>
    <s v="AN20762"/>
    <d v="2024-01-02T00:00:00"/>
    <s v="STATOR GMPP - EPR SZL"/>
    <s v="M10"/>
    <s v="FRAMATOME"/>
    <s v="EDF"/>
    <s v="ASYN"/>
    <s v="STATOR GMPP - PNCY 164 - 140 - 4"/>
    <s v="XN17944"/>
    <n v="9"/>
    <n v="8"/>
    <n v="10"/>
    <n v="1"/>
    <n v="50"/>
    <n v="1500"/>
    <n v="112"/>
    <n v="140"/>
    <n v="4"/>
    <n v="120"/>
    <n v="1"/>
    <n v="3011"/>
    <n v="12"/>
    <s v="-"/>
    <x v="0"/>
    <x v="0"/>
    <m/>
    <x v="0"/>
    <m/>
    <n v="220.95"/>
  </r>
  <r>
    <s v="AN20766"/>
    <d v="2024-01-02T00:00:00"/>
    <s v="ROTOR GMPP - EPR SZL"/>
    <s v="M10"/>
    <s v="FRAMATOME"/>
    <s v="EDF"/>
    <s v="ASYN"/>
    <s v="ROTOR GMPP - PNCT 164 - 140 - 4"/>
    <s v="XN17944"/>
    <n v="9"/>
    <n v="8"/>
    <n v="10"/>
    <n v="1"/>
    <n v="50"/>
    <n v="1500"/>
    <n v="112"/>
    <n v="140"/>
    <n v="4"/>
    <n v="120"/>
    <n v="1"/>
    <n v="3011"/>
    <n v="12"/>
    <s v="-"/>
    <x v="0"/>
    <x v="0"/>
    <m/>
    <x v="0"/>
    <m/>
    <n v="163.4"/>
  </r>
  <r>
    <s v="AN20879"/>
    <d v="2024-03-15T00:00:00"/>
    <s v="21 MOTEURS RRA CP900"/>
    <s v="M10"/>
    <s v="EDF"/>
    <s v="EDF"/>
    <s v="ASYN"/>
    <s v="TNC 630 AX4"/>
    <s v="AN20093"/>
    <n v="21"/>
    <n v="3"/>
    <n v="6"/>
    <n v="1"/>
    <n v="50"/>
    <n v="1500"/>
    <n v="52"/>
    <n v="35"/>
    <n v="4"/>
    <n v="72"/>
    <n v="151"/>
    <n v="1001"/>
    <n v="55"/>
    <s v="-"/>
    <x v="0"/>
    <x v="0"/>
    <m/>
    <x v="0"/>
    <m/>
    <n v="15.55"/>
  </r>
  <r>
    <s v="AN21434"/>
    <d v="2025-04-24T00:00:00"/>
    <s v="LLI ROTOR GMPP - EPR2"/>
    <s v="M10"/>
    <s v="FRAMATOME"/>
    <s v="EDF"/>
    <s v="ASYN"/>
    <s v="ROTOR GMPP - PNCY 164 - 140 - 4"/>
    <s v="AN20766"/>
    <n v="25"/>
    <n v="8"/>
    <n v="10"/>
    <n v="1"/>
    <n v="50"/>
    <n v="1500"/>
    <n v="112"/>
    <n v="140"/>
    <n v="4"/>
    <n v="120"/>
    <n v="1"/>
    <n v="3011"/>
    <n v="12"/>
    <s v="-"/>
    <x v="0"/>
    <x v="0"/>
    <m/>
    <x v="0"/>
    <m/>
    <s v=""/>
  </r>
  <r>
    <s v="AN21542"/>
    <d v="2025-10-23T00:00:00"/>
    <s v="RRA CHINE TNC 630 AX4"/>
    <s v="M10"/>
    <s v="GUANGXI FANGCHENGGANG"/>
    <s v="GUANGXI FANGCHENGGANG"/>
    <s v="ASYN"/>
    <s v="1 MOTEUR DE RECHANGE RRA - RHR - TNC 630 AX4"/>
    <s v="AN18315_M20"/>
    <n v="1"/>
    <n v="3"/>
    <n v="6"/>
    <n v="1"/>
    <n v="50"/>
    <n v="1500"/>
    <n v="52"/>
    <n v="35"/>
    <n v="4"/>
    <n v="72"/>
    <n v="151"/>
    <n v="1001"/>
    <n v="55"/>
    <s v="-"/>
    <x v="0"/>
    <x v="0"/>
    <m/>
    <x v="0"/>
    <m/>
    <s v=""/>
  </r>
  <r>
    <s v="S15030"/>
    <d v="2009-07-02T00:00:00"/>
    <s v="STX_BCP3_AUXILIAIRE"/>
    <s v="M10"/>
    <s v="STX FRANCE"/>
    <s v="STX FRANCE"/>
    <s v="SYNCA"/>
    <s v="Jegsy 84"/>
    <m/>
    <n v="1"/>
    <n v="3"/>
    <n v="6"/>
    <n v="0.8"/>
    <n v="60"/>
    <n v="900"/>
    <n v="95"/>
    <n v="94"/>
    <n v="8"/>
    <n v="96"/>
    <s v="8A1W7"/>
    <n v="1001"/>
    <n v="44"/>
    <s v="-"/>
    <x v="1"/>
    <x v="1"/>
    <m/>
    <x v="1"/>
    <m/>
    <n v="559.45"/>
  </r>
  <r>
    <s v="S15061"/>
    <d v="2009-08-25T00:00:00"/>
    <s v="JEGSY 418 GOTEBORG"/>
    <s v="M10"/>
    <s v="FINCANTIERI"/>
    <s v="GOTEBORG ENERGY"/>
    <s v="SYNCA"/>
    <s v="JEGSY 418"/>
    <m/>
    <n v="1"/>
    <n v="14.05"/>
    <n v="11"/>
    <n v="0.8"/>
    <n v="50"/>
    <n v="1500"/>
    <n v="102"/>
    <n v="144"/>
    <n v="4"/>
    <n v="72"/>
    <s v="IC8A1W7"/>
    <n v="1005"/>
    <n v="54"/>
    <s v="-"/>
    <x v="1"/>
    <x v="1"/>
    <m/>
    <x v="1"/>
    <m/>
    <n v="570.15"/>
  </r>
  <r>
    <s v="S15092"/>
    <d v="2009-09-21T00:00:00"/>
    <s v="TIMELKAM"/>
    <s v="M10"/>
    <s v="ENERGIE AG"/>
    <s v="ENERGIE AG - TIMELKAM"/>
    <s v="SYNCA"/>
    <s v="245F"/>
    <s v="56X.EI1293"/>
    <n v="1"/>
    <n v="35"/>
    <n v="6"/>
    <n v="0.8"/>
    <n v="50"/>
    <n v="3000"/>
    <n v="84"/>
    <n v="180"/>
    <n v="2"/>
    <n v="300"/>
    <s v="IC8A1W7"/>
    <n v="1005"/>
    <n v="54"/>
    <s v="-"/>
    <x v="1"/>
    <x v="2"/>
    <m/>
    <x v="1"/>
    <m/>
    <n v="2292.5"/>
  </r>
  <r>
    <s v="S15155"/>
    <d v="2009-12-07T00:00:00"/>
    <s v="WIERZCHOWICE"/>
    <s v="M10"/>
    <s v="FINCANTIERI"/>
    <s v="WIERZCHOWICE POLAND"/>
    <s v="SYNCA"/>
    <s v="JEGSY411"/>
    <s v="56X.EI1293"/>
    <n v="1"/>
    <n v="8.800000000000001"/>
    <n v="11"/>
    <n v="0.8"/>
    <n v="50"/>
    <n v="1500"/>
    <n v="116"/>
    <n v="89"/>
    <n v="4"/>
    <n v="72"/>
    <s v="IC8A1W7"/>
    <n v="1005"/>
    <n v="54"/>
    <s v="-"/>
    <x v="1"/>
    <x v="1"/>
    <m/>
    <x v="1"/>
    <m/>
    <n v="759.4000000000001"/>
  </r>
  <r>
    <s v="S15203"/>
    <d v="2010-02-17T00:00:00"/>
    <s v="SLOVNAFT"/>
    <s v="M10"/>
    <s v="SKODA"/>
    <s v="SLOVENSKE ENERGETICKE"/>
    <s v="SYNCA"/>
    <s v="JISALT 255 S"/>
    <s v="56X.EI1324"/>
    <n v="1"/>
    <n v="60"/>
    <n v="10"/>
    <n v="0.8"/>
    <n v="50"/>
    <n v="3000"/>
    <n v="89"/>
    <n v="255"/>
    <n v="2"/>
    <n v="48"/>
    <s v="8A6W7"/>
    <n v="1005"/>
    <n v="54"/>
    <s v="-"/>
    <x v="1"/>
    <x v="4"/>
    <m/>
    <x v="1"/>
    <m/>
    <n v="1198.2"/>
  </r>
  <r>
    <s v="S15222"/>
    <d v="2010-05-17T00:00:00"/>
    <s v="FUCINE"/>
    <s v="M10"/>
    <s v="ENEL"/>
    <s v="ENEL"/>
    <s v="SYNCA"/>
    <s v="JEGSY88"/>
    <m/>
    <n v="2"/>
    <n v="6"/>
    <n v="11"/>
    <n v="0.85"/>
    <n v="50"/>
    <n v="750"/>
    <n v="179"/>
    <n v="89"/>
    <n v="8"/>
    <n v="144"/>
    <s v="IC8A1W7"/>
    <n v="8421"/>
    <n v="54"/>
    <s v="-"/>
    <x v="1"/>
    <x v="1"/>
    <m/>
    <x v="1"/>
    <m/>
    <n v="5344.3"/>
  </r>
  <r>
    <s v="S15275"/>
    <d v="2010-04-28T00:00:00"/>
    <s v="MAPNA"/>
    <s v="M10"/>
    <s v="MAPNA"/>
    <s v="MAPNA"/>
    <s v="SYNCA"/>
    <s v="Jisalt 245"/>
    <s v="56X.EI1293"/>
    <n v="16"/>
    <n v="25"/>
    <n v="11"/>
    <n v="0.8"/>
    <n v="50"/>
    <n v="3000"/>
    <n v="84"/>
    <n v="180"/>
    <n v="2"/>
    <n v="84"/>
    <s v="IC8A1W7"/>
    <n v="1005"/>
    <n v="54"/>
    <s v="-"/>
    <x v="1"/>
    <x v="4"/>
    <m/>
    <x v="1"/>
    <m/>
    <n v="6760.720000000001"/>
  </r>
  <r>
    <s v="S15292"/>
    <d v="2010-05-27T00:00:00"/>
    <s v="SAMSUNG SKIDDA"/>
    <s v="M10"/>
    <s v="FINCANTIERI"/>
    <s v="SKIKDA ALGERIE"/>
    <s v="SYNCA"/>
    <s v="JEGSY 418"/>
    <s v="S15061"/>
    <n v="1"/>
    <n v="14"/>
    <n v="11"/>
    <n v="0.8"/>
    <n v="50"/>
    <n v="1500"/>
    <n v="102"/>
    <n v="144"/>
    <n v="4"/>
    <n v="72"/>
    <s v="IC8A1W7"/>
    <n v="1005"/>
    <n v="54"/>
    <s v="-"/>
    <x v="1"/>
    <x v="1"/>
    <m/>
    <x v="1"/>
    <m/>
    <n v="1026.2"/>
  </r>
  <r>
    <s v="S15341"/>
    <d v="2010-07-12T00:00:00"/>
    <s v="THERMOSOLAR"/>
    <s v="M10"/>
    <s v="GE THERMODYN"/>
    <s v="PUERTO ERRADO"/>
    <s v="SYNCA"/>
    <s v="Jisalt 425 MEGA"/>
    <s v="56X.EI1480"/>
    <n v="2"/>
    <n v="16"/>
    <n v="11"/>
    <n v="0.8"/>
    <n v="50"/>
    <n v="1500"/>
    <n v="118"/>
    <n v="133"/>
    <n v="4"/>
    <n v="66"/>
    <s v="IC8A1W7"/>
    <n v="1005"/>
    <n v="54"/>
    <s v="-"/>
    <x v="1"/>
    <x v="5"/>
    <m/>
    <x v="1"/>
    <m/>
    <n v="737.3499999999999"/>
  </r>
  <r>
    <s v="S15376"/>
    <d v="2010-09-07T00:00:00"/>
    <s v="CLOV"/>
    <s v="M10"/>
    <s v="GENP"/>
    <s v="TOTAL"/>
    <s v="SYNCA"/>
    <s v="Machine 2 pole 84 - pressurisée Eexp"/>
    <s v="56X.EI1477"/>
    <n v="4"/>
    <n v="35"/>
    <n v="15"/>
    <n v="0.8"/>
    <n v="50"/>
    <n v="3000"/>
    <n v="84"/>
    <n v="210"/>
    <n v="2"/>
    <n v="30"/>
    <s v="IC8A1W7"/>
    <n v="1005"/>
    <n v="55"/>
    <s v="P"/>
    <x v="1"/>
    <x v="2"/>
    <m/>
    <x v="1"/>
    <m/>
    <n v="3575.699999999999"/>
  </r>
  <r>
    <s v="S15400"/>
    <d v="2010-10-01T00:00:00"/>
    <s v="TERSA"/>
    <s v="M10"/>
    <s v="TERSA"/>
    <s v="TERSA BARCELONNE"/>
    <s v="SYNCA"/>
    <s v="Mal foutu"/>
    <s v="S15092"/>
    <n v="1"/>
    <n v="28"/>
    <n v="11"/>
    <n v="0.8"/>
    <n v="50"/>
    <n v="3000"/>
    <n v="84"/>
    <n v="180"/>
    <n v="2"/>
    <n v="30"/>
    <s v="IC8A1W7"/>
    <n v="7326"/>
    <n v="7326"/>
    <s v="-"/>
    <x v="1"/>
    <x v="2"/>
    <m/>
    <x v="1"/>
    <m/>
    <n v="2043.88"/>
  </r>
  <r>
    <s v="S15485"/>
    <d v="2011-01-17T00:00:00"/>
    <s v="PAQUEBOT H33 - 4 JEGSY147"/>
    <s v="M10"/>
    <s v="STX FRANCE"/>
    <s v="HAPAG LLOYD"/>
    <s v="SYNCA"/>
    <s v="JEGSY147"/>
    <m/>
    <n v="4"/>
    <n v="5.8"/>
    <n v="6.6"/>
    <n v="0.85"/>
    <n v="60"/>
    <n v="514"/>
    <n v="148"/>
    <n v="99"/>
    <n v="14"/>
    <n v="168"/>
    <s v="IC8A1W7"/>
    <n v="1101"/>
    <n v="44"/>
    <s v="-"/>
    <x v="1"/>
    <x v="1"/>
    <m/>
    <x v="1"/>
    <m/>
    <n v="225.55"/>
  </r>
  <r>
    <s v="S15517"/>
    <d v="2011-01-26T00:00:00"/>
    <s v="CHEVES"/>
    <s v="M10"/>
    <s v="SN POWER"/>
    <s v="GENERATION CHEVES SA"/>
    <s v="SYNCA"/>
    <s v="SAT 403,5-165-16"/>
    <m/>
    <n v="2"/>
    <n v="100"/>
    <n v="13"/>
    <n v="0.85"/>
    <n v="60"/>
    <n v="450"/>
    <n v="404"/>
    <n v="165"/>
    <n v="16"/>
    <n v="240"/>
    <s v="IC8A1W7"/>
    <n v="1005"/>
    <n v="44"/>
    <s v="-"/>
    <x v="1"/>
    <x v="1"/>
    <m/>
    <x v="1"/>
    <m/>
    <n v="15003"/>
  </r>
  <r>
    <s v="S15547"/>
    <d v="2011-03-01T00:00:00"/>
    <s v="ALEXANDRIA EGYPT"/>
    <s v="M10"/>
    <s v="FINCANTIERI"/>
    <s v="ALEXANDRIA SUGAR COMPANY"/>
    <s v="SYNCA"/>
    <s v="Jegsy 417"/>
    <s v="S15292"/>
    <n v="1"/>
    <n v="14"/>
    <n v="6"/>
    <n v="0.8"/>
    <n v="50"/>
    <n v="1500"/>
    <n v="115"/>
    <n v="99"/>
    <n v="4"/>
    <n v="84"/>
    <s v="8A1W7"/>
    <n v="1005"/>
    <n v="54"/>
    <s v="-"/>
    <x v="1"/>
    <x v="1"/>
    <m/>
    <x v="1"/>
    <m/>
    <n v="406.85"/>
  </r>
  <r>
    <s v="S15575"/>
    <d v="2011-05-03T00:00:00"/>
    <s v="ALT_ALLONGE_FESS_BUGEY"/>
    <s v="M10"/>
    <s v="UTO/EDF"/>
    <s v="UTO/EDF"/>
    <s v="SYNCA"/>
    <m/>
    <m/>
    <n v="1"/>
    <n v="3"/>
    <n v="6"/>
    <n v="0.8"/>
    <n v="50"/>
    <n v="1500"/>
    <n v="75"/>
    <n v="89"/>
    <n v="4"/>
    <n v="72"/>
    <n v="1"/>
    <n v="1001"/>
    <n v="23"/>
    <s v="-"/>
    <x v="1"/>
    <x v="2"/>
    <m/>
    <x v="1"/>
    <m/>
    <n v="325.7500000000001"/>
  </r>
  <r>
    <s v="S15611"/>
    <d v="2011-06-09T00:00:00"/>
    <s v="VOESTALPINE"/>
    <s v="M10"/>
    <s v="VOESTALPINE"/>
    <s v="VOESTALPINE"/>
    <s v="SYNCA"/>
    <s v="SATL 77-140-2"/>
    <m/>
    <n v="1"/>
    <n v="14"/>
    <n v="6.3"/>
    <n v="0.7"/>
    <n v="50"/>
    <n v="3000"/>
    <n v="77"/>
    <n v="140"/>
    <n v="2"/>
    <n v="48"/>
    <s v="8A1W7"/>
    <n v="1005"/>
    <n v="54"/>
    <s v="-"/>
    <x v="1"/>
    <x v="4"/>
    <m/>
    <x v="1"/>
    <m/>
    <n v="2118.27"/>
  </r>
  <r>
    <s v="S15683"/>
    <d v="2011-06-23T00:00:00"/>
    <s v="MAN THIKA KENYA"/>
    <s v="M10"/>
    <s v="MAN"/>
    <s v="MAN"/>
    <s v="SYNCA"/>
    <m/>
    <m/>
    <n v="5"/>
    <n v="17.2"/>
    <n v="15"/>
    <n v="0.8"/>
    <n v="50"/>
    <n v="500"/>
    <n v="196"/>
    <n v="124"/>
    <n v="12"/>
    <n v="144"/>
    <s v="0A1"/>
    <n v="1001"/>
    <n v="23"/>
    <s v="-"/>
    <x v="1"/>
    <x v="2"/>
    <m/>
    <x v="1"/>
    <m/>
    <n v="467.65"/>
  </r>
  <r>
    <s v="S15719"/>
    <d v="2011-09-02T00:00:00"/>
    <s v="DAELIM"/>
    <s v="M10"/>
    <s v="FRANCO TOSI"/>
    <s v="DUBAI"/>
    <s v="SYNCA"/>
    <s v="Jisalt 458"/>
    <s v="56X.EI1351"/>
    <n v="1"/>
    <n v="27"/>
    <n v="11"/>
    <n v="0.8"/>
    <n v="50"/>
    <n v="1500"/>
    <n v="135"/>
    <n v="201"/>
    <n v="4"/>
    <n v="84"/>
    <n v="616"/>
    <n v="1005"/>
    <n v="54"/>
    <s v="-"/>
    <x v="1"/>
    <x v="5"/>
    <m/>
    <x v="1"/>
    <m/>
    <n v="1297.85"/>
  </r>
  <r>
    <s v="S15734"/>
    <d v="2011-11-21T00:00:00"/>
    <s v="QATAR QAPCO"/>
    <s v="M10"/>
    <s v="QATAR-PETROCHEMIC"/>
    <s v="QATAR PETROCHEMIC"/>
    <s v="SYNCM"/>
    <s v="SAT 406-80-32"/>
    <m/>
    <n v="1"/>
    <n v="17"/>
    <n v="10.5"/>
    <n v="0.95"/>
    <n v="50"/>
    <n v="187"/>
    <n v="406"/>
    <n v="80"/>
    <n v="32"/>
    <n v="336"/>
    <s v="IC8A1W7"/>
    <n v="7125"/>
    <n v="55"/>
    <s v="P"/>
    <x v="1"/>
    <x v="1"/>
    <m/>
    <x v="1"/>
    <m/>
    <n v="2533.82"/>
  </r>
  <r>
    <s v="S15751"/>
    <d v="2011-09-30T00:00:00"/>
    <s v="EDG INDE"/>
    <s v="M10"/>
    <s v="KOEL"/>
    <s v="NPCIL"/>
    <s v="SYNCA"/>
    <s v="JEGSY 609"/>
    <m/>
    <n v="16"/>
    <n v="4"/>
    <n v="6"/>
    <n v="0.8"/>
    <n v="50"/>
    <n v="1000"/>
    <n v="115"/>
    <n v="94"/>
    <n v="6"/>
    <n v="72"/>
    <n v="1"/>
    <n v="1001"/>
    <n v="23"/>
    <s v="-"/>
    <x v="1"/>
    <x v="1"/>
    <m/>
    <x v="1"/>
    <m/>
    <n v="6095.599999999999"/>
  </r>
  <r>
    <s v="S15779"/>
    <d v="2011-11-07T00:00:00"/>
    <s v="STX MN33 3 JEGSY 87"/>
    <s v="M10"/>
    <s v="STX"/>
    <s v="MARINE FÃ‰DÃ‰RATION RUSSIE"/>
    <s v="SYNCA"/>
    <s v="JEGSY 87"/>
    <m/>
    <n v="3"/>
    <n v="6"/>
    <n v="6"/>
    <n v="0.8"/>
    <n v="50"/>
    <n v="750"/>
    <n v="105"/>
    <n v="114"/>
    <n v="8"/>
    <n v="96"/>
    <s v="8A1W7"/>
    <n v="1101"/>
    <n v="44"/>
    <s v="-"/>
    <x v="1"/>
    <x v="1"/>
    <m/>
    <x v="1"/>
    <m/>
    <n v="859.3499999999999"/>
  </r>
  <r>
    <s v="S15811"/>
    <d v="2011-12-20T00:00:00"/>
    <s v="DRESSER TURQUIE JEGSY 415"/>
    <s v="M10"/>
    <s v="DRESSER RAND"/>
    <s v="SODA SANAYII"/>
    <s v="SYNCA"/>
    <s v="jegsy 415"/>
    <m/>
    <n v="1"/>
    <n v="12"/>
    <n v="6.3"/>
    <n v="0.8"/>
    <n v="50"/>
    <n v="1500"/>
    <n v="103"/>
    <n v="109"/>
    <n v="4"/>
    <n v="72"/>
    <s v="IC8A1W7"/>
    <n v="1001"/>
    <n v="55"/>
    <s v="-"/>
    <x v="1"/>
    <x v="1"/>
    <m/>
    <x v="1"/>
    <m/>
    <n v="281.95"/>
  </r>
  <r>
    <s v="S15839"/>
    <d v="2012-01-30T00:00:00"/>
    <s v="SLEAFORD"/>
    <s v="M10"/>
    <s v="SKODA"/>
    <s v="SLEAFORD UK"/>
    <s v="SYNCA"/>
    <s v="JISALT 465 GIGA"/>
    <s v="56X.EIEJ1025"/>
    <n v="1"/>
    <n v="45"/>
    <n v="11"/>
    <n v="0.8"/>
    <n v="50"/>
    <n v="1500"/>
    <n v="134"/>
    <n v="241"/>
    <n v="4"/>
    <n v="60"/>
    <s v="8A1W7"/>
    <n v="1005"/>
    <n v="54"/>
    <s v="-"/>
    <x v="1"/>
    <x v="5"/>
    <m/>
    <x v="1"/>
    <m/>
    <n v="906.1999999999999"/>
  </r>
  <r>
    <s v="S15852"/>
    <d v="2012-04-05T00:00:00"/>
    <s v="POUZIN_CHARMES"/>
    <s v="M10"/>
    <s v="CNR"/>
    <s v="CNR"/>
    <s v="SYNCA"/>
    <s v="JEGSY 88"/>
    <m/>
    <n v="1"/>
    <n v="7"/>
    <n v="6"/>
    <n v="0.9"/>
    <n v="50"/>
    <n v="750"/>
    <n v="120"/>
    <n v="109"/>
    <n v="8"/>
    <n v="96"/>
    <s v="8A1W7"/>
    <n v="1101"/>
    <n v="44"/>
    <s v="-"/>
    <x v="1"/>
    <x v="1"/>
    <m/>
    <x v="1"/>
    <m/>
    <n v="2785.6"/>
  </r>
  <r>
    <s v="S15856"/>
    <d v="2012-03-01T00:00:00"/>
    <s v="WARTSILA NISHAT"/>
    <s v="M10"/>
    <s v="WARTSILA"/>
    <s v="NNSHAT PAKISTAN"/>
    <s v="SYNCA"/>
    <s v="JEGSY 421"/>
    <s v="S15292"/>
    <n v="1"/>
    <n v="17"/>
    <n v="15"/>
    <n v="0.8"/>
    <n v="50"/>
    <n v="1500"/>
    <n v="116"/>
    <n v="114"/>
    <n v="4"/>
    <n v="72"/>
    <s v="0A1"/>
    <n v="1001"/>
    <n v="12"/>
    <s v="-"/>
    <x v="1"/>
    <x v="1"/>
    <m/>
    <x v="1"/>
    <m/>
    <n v="517.65"/>
  </r>
  <r>
    <s v="S15928"/>
    <d v="2012-04-11T00:00:00"/>
    <s v="MAN PORT GENTIL"/>
    <s v="M10"/>
    <s v="MAN DIESEL"/>
    <s v="PORT GENTIL GABON"/>
    <s v="SYNCA"/>
    <s v="JEGSY 160/L/12"/>
    <m/>
    <n v="3"/>
    <n v="18"/>
    <n v="13.8"/>
    <n v="0.8"/>
    <n v="50"/>
    <n v="500"/>
    <n v="194"/>
    <n v="129"/>
    <n v="12"/>
    <n v="120"/>
    <s v="0A1"/>
    <n v="1001"/>
    <n v="54"/>
    <s v="-"/>
    <x v="1"/>
    <x v="1"/>
    <m/>
    <x v="1"/>
    <m/>
    <n v="206.1"/>
  </r>
  <r>
    <s v="S15947"/>
    <d v="2012-08-29T00:00:00"/>
    <s v="PLATEFORME JE INDIA"/>
    <s v="M10"/>
    <s v="JE INDIA"/>
    <s v="JE INDIA"/>
    <s v="SYNCA"/>
    <s v="Alternateur-moteur pour plateforme essai"/>
    <s v="S15030"/>
    <n v="2"/>
    <n v="2.56"/>
    <n v="6.6"/>
    <n v="0.8"/>
    <n v="50"/>
    <n v="1000"/>
    <n v="88"/>
    <n v="89"/>
    <n v="6"/>
    <n v="72"/>
    <n v="1"/>
    <n v="1006"/>
    <n v="23"/>
    <s v="-"/>
    <x v="1"/>
    <x v="2"/>
    <m/>
    <x v="1"/>
    <m/>
    <n v="291.6"/>
  </r>
  <r>
    <s v="S15989"/>
    <d v="2012-06-01T00:00:00"/>
    <s v="VALBELLA"/>
    <s v="M10"/>
    <s v="AXPO"/>
    <s v="AXPO"/>
    <s v="SYNCA"/>
    <s v="JEGSY 86"/>
    <m/>
    <n v="1"/>
    <n v="4"/>
    <n v="8"/>
    <n v="0.85"/>
    <n v="50"/>
    <n v="750"/>
    <n v="170"/>
    <n v="89"/>
    <n v="8"/>
    <n v="120"/>
    <s v="8A1W7"/>
    <n v="1101"/>
    <n v="55"/>
    <s v="-"/>
    <x v="1"/>
    <x v="1"/>
    <m/>
    <x v="1"/>
    <m/>
    <n v="1174.7"/>
  </r>
  <r>
    <s v="S16002"/>
    <d v="2012-06-11T00:00:00"/>
    <s v="ZORYA"/>
    <s v="M10"/>
    <s v="ZORYA"/>
    <s v="SINOPEC"/>
    <s v="SYNCA"/>
    <s v="JISALT 75-179.2-2"/>
    <m/>
    <n v="5"/>
    <n v="16"/>
    <n v="11"/>
    <n v="0.8"/>
    <n v="50"/>
    <n v="3000"/>
    <n v="75"/>
    <n v="179"/>
    <n v="2"/>
    <n v="84"/>
    <n v="616"/>
    <n v="1005"/>
    <n v="55"/>
    <s v="-"/>
    <x v="1"/>
    <x v="4"/>
    <m/>
    <x v="1"/>
    <m/>
    <n v="2869.79"/>
  </r>
  <r>
    <s v="S16003"/>
    <d v="2012-06-08T00:00:00"/>
    <s v="SUN 1 ET 2"/>
    <s v="M10"/>
    <s v="DOOSAN"/>
    <s v="KHNP"/>
    <s v="SYNCA"/>
    <s v="Alternateur de secours avec armoire d'excitat"/>
    <m/>
    <n v="4"/>
    <n v="7.2"/>
    <n v="4.16"/>
    <n v="0.8"/>
    <n v="60"/>
    <n v="514"/>
    <n v="160"/>
    <n v="109"/>
    <n v="14"/>
    <n v="168"/>
    <s v="0A1"/>
    <n v="1205"/>
    <n v="23"/>
    <s v="-"/>
    <x v="1"/>
    <x v="2"/>
    <m/>
    <x v="1"/>
    <m/>
    <n v="4661.549999999999"/>
  </r>
  <r>
    <s v="S16069"/>
    <d v="2012-09-06T00:00:00"/>
    <s v="DRESSER MEXIQUE"/>
    <s v="M10"/>
    <s v="DRESSER RAND UK"/>
    <s v="TAMAZULA"/>
    <s v="SYNCA"/>
    <s v="Giga 458"/>
    <s v="S15719"/>
    <n v="1"/>
    <n v="38"/>
    <n v="13.8"/>
    <n v="0.8"/>
    <n v="60"/>
    <n v="1800"/>
    <n v="135"/>
    <n v="201"/>
    <n v="4"/>
    <n v="84"/>
    <s v="IC8A1W7"/>
    <n v="1005"/>
    <n v="54"/>
    <s v="-"/>
    <x v="1"/>
    <x v="2"/>
    <m/>
    <x v="1"/>
    <m/>
    <n v="633.8"/>
  </r>
  <r>
    <s v="S16073"/>
    <d v="2012-10-11T00:00:00"/>
    <s v="MAN BEMLAND"/>
    <s v="M10"/>
    <s v="MAN DIESEL"/>
    <s v="BEMLAND SURINAME"/>
    <s v="SYNCA"/>
    <s v="JEGSY S180L14"/>
    <m/>
    <n v="3"/>
    <n v="22"/>
    <n v="13"/>
    <n v="0.8"/>
    <n v="60"/>
    <n v="514"/>
    <n v="222"/>
    <n v="129"/>
    <n v="14"/>
    <n v="168"/>
    <s v="0A1"/>
    <n v="1005"/>
    <n v="23"/>
    <s v="-"/>
    <x v="1"/>
    <x v="1"/>
    <m/>
    <x v="1"/>
    <m/>
    <n v="947.0999999999999"/>
  </r>
  <r>
    <s v="S16081"/>
    <d v="2012-09-26T00:00:00"/>
    <s v="TALISMAN MONTROSE"/>
    <s v="M10"/>
    <s v="DRESSER"/>
    <s v="MARUBENI"/>
    <s v="SYNCA"/>
    <s v="offshore"/>
    <s v="S15376"/>
    <n v="2"/>
    <n v="32"/>
    <n v="11"/>
    <n v="0.8"/>
    <n v="50"/>
    <n v="3000"/>
    <n v="84"/>
    <n v="224"/>
    <n v="2"/>
    <n v="54"/>
    <s v="8A1W7"/>
    <n v="1005"/>
    <n v="56"/>
    <s v="-"/>
    <x v="1"/>
    <x v="2"/>
    <m/>
    <x v="1"/>
    <m/>
    <n v="2389.84"/>
  </r>
  <r>
    <s v="S16087"/>
    <d v="2013-07-19T00:00:00"/>
    <s v="DUS ABC"/>
    <s v="M10"/>
    <s v="ABC"/>
    <s v="EDF"/>
    <s v="SYNCA"/>
    <s v="JEGSY S100 L 6 A"/>
    <m/>
    <n v="99"/>
    <n v="3.6"/>
    <n v="6.6"/>
    <n v="0.8"/>
    <n v="50"/>
    <n v="1000"/>
    <n v="122"/>
    <n v="104"/>
    <n v="6"/>
    <n v="90"/>
    <n v="1"/>
    <n v="1101"/>
    <n v="32"/>
    <s v="-"/>
    <x v="1"/>
    <x v="1"/>
    <m/>
    <x v="1"/>
    <m/>
    <n v="5376.05"/>
  </r>
  <r>
    <s v="S16176"/>
    <d v="2013-02-21T00:00:00"/>
    <s v="CEGELEC_TURQUIE"/>
    <s v="M10"/>
    <s v="CEGELEC"/>
    <s v="ALSTOM"/>
    <s v="SYNCA"/>
    <s v="JEGSY 105"/>
    <m/>
    <n v="1"/>
    <n v="0.75"/>
    <n v="6.3"/>
    <n v="0.7"/>
    <n v="150"/>
    <n v="1800"/>
    <n v="109"/>
    <n v="84"/>
    <n v="10"/>
    <n v="120"/>
    <n v="1"/>
    <n v="1001"/>
    <n v="23"/>
    <s v="-"/>
    <x v="1"/>
    <x v="1"/>
    <m/>
    <x v="1"/>
    <m/>
    <n v="1333.3"/>
  </r>
  <r>
    <s v="S16187"/>
    <d v="2013-03-11T00:00:00"/>
    <s v="TENGUIZ"/>
    <s v="M10"/>
    <s v="TENGUIZ"/>
    <s v="TENGUIZ"/>
    <s v="SYNCM"/>
    <s v="SAT 80,1 124-4"/>
    <s v="56X.EI1408"/>
    <n v="1"/>
    <n v="5.4"/>
    <n v="10"/>
    <n v="0.85"/>
    <n v="50"/>
    <n v="1500"/>
    <n v="80"/>
    <n v="124"/>
    <n v="4"/>
    <n v="72"/>
    <s v="W37A81"/>
    <n v="1001"/>
    <n v="54"/>
    <s v="P"/>
    <x v="1"/>
    <x v="1"/>
    <m/>
    <x v="1"/>
    <m/>
    <n v="243"/>
  </r>
  <r>
    <s v="S16197"/>
    <d v="2013-03-18T00:00:00"/>
    <s v="LES FARETTES"/>
    <s v="M10"/>
    <s v="HYDRO EXPLOITATION"/>
    <s v="ROMANDE ENERGIE"/>
    <s v="SYNCA"/>
    <s v="JEGSY 1010"/>
    <s v="S15222"/>
    <n v="2"/>
    <n v="10"/>
    <n v="10"/>
    <n v="0.9"/>
    <n v="50"/>
    <n v="600"/>
    <n v="194"/>
    <n v="69"/>
    <n v="10"/>
    <n v="150"/>
    <s v="8A1W7"/>
    <n v="3011"/>
    <n v="0"/>
    <s v="-"/>
    <x v="1"/>
    <x v="1"/>
    <m/>
    <x v="1"/>
    <m/>
    <n v="5091.150000000001"/>
  </r>
  <r>
    <s v="S16198"/>
    <d v="2013-03-18T00:00:00"/>
    <s v="RECHANGE YONGGWANG COREE"/>
    <s v="M10"/>
    <s v="KHNP"/>
    <s v="KHNP"/>
    <s v="SYNCA"/>
    <s v="SAT 107,5 - 100 - 6"/>
    <m/>
    <n v="1"/>
    <n v="6"/>
    <n v="4"/>
    <n v="0.8"/>
    <n v="60"/>
    <n v="1200"/>
    <n v="107"/>
    <n v="100"/>
    <n v="6"/>
    <n v="81"/>
    <n v="1"/>
    <n v="1002"/>
    <n v="23"/>
    <s v="-"/>
    <x v="1"/>
    <x v="1"/>
    <m/>
    <x v="1"/>
    <m/>
    <n v="797.65"/>
  </r>
  <r>
    <s v="S16266"/>
    <d v="2013-05-23T00:00:00"/>
    <s v="ZIRKU"/>
    <s v="M10"/>
    <s v="NAMA"/>
    <s v="ZADCO"/>
    <s v="SYNCA"/>
    <s v="mono palier sur skid ALSTOM"/>
    <s v="S16002"/>
    <n v="5"/>
    <n v="20"/>
    <n v="11"/>
    <n v="0.8"/>
    <n v="50"/>
    <n v="3000"/>
    <n v="75"/>
    <n v="159"/>
    <n v="2"/>
    <n v="84"/>
    <s v="8A1W7"/>
    <n v="1001"/>
    <n v="20"/>
    <s v="-"/>
    <x v="1"/>
    <x v="2"/>
    <m/>
    <x v="1"/>
    <m/>
    <n v="5207.170000000001"/>
  </r>
  <r>
    <s v="S16332"/>
    <d v="2013-08-20T00:00:00"/>
    <s v="SAINT GIRONS"/>
    <s v="M10"/>
    <s v="SIEMENS"/>
    <s v="BESVSG"/>
    <s v="SYNCA"/>
    <s v="JEGSY 112L4"/>
    <s v="S15856"/>
    <n v="1"/>
    <n v="17"/>
    <n v="11"/>
    <n v="0.8"/>
    <n v="50"/>
    <n v="1500"/>
    <n v="116"/>
    <n v="114"/>
    <n v="4"/>
    <n v="84"/>
    <s v="IC8A1W7"/>
    <n v="1005"/>
    <n v="55"/>
    <s v="-"/>
    <x v="1"/>
    <x v="1"/>
    <m/>
    <x v="1"/>
    <m/>
    <n v="427.15"/>
  </r>
  <r>
    <s v="S16336"/>
    <d v="2013-07-19T00:00:00"/>
    <s v="DUS WARTSILA"/>
    <s v="M10"/>
    <s v="WARTSILA"/>
    <s v="EDF"/>
    <s v="SYNCA"/>
    <s v="JEGSY S90 L 8 A"/>
    <m/>
    <n v="99"/>
    <n v="3.45"/>
    <n v="6.6"/>
    <n v="0.8"/>
    <n v="50"/>
    <n v="750"/>
    <n v="106"/>
    <n v="119"/>
    <n v="8"/>
    <n v="96"/>
    <n v="1"/>
    <n v="1101"/>
    <n v="23"/>
    <s v="-"/>
    <x v="1"/>
    <x v="1"/>
    <m/>
    <x v="1"/>
    <m/>
    <n v="366.95"/>
  </r>
  <r>
    <s v="S16348"/>
    <d v="2013-07-31T00:00:00"/>
    <s v="MAN BOBO II"/>
    <s v="M10"/>
    <s v="MAN"/>
    <s v="BOBO"/>
    <s v="SYNCA"/>
    <s v="Jegsy140 AS12_11_50_H"/>
    <m/>
    <n v="2"/>
    <n v="12.25"/>
    <n v="11"/>
    <n v="0.8"/>
    <n v="50"/>
    <n v="500"/>
    <n v="177"/>
    <n v="109"/>
    <n v="12"/>
    <n v="144"/>
    <s v="0A1A1"/>
    <n v="1001"/>
    <n v="23"/>
    <s v="-"/>
    <x v="1"/>
    <x v="1"/>
    <m/>
    <x v="1"/>
    <m/>
    <n v="118.8"/>
  </r>
  <r>
    <s v="S16349"/>
    <d v="2013-08-13T00:00:00"/>
    <s v="EDMONTON"/>
    <s v="M10"/>
    <s v="SIMON CARVES"/>
    <s v="CELANESE"/>
    <s v="SYNCM"/>
    <s v="SAT 386-50-38"/>
    <s v="5i0299"/>
    <n v="1"/>
    <n v="6.5"/>
    <n v="13.8"/>
    <n v="0.8"/>
    <n v="60"/>
    <n v="189"/>
    <n v="386"/>
    <n v="50"/>
    <n v="38"/>
    <n v="342"/>
    <s v="IC7A1W7"/>
    <n v="7125"/>
    <n v="54"/>
    <s v="P"/>
    <x v="1"/>
    <x v="1"/>
    <m/>
    <x v="1"/>
    <m/>
    <n v="1494.15"/>
  </r>
  <r>
    <s v="S16378"/>
    <d v="2013-09-04T00:00:00"/>
    <s v="EC NOWA"/>
    <s v="M10"/>
    <s v="SKODA"/>
    <s v="SKODA"/>
    <s v="SYNCA"/>
    <s v="machine seule, ni P/N, ni controles"/>
    <s v="56X.EI1324"/>
    <n v="1"/>
    <n v="55"/>
    <n v="10"/>
    <n v="0.85"/>
    <n v="50"/>
    <n v="3000"/>
    <n v="89"/>
    <n v="255"/>
    <n v="2"/>
    <n v="48"/>
    <s v="IC7A1W7"/>
    <n v="1001"/>
    <n v="54"/>
    <s v="-"/>
    <x v="1"/>
    <x v="2"/>
    <m/>
    <x v="1"/>
    <m/>
    <n v="677.27"/>
  </r>
  <r>
    <s v="S16456"/>
    <d v="2013-12-10T00:00:00"/>
    <s v="NUBARIYAH"/>
    <s v="M10"/>
    <s v="FINCANTIERI"/>
    <s v="ASC EGYPTE"/>
    <s v="SYNCA"/>
    <s v="JEGSY 112S4"/>
    <s v="S15547"/>
    <n v="1"/>
    <n v="14"/>
    <n v="6.3"/>
    <n v="0.8"/>
    <n v="50"/>
    <n v="1500"/>
    <n v="116"/>
    <n v="99"/>
    <n v="4"/>
    <n v="84"/>
    <s v="8A1W7"/>
    <n v="1005"/>
    <n v="54"/>
    <s v="-"/>
    <x v="1"/>
    <x v="1"/>
    <m/>
    <x v="1"/>
    <m/>
    <n v="190.7"/>
  </r>
  <r>
    <s v="S16474"/>
    <d v="2013-07-31T00:00:00"/>
    <s v="MAN BOBO III"/>
    <s v="M10"/>
    <s v="MAN"/>
    <s v="BOBO"/>
    <s v="SYNCA"/>
    <s v="Jegsy140 AS12_11_50_H"/>
    <m/>
    <n v="2"/>
    <n v="12.25"/>
    <n v="11"/>
    <n v="0.8"/>
    <n v="50"/>
    <n v="500"/>
    <n v="177"/>
    <n v="109"/>
    <n v="12"/>
    <n v="144"/>
    <s v="0A1A1"/>
    <n v="1001"/>
    <n v="23"/>
    <s v="-"/>
    <x v="1"/>
    <x v="1"/>
    <m/>
    <x v="1"/>
    <m/>
    <s v=""/>
  </r>
  <r>
    <s v="S16508"/>
    <d v="2014-01-30T00:00:00"/>
    <s v="MAN LEEDS"/>
    <s v="M10"/>
    <s v="MAN TURBO HAMBOURG"/>
    <s v="CNIM VEOLIA"/>
    <s v="SYNCA"/>
    <s v="JEGSY 112 M4"/>
    <s v="S16332"/>
    <n v="1"/>
    <n v="15"/>
    <n v="11"/>
    <n v="0.8"/>
    <n v="50"/>
    <n v="1500"/>
    <n v="115"/>
    <n v="109"/>
    <n v="4"/>
    <n v="84"/>
    <s v="IC8A1W7"/>
    <n v="1001"/>
    <n v="54"/>
    <s v="-"/>
    <x v="1"/>
    <x v="1"/>
    <m/>
    <x v="1"/>
    <m/>
    <n v="286.6"/>
  </r>
  <r>
    <s v="S16512"/>
    <d v="2014-01-29T00:00:00"/>
    <s v="TOBENE SENEGAL"/>
    <s v="M10"/>
    <s v="MAN ST NAZAIRE"/>
    <s v="MAN ?"/>
    <s v="SYNCA"/>
    <s v="JEGSY 180AL12_15_50_H"/>
    <s v="S15683"/>
    <n v="5"/>
    <n v="18"/>
    <n v="15"/>
    <n v="0.8"/>
    <n v="50"/>
    <n v="500"/>
    <n v="196"/>
    <n v="134"/>
    <n v="12"/>
    <n v="144"/>
    <n v="1"/>
    <n v="1001"/>
    <n v="23"/>
    <s v="-"/>
    <x v="1"/>
    <x v="1"/>
    <m/>
    <x v="1"/>
    <m/>
    <n v="717.65"/>
  </r>
  <r>
    <s v="S16515"/>
    <d v="2014-02-11T00:00:00"/>
    <s v="KODDA"/>
    <s v="M10"/>
    <s v="MAN DIESEL"/>
    <s v="BANGLADESH"/>
    <s v="SYNCA"/>
    <s v="JEGSY 160L12"/>
    <s v="S16512"/>
    <n v="9"/>
    <n v="17"/>
    <n v="11"/>
    <n v="0.8"/>
    <n v="50"/>
    <n v="500"/>
    <n v="196"/>
    <n v="134"/>
    <n v="12"/>
    <n v="144"/>
    <s v="0A1"/>
    <n v="1001"/>
    <n v="23"/>
    <s v="-"/>
    <x v="1"/>
    <x v="1"/>
    <m/>
    <x v="1"/>
    <m/>
    <n v="359.95"/>
  </r>
  <r>
    <s v="S16529"/>
    <d v="2014-02-13T00:00:00"/>
    <s v="DRESSER-ADMA"/>
    <s v="M10"/>
    <s v="DRESSER RAND"/>
    <s v="ADMA"/>
    <s v="SYNCM"/>
    <s v="JEMSY 125 S 4 R"/>
    <m/>
    <n v="3"/>
    <n v="24"/>
    <n v="11"/>
    <n v="1"/>
    <n v="50"/>
    <n v="1500"/>
    <n v="131"/>
    <n v="119"/>
    <n v="4"/>
    <n v="84"/>
    <s v="8A1W7"/>
    <n v="1007"/>
    <n v="55"/>
    <s v="P"/>
    <x v="1"/>
    <x v="2"/>
    <m/>
    <x v="1"/>
    <m/>
    <n v="1628.65"/>
  </r>
  <r>
    <s v="S16550"/>
    <d v="2014-03-07T00:00:00"/>
    <s v="BRIGNOLES"/>
    <s v="M10"/>
    <s v="SIEMENS"/>
    <s v="INOVA VAR BIOMASSE"/>
    <s v="SYNCA"/>
    <s v="JEGSY 125 M 4"/>
    <s v="S16529_M10"/>
    <n v="1"/>
    <n v="21"/>
    <n v="15"/>
    <n v="0.8"/>
    <n v="50"/>
    <n v="1500"/>
    <n v="130"/>
    <n v="129"/>
    <n v="4"/>
    <n v="84"/>
    <s v="IC8A1W7"/>
    <n v="1005"/>
    <n v="54"/>
    <s v="-"/>
    <x v="1"/>
    <x v="1"/>
    <m/>
    <x v="1"/>
    <m/>
    <n v="244.5"/>
  </r>
  <r>
    <s v="S16554"/>
    <d v="2014-02-28T00:00:00"/>
    <s v="WILTON 11"/>
    <s v="M10"/>
    <s v="MAN OBERHAUSEN"/>
    <s v="EXPLOITANT ANGLAIS"/>
    <s v="SYNCA"/>
    <s v="Nouvelle gamme &quot;89&quot;"/>
    <s v="S16002"/>
    <n v="1"/>
    <n v="50"/>
    <n v="11"/>
    <n v="0.8"/>
    <n v="50"/>
    <n v="3000"/>
    <n v="87"/>
    <n v="270"/>
    <n v="2"/>
    <n v="84"/>
    <s v="IC8A1W7"/>
    <n v="1005"/>
    <n v="54"/>
    <s v="-"/>
    <x v="1"/>
    <x v="2"/>
    <m/>
    <x v="1"/>
    <m/>
    <n v="1615.43"/>
  </r>
  <r>
    <s v="S16557"/>
    <d v="2014-03-18T00:00:00"/>
    <s v="MANAGUA"/>
    <s v="M10"/>
    <s v="MAN DIESEL"/>
    <s v="NICARAGUA"/>
    <s v="SYNCA"/>
    <s v="JEGSY 180L14"/>
    <s v="S16073"/>
    <n v="8"/>
    <n v="18"/>
    <n v="13"/>
    <n v="0.8"/>
    <n v="60"/>
    <n v="514"/>
    <n v="222"/>
    <n v="139"/>
    <n v="14"/>
    <n v="168"/>
    <s v="0A1"/>
    <n v="1001"/>
    <n v="23"/>
    <s v="-"/>
    <x v="1"/>
    <x v="1"/>
    <m/>
    <x v="1"/>
    <m/>
    <n v="737.4000000000001"/>
  </r>
  <r>
    <s v="S16566"/>
    <d v="2014-03-12T00:00:00"/>
    <s v="ROLLS-ROYCE_ADMA"/>
    <s v="M10"/>
    <s v="ROLLS-ROYCE"/>
    <s v="ADMA"/>
    <s v="SYNCA"/>
    <s v="JISALT 255S"/>
    <s v="56X.EI1324"/>
    <n v="5"/>
    <n v="50"/>
    <n v="11"/>
    <n v="0.8"/>
    <n v="50"/>
    <n v="3000"/>
    <n v="89"/>
    <n v="255"/>
    <n v="2"/>
    <n v="48"/>
    <s v="IC8A1W7"/>
    <n v="1005"/>
    <n v="55"/>
    <s v="-"/>
    <x v="1"/>
    <x v="4"/>
    <m/>
    <x v="1"/>
    <m/>
    <n v="3627.28"/>
  </r>
  <r>
    <s v="S16610"/>
    <d v="2014-04-11T00:00:00"/>
    <s v="HAMBURGER"/>
    <s v="M10"/>
    <s v="DOOSAN SKODA POWER"/>
    <s v="HAMBURGER HUNGARIA"/>
    <s v="SYNCA"/>
    <s v="JISALT 458 GIGA"/>
    <s v="S15839"/>
    <n v="1"/>
    <n v="44"/>
    <n v="11"/>
    <n v="0.8"/>
    <n v="50"/>
    <n v="1500"/>
    <n v="134"/>
    <n v="201"/>
    <n v="4"/>
    <n v="60"/>
    <s v="8A1W7"/>
    <n v="1005"/>
    <n v="54"/>
    <s v="-"/>
    <x v="1"/>
    <x v="5"/>
    <m/>
    <x v="1"/>
    <m/>
    <n v="573.95"/>
  </r>
  <r>
    <s v="S16624"/>
    <d v="2024-12-18T00:00:00"/>
    <s v="ANNECY"/>
    <s v="M10"/>
    <s v="INTERPEC"/>
    <s v="INOVA"/>
    <s v="SYNCA"/>
    <s v="JEGSY 100M4 R"/>
    <s v="S15811"/>
    <n v="1"/>
    <n v="9"/>
    <n v="6"/>
    <n v="0.8"/>
    <n v="50"/>
    <n v="1500"/>
    <n v="104"/>
    <n v="99"/>
    <n v="4"/>
    <n v="84"/>
    <s v="8A1W7"/>
    <n v="1005"/>
    <n v="54"/>
    <s v="-"/>
    <x v="1"/>
    <x v="1"/>
    <m/>
    <x v="1"/>
    <m/>
    <n v="311.5"/>
  </r>
  <r>
    <s v="S16643"/>
    <d v="2014-07-03T00:00:00"/>
    <s v="I34"/>
    <s v="M10"/>
    <s v="STX"/>
    <s v="BRITTANIY FERRIES"/>
    <s v="SYNCA"/>
    <s v="JEGSY 140L"/>
    <m/>
    <n v="2"/>
    <n v="14"/>
    <n v="11"/>
    <n v="0.9"/>
    <n v="50"/>
    <n v="500"/>
    <n v="176"/>
    <n v="129"/>
    <n v="12"/>
    <n v="144"/>
    <s v="8A1W7"/>
    <n v="1101"/>
    <n v="44"/>
    <s v="-"/>
    <x v="1"/>
    <x v="1"/>
    <m/>
    <x v="1"/>
    <m/>
    <n v="118.5"/>
  </r>
  <r>
    <s v="S16717"/>
    <d v="2014-10-02T00:00:00"/>
    <s v="BENESSE MARENNE"/>
    <s v="M10"/>
    <s v="INTERPEC"/>
    <s v="INOVA"/>
    <s v="SYNCA"/>
    <s v="JEGSY 100M4"/>
    <s v="S16624"/>
    <n v="1"/>
    <n v="11.25"/>
    <n v="6"/>
    <n v="0.8"/>
    <n v="50"/>
    <n v="1500"/>
    <n v="103"/>
    <n v="99"/>
    <n v="4"/>
    <n v="84"/>
    <s v="IC8A1W7"/>
    <n v="1005"/>
    <n v="54"/>
    <s v="-"/>
    <x v="1"/>
    <x v="1"/>
    <m/>
    <x v="1"/>
    <m/>
    <n v="134.5"/>
  </r>
  <r>
    <s v="S16718"/>
    <d v="2014-08-21T00:00:00"/>
    <s v="CEB FERNEY"/>
    <s v="M10"/>
    <s v="CEB"/>
    <s v="CEB"/>
    <s v="SYNCA"/>
    <s v="JEGSY 105"/>
    <m/>
    <n v="2"/>
    <n v="6"/>
    <n v="6"/>
    <n v="0.8"/>
    <n v="50"/>
    <n v="600"/>
    <n v="123"/>
    <n v="94"/>
    <n v="10"/>
    <n v="120"/>
    <s v="IC8A1W7"/>
    <n v="7301"/>
    <n v="54"/>
    <s v="-"/>
    <x v="1"/>
    <x v="1"/>
    <m/>
    <x v="1"/>
    <m/>
    <n v="1881.47"/>
  </r>
  <r>
    <s v="S16739"/>
    <d v="2014-09-18T00:00:00"/>
    <s v="KINTELE"/>
    <s v="M10"/>
    <s v="ABC"/>
    <s v="ABC"/>
    <s v="SYNCA"/>
    <s v="JEGSY 56L6"/>
    <m/>
    <n v="4"/>
    <n v="2.496"/>
    <n v="6.6"/>
    <n v="0.8"/>
    <n v="50"/>
    <n v="1000"/>
    <n v="71"/>
    <n v="94"/>
    <n v="6"/>
    <n v="72"/>
    <s v="0A1"/>
    <n v="1001"/>
    <n v="23"/>
    <s v="-"/>
    <x v="1"/>
    <x v="1"/>
    <m/>
    <x v="1"/>
    <m/>
    <n v="327.55"/>
  </r>
  <r>
    <s v="S16782"/>
    <d v="2014-12-16T00:00:00"/>
    <s v="CATAWBA"/>
    <s v="M10"/>
    <s v="DUKE POWER"/>
    <s v="DUKE POWER"/>
    <s v="SYNCA"/>
    <s v="SAT 223-102-16"/>
    <s v="56X.EIEJ0998"/>
    <n v="1"/>
    <n v="7"/>
    <n v="4"/>
    <n v="1"/>
    <n v="60"/>
    <n v="450"/>
    <n v="223"/>
    <n v="103"/>
    <n v="16"/>
    <n v="216"/>
    <n v="1"/>
    <n v="7101"/>
    <n v="23"/>
    <s v="-"/>
    <x v="1"/>
    <x v="1"/>
    <m/>
    <x v="1"/>
    <m/>
    <n v="1449.2"/>
  </r>
  <r>
    <s v="S16800"/>
    <d v="2014-11-28T00:00:00"/>
    <s v="MSC STX JEGSY140"/>
    <s v="M10"/>
    <s v="STX FRANCE SA"/>
    <s v="MSC"/>
    <s v="SYNCA"/>
    <s v="JEGSY 140 RS12_11_60_H"/>
    <m/>
    <n v="2"/>
    <n v="14"/>
    <n v="11"/>
    <n v="0.85"/>
    <n v="60"/>
    <n v="600"/>
    <n v="177"/>
    <n v="109"/>
    <n v="12"/>
    <n v="144"/>
    <s v="IC8A1W7"/>
    <n v="1101"/>
    <n v="54"/>
    <s v="-"/>
    <x v="1"/>
    <x v="1"/>
    <m/>
    <x v="1"/>
    <m/>
    <n v="1745.12"/>
  </r>
  <r>
    <s v="S16865"/>
    <d v="2015-02-16T00:00:00"/>
    <s v="CASTIGNEAU"/>
    <s v="M10"/>
    <s v="CEGELEC"/>
    <s v="BASE NAVALE TOULON"/>
    <s v="SYNCA"/>
    <s v="JEGSY 100L12R"/>
    <m/>
    <n v="1"/>
    <n v="4"/>
    <n v="6.6"/>
    <n v="0.8"/>
    <n v="60"/>
    <n v="600"/>
    <n v="127"/>
    <n v="114"/>
    <n v="12"/>
    <n v="108"/>
    <s v="IC8A1W7"/>
    <n v="1001"/>
    <n v="44"/>
    <s v="-"/>
    <x v="1"/>
    <x v="1"/>
    <m/>
    <x v="1"/>
    <m/>
    <n v="432.35"/>
  </r>
  <r>
    <s v="S16976"/>
    <d v="2015-06-02T00:00:00"/>
    <s v="SALVAGNY"/>
    <s v="M10"/>
    <s v="CHS"/>
    <s v="CENTRAL HYDRAU SALVAGNY"/>
    <s v="SYNCA"/>
    <s v="JEGSY 63S12A"/>
    <m/>
    <n v="1"/>
    <n v="1.665"/>
    <n v="2"/>
    <n v="0.9"/>
    <n v="50"/>
    <n v="500"/>
    <n v="80"/>
    <n v="109"/>
    <n v="12"/>
    <n v="72"/>
    <n v="1"/>
    <n v="1001"/>
    <n v="23"/>
    <s v="-"/>
    <x v="1"/>
    <x v="1"/>
    <m/>
    <x v="1"/>
    <m/>
    <n v="1066.3"/>
  </r>
  <r>
    <s v="S16999"/>
    <d v="2015-06-16T00:00:00"/>
    <s v="TERMOPAIPA - ALSTOM"/>
    <s v="M10"/>
    <s v="ALSTOM GMBH"/>
    <s v="TERMOPAIPA"/>
    <s v="SYNCA"/>
    <s v="84-190"/>
    <s v="S15400"/>
    <n v="1"/>
    <n v="40"/>
    <n v="13.8"/>
    <n v="0.8"/>
    <n v="60"/>
    <n v="3600"/>
    <n v="84"/>
    <n v="190"/>
    <n v="2"/>
    <n v="72"/>
    <s v="8A1W7"/>
    <n v="1005"/>
    <n v="54"/>
    <s v="-"/>
    <x v="1"/>
    <x v="2"/>
    <m/>
    <x v="1"/>
    <m/>
    <n v="1617.22"/>
  </r>
  <r>
    <s v="S17014"/>
    <d v="2015-07-07T00:00:00"/>
    <s v="MARTINIQUE"/>
    <s v="M10"/>
    <s v="DDOSAN SKODA POWER"/>
    <s v="ALBIOMA"/>
    <s v="SYNCA"/>
    <s v="JISALT GIGA 458"/>
    <s v="S16610"/>
    <n v="1"/>
    <n v="41.65"/>
    <n v="11"/>
    <n v="0.85"/>
    <n v="50"/>
    <n v="1500"/>
    <n v="135"/>
    <n v="201"/>
    <n v="4"/>
    <n v="72"/>
    <s v="8A1W7"/>
    <n v="1005"/>
    <n v="54"/>
    <s v="-"/>
    <x v="1"/>
    <x v="5"/>
    <m/>
    <x v="1"/>
    <m/>
    <n v="621.3499999999999"/>
  </r>
  <r>
    <s v="S17063"/>
    <d v="2015-08-25T00:00:00"/>
    <s v="FAISALABAD"/>
    <s v="M10"/>
    <s v="TGM KANIS TURBINEN"/>
    <s v="IBRAHIM FIBRES PAKISTAN"/>
    <s v="SYNCA"/>
    <s v="JEGSY 125 M 4 R"/>
    <s v="S16550"/>
    <n v="1"/>
    <n v="21"/>
    <n v="11"/>
    <n v="0.8"/>
    <n v="50"/>
    <n v="1500"/>
    <n v="130"/>
    <n v="129"/>
    <n v="4"/>
    <n v="84"/>
    <s v="IC8A1W7"/>
    <n v="1005"/>
    <n v="54"/>
    <s v="-"/>
    <x v="1"/>
    <x v="1"/>
    <m/>
    <x v="1"/>
    <m/>
    <n v="651"/>
  </r>
  <r>
    <s v="S17202"/>
    <d v="2016-01-14T00:00:00"/>
    <s v="ABU QIR"/>
    <s v="M10"/>
    <s v="ABU QIR FERTILIZERS"/>
    <s v="ABU QIR FERTILIZERS"/>
    <s v="SYNCA"/>
    <s v="jegsy 112RM4"/>
    <m/>
    <n v="1"/>
    <n v="15"/>
    <n v="6.6"/>
    <n v="0.8"/>
    <n v="50"/>
    <n v="1500"/>
    <n v="116"/>
    <n v="109"/>
    <n v="4"/>
    <n v="72"/>
    <s v="IC8A1W7"/>
    <n v="1001"/>
    <n v="54"/>
    <s v="-"/>
    <x v="1"/>
    <x v="1"/>
    <m/>
    <x v="1"/>
    <m/>
    <n v="1890.54"/>
  </r>
  <r>
    <s v="S17225"/>
    <d v="2016-02-02T00:00:00"/>
    <s v="STX-EDGE"/>
    <s v="M10"/>
    <s v="STX EUROPE"/>
    <s v="RCCL"/>
    <s v="SYNCA"/>
    <s v="JEGSY 112 R L 12_11_60_H710_PA"/>
    <m/>
    <n v="2"/>
    <n v="9.381"/>
    <n v="11"/>
    <n v="0.9"/>
    <n v="60"/>
    <n v="600"/>
    <n v="142"/>
    <n v="119"/>
    <n v="12"/>
    <n v="144"/>
    <s v="IC8A1W7"/>
    <n v="1101"/>
    <n v="44"/>
    <s v="-"/>
    <x v="1"/>
    <x v="1"/>
    <m/>
    <x v="1"/>
    <m/>
    <n v="3775.25"/>
  </r>
  <r>
    <s v="S17269"/>
    <d v="2016-03-04T00:00:00"/>
    <s v="WIDMERPOOL"/>
    <s v="M10"/>
    <s v="FRANCO TOSI MECCANICA"/>
    <s v="VEOLIA UK / STC POWER"/>
    <s v="SYNCA"/>
    <s v="jegsy 90RM4_6_50"/>
    <m/>
    <n v="1"/>
    <n v="7"/>
    <n v="6"/>
    <n v="0.8"/>
    <n v="50"/>
    <n v="1500"/>
    <n v="92"/>
    <n v="99"/>
    <n v="4"/>
    <n v="84"/>
    <s v="8A1W7"/>
    <n v="1001"/>
    <n v="54"/>
    <s v="-"/>
    <x v="1"/>
    <x v="1"/>
    <m/>
    <x v="1"/>
    <m/>
    <n v="223.55"/>
  </r>
  <r>
    <s v="S17456"/>
    <d v="2016-09-27T00:00:00"/>
    <s v="BELLEGARDE"/>
    <s v="M10"/>
    <s v="SITA SUEZ"/>
    <s v="SITA SUEZ"/>
    <s v="SYNCA"/>
    <s v="JISALT 412"/>
    <s v="5I0145"/>
    <n v="1"/>
    <n v="10.9"/>
    <n v="11.5"/>
    <n v="0.928"/>
    <n v="50"/>
    <n v="1500"/>
    <n v="118"/>
    <n v="85"/>
    <n v="4"/>
    <n v="72"/>
    <s v="8A1W7"/>
    <n v="1005"/>
    <n v="54"/>
    <s v="-"/>
    <x v="1"/>
    <x v="5"/>
    <m/>
    <x v="1"/>
    <m/>
    <n v="2150.15"/>
  </r>
  <r>
    <s v="S17530"/>
    <d v="2016-11-29T00:00:00"/>
    <s v="STAFEL"/>
    <s v="M10"/>
    <s v="GRANDE DIXENCE S.A."/>
    <s v="GRANDE DIXENCE S.A."/>
    <s v="SYNCM"/>
    <s v="SAT 103-109-4"/>
    <m/>
    <n v="4"/>
    <n v="8.84"/>
    <n v="5"/>
    <n v="0.9"/>
    <n v="50"/>
    <n v="1500"/>
    <n v="103"/>
    <n v="109"/>
    <n v="4"/>
    <n v="72"/>
    <s v="IC8A1W7"/>
    <n v="1001"/>
    <n v="23"/>
    <s v="-"/>
    <x v="1"/>
    <x v="1"/>
    <m/>
    <x v="1"/>
    <m/>
    <n v="7845.55"/>
  </r>
  <r>
    <s v="S17563"/>
    <d v="2017-03-07T00:00:00"/>
    <s v="STX-EDGE-K34"/>
    <s v="M10"/>
    <s v="STX EUROPE"/>
    <s v="RCCL"/>
    <s v="SYNCA"/>
    <s v="JEGSY 112 R L 12_11_60_H710_PA"/>
    <s v="S17225_M10"/>
    <n v="2"/>
    <n v="9"/>
    <n v="11"/>
    <n v="0.9"/>
    <n v="60"/>
    <n v="600"/>
    <n v="142"/>
    <n v="119"/>
    <n v="12"/>
    <n v="144"/>
    <s v="IC8A1W7"/>
    <n v="1101"/>
    <n v="44"/>
    <s v="-"/>
    <x v="1"/>
    <x v="1"/>
    <m/>
    <x v="1"/>
    <m/>
    <n v="654.2500000000001"/>
  </r>
  <r>
    <s v="S17660"/>
    <d v="2017-04-12T00:00:00"/>
    <s v="ABC RAECO"/>
    <s v="M10"/>
    <s v="ABC"/>
    <s v="RAECO"/>
    <s v="SYNCA"/>
    <s v="JEGSY 63AL6"/>
    <m/>
    <n v="4"/>
    <n v="3"/>
    <n v="11"/>
    <n v="0.8"/>
    <n v="50"/>
    <n v="1000"/>
    <n v="79"/>
    <n v="94"/>
    <n v="6"/>
    <n v="72"/>
    <n v="1"/>
    <n v="1001"/>
    <n v="23"/>
    <s v="-"/>
    <x v="1"/>
    <x v="1"/>
    <m/>
    <x v="1"/>
    <m/>
    <n v="356.3"/>
  </r>
  <r>
    <s v="S17711"/>
    <d v="2017-06-09T00:00:00"/>
    <s v="TORRELAVEGA"/>
    <s v="M10"/>
    <s v="SOLVAY"/>
    <s v="SOLVAY QUIMICA SL"/>
    <s v="SYNCA"/>
    <s v="2 paliers pieds - ventilation par le dessous"/>
    <m/>
    <n v="1"/>
    <n v="13"/>
    <n v="6.3"/>
    <n v="0.8"/>
    <n v="50"/>
    <n v="3000"/>
    <n v="75"/>
    <n v="139"/>
    <n v="2"/>
    <n v="66"/>
    <s v="8A1W7"/>
    <n v="1001"/>
    <n v="23"/>
    <s v="-"/>
    <x v="1"/>
    <x v="2"/>
    <m/>
    <x v="1"/>
    <m/>
    <n v="1396.58"/>
  </r>
  <r>
    <s v="S17868"/>
    <d v="2017-11-06T00:00:00"/>
    <s v="HPP 1224"/>
    <s v="M10"/>
    <s v="HYDRO POWER PLAN"/>
    <s v="(?) RDCONGO"/>
    <s v="SYNCA"/>
    <s v="JEGSY125AS14"/>
    <m/>
    <n v="2"/>
    <n v="7.29"/>
    <n v="6.6"/>
    <n v="0.9"/>
    <n v="50"/>
    <n v="428"/>
    <n v="160"/>
    <n v="109"/>
    <n v="14"/>
    <n v="168"/>
    <n v="1"/>
    <n v="7410"/>
    <n v="23"/>
    <s v="-"/>
    <x v="1"/>
    <x v="1"/>
    <m/>
    <x v="1"/>
    <m/>
    <n v="869.3500000000001"/>
  </r>
  <r>
    <s v="S17885"/>
    <d v="2017-12-04T00:00:00"/>
    <s v="FERPECLE"/>
    <s v="M10"/>
    <s v="GRANDE DIXENCE"/>
    <s v="GRANDE DIXENCE"/>
    <s v="SYNCM"/>
    <s v="JEMSY 90 892 mm 4 R"/>
    <s v="S17530_M10"/>
    <n v="4"/>
    <n v="8.039999999999999"/>
    <n v="5"/>
    <n v="0.9"/>
    <n v="50"/>
    <n v="1500"/>
    <n v="104"/>
    <n v="89"/>
    <n v="4"/>
    <n v="72"/>
    <s v="IC8A1W7"/>
    <s v="IM1107"/>
    <s v="IP23"/>
    <s v="-"/>
    <x v="1"/>
    <x v="2"/>
    <m/>
    <x v="1"/>
    <m/>
    <n v="7271.449999999999"/>
  </r>
  <r>
    <s v="S17926"/>
    <d v="2017-12-21T00:00:00"/>
    <s v="ABC TESTBENCH"/>
    <s v="M10"/>
    <s v="ABC"/>
    <s v="ABC"/>
    <s v="SYNCA"/>
    <s v="JEGSY 112RL8"/>
    <s v="S17868_M10"/>
    <n v="1"/>
    <n v="12"/>
    <n v="11"/>
    <n v="0.8"/>
    <n v="50"/>
    <n v="750"/>
    <n v="135"/>
    <n v="134"/>
    <n v="8"/>
    <n v="96"/>
    <s v="IC8A6W7"/>
    <n v="7211"/>
    <n v="54"/>
    <s v="-"/>
    <x v="1"/>
    <x v="1"/>
    <m/>
    <x v="1"/>
    <m/>
    <n v="1093.85"/>
  </r>
  <r>
    <s v="S18133"/>
    <d v="2018-06-01T00:00:00"/>
    <s v="TENGIZ - SYNCHRONES"/>
    <s v="M10"/>
    <s v="LFF"/>
    <s v="TCO - TENGIZCHEVROIL"/>
    <s v="SYNCM"/>
    <s v="Moteur SAT80.1/124/4"/>
    <s v="S16187"/>
    <n v="1"/>
    <n v="6.4"/>
    <n v="10"/>
    <n v="0.85"/>
    <n v="50"/>
    <n v="1500"/>
    <n v="80"/>
    <n v="124"/>
    <n v="4"/>
    <n v="78"/>
    <s v="8A1W7"/>
    <n v="1003"/>
    <n v="54"/>
    <s v="P"/>
    <x v="1"/>
    <x v="2"/>
    <m/>
    <x v="1"/>
    <m/>
    <n v="5239.83"/>
  </r>
  <r>
    <s v="S18234"/>
    <d v="2018-08-13T00:00:00"/>
    <s v="HALDIA"/>
    <s v="M10"/>
    <s v="ABC"/>
    <s v="BPCL INDIA"/>
    <s v="SYNCA"/>
    <s v="JEGSY 63AL6"/>
    <s v="S17660"/>
    <n v="2"/>
    <n v="2.56"/>
    <n v="6.6"/>
    <n v="0.8"/>
    <n v="50"/>
    <n v="1000"/>
    <n v="79"/>
    <n v="94"/>
    <n v="6"/>
    <n v="72"/>
    <n v="1"/>
    <n v="1001"/>
    <s v="IP23"/>
    <s v="-"/>
    <x v="1"/>
    <x v="1"/>
    <m/>
    <x v="1"/>
    <m/>
    <n v="485.7"/>
  </r>
  <r>
    <s v="S18369"/>
    <d v="2019-03-11T00:00:00"/>
    <s v="EDGE_M34"/>
    <s v="M10"/>
    <s v="STX"/>
    <s v="MSC"/>
    <s v="SYNCA"/>
    <s v="JEGSY 112"/>
    <s v="S17563_M10"/>
    <n v="2"/>
    <n v="9.380000000000001"/>
    <n v="11"/>
    <n v="0.9"/>
    <n v="60"/>
    <n v="600"/>
    <n v="142"/>
    <n v="119"/>
    <n v="12"/>
    <n v="144"/>
    <s v="8A1W7"/>
    <n v="1101"/>
    <n v="44"/>
    <s v="-"/>
    <x v="1"/>
    <x v="1"/>
    <m/>
    <x v="1"/>
    <m/>
    <n v="220.15"/>
  </r>
  <r>
    <s v="S18372"/>
    <d v="2018-12-17T00:00:00"/>
    <s v="WORLD CLASS W34"/>
    <s v="M10"/>
    <s v="STX FRANCE"/>
    <s v="MSC"/>
    <s v="SYNCA"/>
    <s v="JEGSY 160RS12"/>
    <s v="S16800_M20"/>
    <n v="5"/>
    <n v="15.555"/>
    <n v="11"/>
    <n v="0.85"/>
    <n v="60"/>
    <n v="600"/>
    <n v="196"/>
    <n v="114"/>
    <n v="12"/>
    <n v="162"/>
    <s v="8A1W7"/>
    <n v="1101"/>
    <n v="44"/>
    <s v="-"/>
    <x v="1"/>
    <x v="1"/>
    <m/>
    <x v="1"/>
    <m/>
    <n v="1061.95"/>
  </r>
  <r>
    <s v="S18410"/>
    <d v="2019-03-11T00:00:00"/>
    <s v="VISTA"/>
    <s v="M10"/>
    <s v="STX"/>
    <s v="MSC"/>
    <s v="SYNCA"/>
    <s v="Alternateur JEGSY 140S12"/>
    <s v="S16800_M10"/>
    <n v="2"/>
    <n v="1.4"/>
    <n v="11"/>
    <n v="0.848"/>
    <n v="60"/>
    <n v="600"/>
    <n v="177"/>
    <n v="109"/>
    <n v="12"/>
    <n v="144"/>
    <s v="8A1W7"/>
    <n v="1101"/>
    <n v="44"/>
    <s v="-"/>
    <x v="1"/>
    <x v="1"/>
    <m/>
    <x v="1"/>
    <m/>
    <n v="455.9"/>
  </r>
  <r>
    <s v="S18452"/>
    <d v="2019-02-22T00:00:00"/>
    <s v="FREIN PLATE FORME"/>
    <s v="M10"/>
    <s v="JEUMONT ELECTRIC"/>
    <s v="JEUMONT ELECTRIC"/>
    <s v="SYNCA"/>
    <s v="alt redresseur de freinage banc equilibrage"/>
    <m/>
    <n v="1"/>
    <n v="0.4"/>
    <n v="2"/>
    <n v="0.9"/>
    <n v="43.3"/>
    <n v="1299"/>
    <n v="67"/>
    <n v="30"/>
    <n v="4"/>
    <n v="72"/>
    <n v="0"/>
    <n v="1001"/>
    <n v="1"/>
    <s v="-"/>
    <x v="1"/>
    <x v="1"/>
    <m/>
    <x v="1"/>
    <m/>
    <s v=""/>
  </r>
  <r>
    <s v="S18485"/>
    <d v="2019-03-20T00:00:00"/>
    <s v="SUTA MAROC"/>
    <s v="M10"/>
    <s v="FICANTIERI"/>
    <s v="COSUMAR"/>
    <s v="SYNCA"/>
    <m/>
    <s v="S17269_M10"/>
    <n v="1"/>
    <n v="18"/>
    <n v="5"/>
    <n v="0.8"/>
    <n v="50"/>
    <n v="1500"/>
    <n v="103"/>
    <n v="169"/>
    <n v="4"/>
    <n v="84"/>
    <s v="IC8A1W7"/>
    <n v="7215"/>
    <n v="54"/>
    <s v="-"/>
    <x v="1"/>
    <x v="2"/>
    <m/>
    <x v="1"/>
    <m/>
    <n v="457.05"/>
  </r>
  <r>
    <s v="S18600"/>
    <d v="2019-07-24T00:00:00"/>
    <s v="KIPAS TURKEY"/>
    <s v="M10"/>
    <s v="DOOSAN SKODA POWER"/>
    <s v="KIPAS TURKEY"/>
    <s v="SYNCA"/>
    <s v="JEGSYL 140 RL4"/>
    <m/>
    <n v="1"/>
    <n v="55"/>
    <n v="11"/>
    <n v="0.85"/>
    <n v="50"/>
    <n v="1500"/>
    <n v="146"/>
    <n v="214"/>
    <n v="4"/>
    <n v="84"/>
    <s v="8A1W7"/>
    <n v="7215"/>
    <n v="54"/>
    <s v="-"/>
    <x v="1"/>
    <x v="1"/>
    <m/>
    <x v="1"/>
    <m/>
    <n v="1044.15"/>
  </r>
  <r>
    <s v="S18752"/>
    <d v="2019-11-21T00:00:00"/>
    <s v="FLOT LOG"/>
    <s v="M10"/>
    <s v="CHANTIERS DE LATLANTIQUE"/>
    <s v="OCCAR"/>
    <s v="SYNCA"/>
    <s v="JEGSY 100RL10"/>
    <s v="V17694_MDA1"/>
    <n v="2"/>
    <n v="7.066"/>
    <n v="6.6"/>
    <n v="0.85"/>
    <n v="60"/>
    <n v="720"/>
    <n v="124"/>
    <n v="114"/>
    <n v="10"/>
    <n v="135"/>
    <s v="IC8A1W7"/>
    <n v="1101"/>
    <n v="44"/>
    <s v="-"/>
    <x v="1"/>
    <x v="1"/>
    <m/>
    <x v="1"/>
    <m/>
    <n v="2185.35"/>
  </r>
  <r>
    <s v="S18807"/>
    <d v="2020-01-14T00:00:00"/>
    <s v="ATLANTIS"/>
    <s v="M10"/>
    <s v="ATLANTIS ENERGY"/>
    <s v="ATLANTIS ENERGY"/>
    <s v="SYNCA"/>
    <s v="SAP 162-40-44"/>
    <m/>
    <n v="1"/>
    <n v="11"/>
    <n v="3.6"/>
    <n v="1"/>
    <n v="138.6"/>
    <n v="378"/>
    <n v="162"/>
    <n v="40"/>
    <n v="44"/>
    <n v="198"/>
    <s v="IC8A1W7"/>
    <n v="1001"/>
    <n v="56"/>
    <s v="-"/>
    <x v="1"/>
    <x v="2"/>
    <m/>
    <x v="1"/>
    <m/>
    <n v="181.15"/>
  </r>
  <r>
    <s v="S18808"/>
    <d v="2020-01-23T00:00:00"/>
    <s v="HATTELBERG PUMP"/>
    <s v="M10"/>
    <s v="ABB SWITZERLAND"/>
    <s v="VERBUND"/>
    <s v="SYNCM"/>
    <s v="Moteur synchrone 2 poles 60MW"/>
    <m/>
    <n v="1"/>
    <n v="60"/>
    <n v="7.5"/>
    <n v="0.924"/>
    <n v="49.2"/>
    <n v="2952"/>
    <n v="89"/>
    <n v="255"/>
    <n v="2"/>
    <n v="60"/>
    <s v="IC8A1W7"/>
    <n v="1005"/>
    <n v="55"/>
    <s v="-"/>
    <x v="1"/>
    <x v="2"/>
    <m/>
    <x v="1"/>
    <m/>
    <n v="2497.43"/>
  </r>
  <r>
    <s v="S18814"/>
    <d v="2020-01-21T00:00:00"/>
    <s v="TARANIS"/>
    <s v="M10"/>
    <s v="HAGER ELECTRO SAS"/>
    <s v="HAGER ELECTRO SAS"/>
    <s v="SYNCM"/>
    <s v="turbo de choc"/>
    <m/>
    <n v="1"/>
    <n v="15"/>
    <n v="13"/>
    <n v="0.9"/>
    <n v="50"/>
    <n v="3000"/>
    <n v="120"/>
    <n v="250"/>
    <n v="2"/>
    <n v="60"/>
    <n v="0"/>
    <n v="1000"/>
    <n v="0"/>
    <s v="-"/>
    <x v="1"/>
    <x v="2"/>
    <m/>
    <x v="1"/>
    <m/>
    <n v="11255"/>
  </r>
  <r>
    <s v="S18824"/>
    <d v="2020-01-28T00:00:00"/>
    <s v="WOLFSBURG"/>
    <s v="M10"/>
    <s v="DOOSAN SKODA POWER"/>
    <s v="DSP"/>
    <s v="SYNCA"/>
    <s v="JEGSY 140RL4"/>
    <s v="S18600"/>
    <n v="2"/>
    <n v="49.04"/>
    <n v="10.5"/>
    <n v="0.8"/>
    <n v="50"/>
    <n v="1500"/>
    <n v="146"/>
    <n v="224"/>
    <n v="4"/>
    <n v="84"/>
    <s v="IC8A1W7"/>
    <n v="7215"/>
    <n v="54"/>
    <s v="-"/>
    <x v="1"/>
    <x v="1"/>
    <m/>
    <x v="1"/>
    <m/>
    <n v="1083.7"/>
  </r>
  <r>
    <s v="S18932"/>
    <d v="2020-06-02T00:00:00"/>
    <s v="ABB CHEVRON"/>
    <s v="M10"/>
    <s v="ABB FRANCE"/>
    <s v="ABB FRANCE"/>
    <s v="SYNCA"/>
    <s v="ALRC 560 LD8"/>
    <m/>
    <n v="1"/>
    <n v="2.246"/>
    <n v="2"/>
    <n v="0.8"/>
    <n v="60"/>
    <n v="900"/>
    <n v="70"/>
    <n v="104"/>
    <n v="8"/>
    <n v="96"/>
    <n v="1"/>
    <n v="1001"/>
    <n v="44"/>
    <s v="-"/>
    <x v="1"/>
    <x v="2"/>
    <m/>
    <x v="1"/>
    <m/>
    <n v="382.15"/>
  </r>
  <r>
    <s v="S18934"/>
    <d v="2020-04-30T00:00:00"/>
    <s v="AIR LIQUIDE SANDOUVILLE"/>
    <s v="M10"/>
    <s v="AIR LIQUIDE"/>
    <s v="AIR LIQUIDE"/>
    <s v="SYNCM"/>
    <s v="SAT 146-35.5-16"/>
    <m/>
    <n v="1"/>
    <n v="1.9"/>
    <n v="5.5"/>
    <n v="1"/>
    <n v="50"/>
    <n v="375"/>
    <n v="146"/>
    <n v="36"/>
    <n v="16"/>
    <n v="126"/>
    <s v="8A1W7"/>
    <n v="7325"/>
    <n v="54"/>
    <s v="-"/>
    <x v="1"/>
    <x v="2"/>
    <m/>
    <x v="1"/>
    <m/>
    <n v="1542.6"/>
  </r>
  <r>
    <s v="S18979"/>
    <d v="2020-08-27T00:00:00"/>
    <s v="BREMA"/>
    <s v="M10"/>
    <s v="SWB ENTSORGUNG GMBH"/>
    <s v="SWB ENTSORGUNG GMBH"/>
    <s v="SYNCA"/>
    <s v="remplacement Ã  l'identique machine précédente"/>
    <s v="56X.EI1293"/>
    <n v="1"/>
    <n v="45.125"/>
    <n v="6.3"/>
    <n v="0.8"/>
    <n v="50"/>
    <n v="3000"/>
    <n v="84"/>
    <n v="180"/>
    <n v="2"/>
    <n v="84"/>
    <s v="8A1W7"/>
    <n v="1005"/>
    <n v="54"/>
    <s v="-"/>
    <x v="1"/>
    <x v="2"/>
    <m/>
    <x v="1"/>
    <m/>
    <n v="818.8399999999999"/>
  </r>
  <r>
    <s v="S18995"/>
    <d v="2020-08-03T00:00:00"/>
    <s v="TOTAL FEYZIN - 36MK0201"/>
    <s v="M10"/>
    <s v="TOTAL FEYZIN"/>
    <s v="TOTAL FEYZIN"/>
    <s v="SYNCM"/>
    <s v="SAT 65.5 - 140 - 2 - moteur 4400 / 5100 rpm"/>
    <m/>
    <n v="1"/>
    <n v="16"/>
    <n v="4.706"/>
    <n v="0.86"/>
    <n v="80"/>
    <n v="4800"/>
    <n v="66"/>
    <n v="140"/>
    <n v="2"/>
    <n v="72"/>
    <s v="8A1W7"/>
    <n v="1001"/>
    <n v="55"/>
    <s v="P"/>
    <x v="1"/>
    <x v="2"/>
    <m/>
    <x v="1"/>
    <m/>
    <n v="4287.72"/>
  </r>
  <r>
    <s v="S19000"/>
    <d v="2020-07-30T00:00:00"/>
    <s v="LOSTOCK"/>
    <s v="M10"/>
    <s v="DOOSAN SKODA POWER"/>
    <s v="CNIM LOSTOCK"/>
    <s v="SYNCA"/>
    <s v="JEGSY 160RL2"/>
    <s v="Rotor tiaret"/>
    <n v="1"/>
    <n v="81"/>
    <n v="11"/>
    <n v="0.85"/>
    <n v="50"/>
    <n v="3000"/>
    <n v="112"/>
    <n v="269"/>
    <n v="2"/>
    <n v="72"/>
    <s v="IC8A1W7"/>
    <n v="1005"/>
    <n v="54"/>
    <s v="-"/>
    <x v="1"/>
    <x v="4"/>
    <m/>
    <x v="1"/>
    <m/>
    <n v="1896.05"/>
  </r>
  <r>
    <s v="S19020"/>
    <d v="2020-08-20T00:00:00"/>
    <s v="FRANCO TOSI MECCANICA"/>
    <s v="M10"/>
    <s v="FRANCO TOSI MECCANICA"/>
    <s v="INDAVER - SUEZ - DOEL"/>
    <s v="SYNCA"/>
    <s v="JEGSYL112RS4"/>
    <m/>
    <n v="1"/>
    <n v="20"/>
    <n v="11"/>
    <n v="0.85"/>
    <n v="50"/>
    <n v="1500"/>
    <n v="116"/>
    <n v="144"/>
    <n v="4"/>
    <n v="96"/>
    <s v="IC8A1W7"/>
    <n v="7215"/>
    <n v="54"/>
    <s v="-"/>
    <x v="1"/>
    <x v="1"/>
    <m/>
    <x v="1"/>
    <m/>
    <n v="1325.36"/>
  </r>
  <r>
    <s v="S19045"/>
    <d v="2020-09-24T00:00:00"/>
    <s v="PARONA"/>
    <s v="M10"/>
    <s v="FTM"/>
    <s v="A2A"/>
    <s v="SYNCA"/>
    <s v="JEGSYL 125RL4"/>
    <m/>
    <n v="1"/>
    <n v="37.837"/>
    <n v="11"/>
    <n v="0.85"/>
    <n v="50"/>
    <n v="1500"/>
    <n v="130"/>
    <n v="194"/>
    <n v="4"/>
    <n v="84"/>
    <s v="IC8A1W7"/>
    <n v="7215"/>
    <n v="54"/>
    <s v="-"/>
    <x v="1"/>
    <x v="1"/>
    <m/>
    <x v="1"/>
    <m/>
    <n v="1419.34"/>
  </r>
  <r>
    <s v="S19088"/>
    <d v="2020-10-27T00:00:00"/>
    <s v="ETI MADEN"/>
    <s v="M10"/>
    <s v="DOOSAN SKODA POWER"/>
    <s v="EMET SULF ACID PROD PLANT"/>
    <s v="SYNCA"/>
    <s v="JEGSYL 100RL4"/>
    <s v="S18485"/>
    <n v="1"/>
    <n v="17"/>
    <n v="6.3"/>
    <n v="0.85"/>
    <n v="50"/>
    <n v="1500"/>
    <n v="103"/>
    <n v="169"/>
    <n v="4"/>
    <n v="84"/>
    <s v="8A1W7"/>
    <n v="7215"/>
    <n v="54"/>
    <s v="-"/>
    <x v="1"/>
    <x v="1"/>
    <m/>
    <x v="1"/>
    <m/>
    <n v="689.0500000000001"/>
  </r>
  <r>
    <s v="S19124"/>
    <d v="2020-12-07T00:00:00"/>
    <s v="KEBAG"/>
    <s v="M10"/>
    <s v="SIEMENS ENERGY"/>
    <s v="KEBAG ZUCHWIL"/>
    <s v="SYNCA"/>
    <s v="JEGSYL 140RM4"/>
    <s v="S18824_M10"/>
    <n v="1"/>
    <n v="42.184"/>
    <n v="16.8"/>
    <n v="0.8"/>
    <n v="50"/>
    <n v="1500"/>
    <n v="146"/>
    <n v="199"/>
    <n v="4"/>
    <n v="72"/>
    <s v="8A1W7"/>
    <n v="7215"/>
    <n v="54"/>
    <s v="-"/>
    <x v="1"/>
    <x v="1"/>
    <m/>
    <x v="1"/>
    <m/>
    <n v="2027.25"/>
  </r>
  <r>
    <s v="S19220"/>
    <d v="2021-02-17T00:00:00"/>
    <s v="ABC NIGER"/>
    <s v="M10"/>
    <s v="ABC"/>
    <s v="ABC"/>
    <s v="SYNCA"/>
    <s v="JEGSY 63AL6"/>
    <s v="S18234_M10"/>
    <n v="3"/>
    <n v="2"/>
    <n v="6.6"/>
    <n v="0.8"/>
    <n v="50"/>
    <n v="1000"/>
    <n v="79"/>
    <n v="94"/>
    <n v="6"/>
    <n v="72"/>
    <n v="1"/>
    <n v="1001"/>
    <n v="23"/>
    <s v="-"/>
    <x v="1"/>
    <x v="1"/>
    <m/>
    <x v="1"/>
    <m/>
    <n v="63.2"/>
  </r>
  <r>
    <s v="S19297"/>
    <d v="2021-05-04T00:00:00"/>
    <s v="PETRONAS"/>
    <s v="M10"/>
    <s v="ELEKTROSERVE"/>
    <s v="PETRONAS"/>
    <s v="SYNCA"/>
    <s v="JEGSY56AM4"/>
    <m/>
    <n v="1"/>
    <n v="3.2"/>
    <n v="6.6"/>
    <n v="0.8"/>
    <n v="50"/>
    <n v="1500"/>
    <n v="67"/>
    <n v="89"/>
    <n v="4"/>
    <n v="72"/>
    <n v="1"/>
    <n v="1001"/>
    <n v="23"/>
    <s v="-"/>
    <x v="1"/>
    <x v="1"/>
    <m/>
    <x v="1"/>
    <m/>
    <n v="1398.3"/>
  </r>
  <r>
    <s v="S19334"/>
    <d v="2021-04-26T00:00:00"/>
    <s v="PROTOS"/>
    <s v="M10"/>
    <s v="SKODA"/>
    <s v="PROTOS"/>
    <s v="SYNCA"/>
    <s v="JEGSY 140RL2"/>
    <s v="S16554"/>
    <n v="1"/>
    <n v="52"/>
    <n v="11"/>
    <n v="0.85"/>
    <n v="50"/>
    <n v="3000"/>
    <n v="87"/>
    <n v="269"/>
    <n v="2"/>
    <n v="70"/>
    <s v="8A1W7"/>
    <n v="1005"/>
    <n v="55"/>
    <s v="-"/>
    <x v="1"/>
    <x v="4"/>
    <m/>
    <x v="1"/>
    <m/>
    <n v="1524.92"/>
  </r>
  <r>
    <s v="S19437"/>
    <d v="2021-06-29T00:00:00"/>
    <s v="SLOUGH"/>
    <s v="M10"/>
    <s v="DOOSAN SKODA POWER"/>
    <s v="SLOUGH MULTIFUEL"/>
    <s v="SYNCA"/>
    <s v="SAT 89-290S"/>
    <s v="S18808"/>
    <n v="1"/>
    <n v="60"/>
    <n v="15"/>
    <n v="0.85"/>
    <n v="50"/>
    <n v="3000"/>
    <n v="89"/>
    <n v="290"/>
    <n v="2"/>
    <n v="60"/>
    <s v="8A1W7"/>
    <n v="1005"/>
    <n v="54"/>
    <s v="-"/>
    <x v="1"/>
    <x v="2"/>
    <m/>
    <x v="1"/>
    <m/>
    <n v="2590.17"/>
  </r>
  <r>
    <s v="S19489"/>
    <d v="2021-09-13T00:00:00"/>
    <s v="KV MATERIAL"/>
    <s v="M10"/>
    <s v="KV MATERIAL"/>
    <s v="KV MATERIAL"/>
    <s v="SYNCA"/>
    <s v="adaptation de Faisalabad - 4 poles - 21 MW - 11kV"/>
    <s v="S17063"/>
    <n v="2"/>
    <n v="21"/>
    <n v="11"/>
    <n v="0.8"/>
    <n v="50"/>
    <n v="1500"/>
    <n v="130"/>
    <n v="129"/>
    <n v="4"/>
    <n v="84"/>
    <s v="IC3A1"/>
    <n v="1005"/>
    <n v="54"/>
    <s v="-"/>
    <x v="1"/>
    <x v="2"/>
    <m/>
    <x v="1"/>
    <m/>
    <n v="1598.05"/>
  </r>
  <r>
    <s v="S19669"/>
    <d v="2021-10-26T00:00:00"/>
    <s v="BOIS ROUGE"/>
    <s v="M10"/>
    <s v="DOOSAN SKODA POWER"/>
    <s v="ALBIOMA"/>
    <s v="SYNCA"/>
    <s v="JEGSYL 125RL4"/>
    <s v="S19045_M10"/>
    <n v="2"/>
    <n v="32"/>
    <n v="11"/>
    <n v="0.8"/>
    <n v="50"/>
    <n v="1500"/>
    <n v="130"/>
    <n v="194"/>
    <n v="4"/>
    <n v="84"/>
    <s v="IC8A1W7"/>
    <n v="7215"/>
    <n v="54"/>
    <s v="-"/>
    <x v="1"/>
    <x v="1"/>
    <m/>
    <x v="1"/>
    <m/>
    <n v="1144.25"/>
  </r>
  <r>
    <s v="S19784"/>
    <d v="2022-04-07T00:00:00"/>
    <s v="TOTAL CARLING"/>
    <s v="M10"/>
    <s v="TOTAL CARLING"/>
    <s v="TOTAL CARLING"/>
    <s v="SYNCM"/>
    <s v="SAT 290,31,28"/>
    <m/>
    <n v="1"/>
    <n v="3"/>
    <n v="5"/>
    <n v="1"/>
    <n v="50"/>
    <n v="214"/>
    <n v="100"/>
    <n v="100"/>
    <n v="28"/>
    <n v="100"/>
    <s v="IC8A1W7"/>
    <n v="1005"/>
    <n v="54"/>
    <s v="P"/>
    <x v="1"/>
    <x v="2"/>
    <m/>
    <x v="1"/>
    <m/>
    <n v="3866.35"/>
  </r>
  <r>
    <s v="S19936"/>
    <d v="2022-05-04T00:00:00"/>
    <s v="21HERA"/>
    <s v="M10"/>
    <s v="FINCANTIERI S.P.A."/>
    <s v="FINCANTIERI S.P.A."/>
    <s v="SYNCA"/>
    <s v="JEGSYL112RL4"/>
    <s v="S19020"/>
    <n v="1"/>
    <n v="20"/>
    <n v="15"/>
    <n v="0.8"/>
    <n v="50"/>
    <n v="1500"/>
    <n v="116"/>
    <n v="144"/>
    <n v="4"/>
    <n v="96"/>
    <s v="IC8A1W7"/>
    <n v="7215"/>
    <n v="54"/>
    <s v="-"/>
    <x v="1"/>
    <x v="1"/>
    <m/>
    <x v="1"/>
    <m/>
    <n v="1734.6"/>
  </r>
  <r>
    <s v="S19983"/>
    <d v="2022-06-08T00:00:00"/>
    <s v="DUNKERQUE CP2"/>
    <s v="M10"/>
    <s v="AIR LIQUIDE"/>
    <s v="AIR LIQUIDE"/>
    <s v="SYNCM"/>
    <s v="SAT 96,125,4"/>
    <m/>
    <n v="1"/>
    <n v="9"/>
    <n v="5"/>
    <n v="1"/>
    <n v="50"/>
    <n v="1500"/>
    <n v="100"/>
    <n v="100"/>
    <n v="4"/>
    <n v="100"/>
    <s v="IC8A1W7"/>
    <n v="1005"/>
    <n v="54"/>
    <s v="-"/>
    <x v="1"/>
    <x v="2"/>
    <m/>
    <x v="1"/>
    <m/>
    <n v="3105.87"/>
  </r>
  <r>
    <s v="S20095"/>
    <d v="2022-08-25T00:00:00"/>
    <s v="UVELIA"/>
    <s v="M10"/>
    <s v="BH THERMODYN"/>
    <s v="UVELIA LIEGE"/>
    <s v="SYNCM"/>
    <s v="JISALT 458 GIGA"/>
    <s v="56X.EIEJ1236"/>
    <n v="1"/>
    <n v="37.8"/>
    <n v="15"/>
    <n v="0.8"/>
    <n v="50"/>
    <n v="1500"/>
    <n v="100"/>
    <n v="100"/>
    <n v="4"/>
    <n v="100"/>
    <s v="IC8A1W7"/>
    <n v="1005"/>
    <n v="54"/>
    <s v="-"/>
    <x v="1"/>
    <x v="5"/>
    <m/>
    <x v="1"/>
    <m/>
    <s v=""/>
  </r>
  <r>
    <s v="S20210"/>
    <d v="2022-12-15T00:00:00"/>
    <s v="KOMSILGA"/>
    <s v="M10"/>
    <s v="JA DELMAS"/>
    <s v="SONABEL"/>
    <s v="SYNCA"/>
    <s v="JEGSY140L12"/>
    <s v="S16348"/>
    <n v="3"/>
    <n v="14.042"/>
    <n v="11"/>
    <n v="0.8"/>
    <n v="50"/>
    <n v="500"/>
    <n v="177"/>
    <n v="134"/>
    <n v="12"/>
    <n v="144"/>
    <n v="1"/>
    <n v="1001"/>
    <n v="23"/>
    <s v="-"/>
    <x v="1"/>
    <x v="1"/>
    <m/>
    <x v="1"/>
    <m/>
    <s v=""/>
  </r>
  <r>
    <s v="S20303"/>
    <d v="2023-03-06T00:00:00"/>
    <s v="EDGE_N34"/>
    <s v="M10"/>
    <s v="STX"/>
    <s v="MSC"/>
    <s v="SYNCA"/>
    <s v="JEGSY 112"/>
    <s v="S18369_M10"/>
    <n v="2"/>
    <n v="9.380000000000001"/>
    <n v="11"/>
    <n v="0.9"/>
    <n v="60"/>
    <n v="600"/>
    <n v="142"/>
    <n v="119"/>
    <n v="12"/>
    <n v="144"/>
    <s v="8A1W7"/>
    <n v="1101"/>
    <n v="44"/>
    <s v="-"/>
    <x v="1"/>
    <x v="1"/>
    <m/>
    <x v="1"/>
    <m/>
    <s v=""/>
  </r>
  <r>
    <s v="S20980"/>
    <d v="2024-05-15T00:00:00"/>
    <s v="MARTINIQUE"/>
    <s v="M10"/>
    <s v="ALBIOMA"/>
    <s v="ALBIOMA GALLION"/>
    <s v="SYNCA"/>
    <s v="JISALT GIGA 458"/>
    <s v="S17014"/>
    <n v="1"/>
    <n v="41.65"/>
    <n v="11"/>
    <n v="0.85"/>
    <n v="50"/>
    <n v="1500"/>
    <n v="135"/>
    <n v="201"/>
    <n v="4"/>
    <n v="72"/>
    <s v="8A1W7"/>
    <n v="1005"/>
    <n v="54"/>
    <s v="-"/>
    <x v="1"/>
    <x v="5"/>
    <m/>
    <x v="1"/>
    <m/>
    <s v=""/>
  </r>
  <r>
    <s v="S21156"/>
    <d v="2024-10-01T00:00:00"/>
    <s v="HAMMERFEST"/>
    <s v="M10"/>
    <s v="EQUINOR"/>
    <s v="EQUINOR"/>
    <s v="SYNCA"/>
    <s v="JISALT 460"/>
    <s v="5I0880"/>
    <n v="1"/>
    <n v="49"/>
    <n v="15"/>
    <n v="0.8"/>
    <n v="50"/>
    <n v="1500"/>
    <n v="135"/>
    <n v="240"/>
    <n v="4"/>
    <n v="72"/>
    <s v="8A1W7"/>
    <n v="7215"/>
    <n v="55"/>
    <s v="P"/>
    <x v="1"/>
    <x v="5"/>
    <m/>
    <x v="1"/>
    <m/>
    <s v=""/>
  </r>
  <r>
    <s v="S21312"/>
    <d v="2025-01-13T00:00:00"/>
    <s v="ABC TESTBENCH"/>
    <s v="M10"/>
    <s v="ABC"/>
    <s v="ABC"/>
    <s v="SYNCA"/>
    <s v="JEGSY 112RL8"/>
    <s v="S17926_M10"/>
    <n v="1"/>
    <n v="12"/>
    <n v="11"/>
    <n v="0.8"/>
    <n v="50"/>
    <n v="750"/>
    <n v="135"/>
    <n v="134"/>
    <n v="8"/>
    <n v="96"/>
    <s v="IC8A6W7"/>
    <n v="7211"/>
    <n v="54"/>
    <s v="-"/>
    <x v="1"/>
    <x v="1"/>
    <m/>
    <x v="1"/>
    <m/>
    <s v=""/>
  </r>
  <r>
    <s v="S21712"/>
    <d v="2025-12-04T00:00:00"/>
    <s v="EDGE_V35"/>
    <s v="M10"/>
    <s v="CHANTIER DE L'ATLANTIQUE"/>
    <s v="ROYAL CARIBBEAN CRUISES"/>
    <s v="SYNCA"/>
    <s v="JEGSY 112 L12R"/>
    <s v="S17225_M10"/>
    <n v="2"/>
    <n v="9"/>
    <n v="11"/>
    <n v="0.9"/>
    <n v="60"/>
    <n v="600"/>
    <n v="141"/>
    <n v="119"/>
    <n v="12"/>
    <n v="144"/>
    <s v="8A1W7"/>
    <n v="1101"/>
    <n v="44"/>
    <s v="-"/>
    <x v="1"/>
    <x v="1"/>
    <m/>
    <x v="1"/>
    <m/>
    <s v=""/>
  </r>
  <r>
    <s v="SM19903"/>
    <d v="2022-04-12T00:00:00"/>
    <s v="NAVAL GROUP BPC JEGSY 87"/>
    <s v="M10"/>
    <s v="NAVAL GROUP"/>
    <s v="MARINE EGYPTIENNE"/>
    <s v="SYNCA"/>
    <s v="JEGSY 87"/>
    <s v="S15779_M10"/>
    <n v="1"/>
    <n v="5"/>
    <n v="6"/>
    <n v="0.8"/>
    <n v="60"/>
    <n v="750"/>
    <n v="105"/>
    <n v="114"/>
    <n v="8"/>
    <n v="96"/>
    <s v="8A1W7"/>
    <n v="1101"/>
    <n v="44"/>
    <s v="-"/>
    <x v="1"/>
    <x v="1"/>
    <m/>
    <x v="2"/>
    <m/>
    <s v=""/>
  </r>
  <r>
    <s v="SM20989"/>
    <d v="2024-08-28T00:00:00"/>
    <s v="FREMM EVO ITALIE 13 14"/>
    <s v="M10"/>
    <s v="FINCANTIERI"/>
    <s v="MARINE ITALIENNE"/>
    <s v="SYNCA"/>
    <s v="SAP 148-178-40"/>
    <s v="EM1046"/>
    <n v="4"/>
    <n v="0.1"/>
    <n v="2"/>
    <n v="1"/>
    <n v="0"/>
    <n v="0"/>
    <n v="20"/>
    <n v="20"/>
    <n v="0"/>
    <n v="20"/>
    <s v="8A6W7"/>
    <n v="1003"/>
    <n v="44"/>
    <s v="-"/>
    <x v="1"/>
    <x v="2"/>
    <m/>
    <x v="2"/>
    <m/>
    <s v=""/>
  </r>
  <r>
    <s v="SN17336"/>
    <d v="2016-04-25T00:00:00"/>
    <s v="BARAKAH"/>
    <s v="M10"/>
    <s v="DOOSAN"/>
    <s v="KHNP"/>
    <s v="SYNCA"/>
    <s v="JEGSY 160XS10"/>
    <s v="S16003"/>
    <n v="1"/>
    <n v="8.699999999999999"/>
    <n v="4.16"/>
    <n v="0.8"/>
    <n v="50"/>
    <n v="600"/>
    <n v="193"/>
    <n v="99"/>
    <n v="10"/>
    <n v="150"/>
    <s v="0A1"/>
    <n v="1001"/>
    <n v="23"/>
    <s v="-"/>
    <x v="1"/>
    <x v="1"/>
    <m/>
    <x v="0"/>
    <m/>
    <n v="1516.05"/>
  </r>
  <r>
    <s v="SN18020"/>
    <d v="2018-02-19T00:00:00"/>
    <s v="PALO VERDE"/>
    <s v="M10"/>
    <s v="FRAMATOME USA"/>
    <s v="ARIZONA PUBLIC SERVICE"/>
    <s v="SYNCA"/>
    <s v="SAT 152-104-12"/>
    <s v="S16782-M10"/>
    <n v="1"/>
    <n v="5.5"/>
    <n v="4.16"/>
    <n v="0.8"/>
    <n v="60"/>
    <n v="600"/>
    <n v="152"/>
    <n v="104"/>
    <n v="12"/>
    <n v="162"/>
    <n v="1"/>
    <n v="7105"/>
    <n v="23"/>
    <s v="-"/>
    <x v="1"/>
    <x v="2"/>
    <m/>
    <x v="0"/>
    <m/>
    <n v="1418.55"/>
  </r>
  <r>
    <s v="SN18385"/>
    <d v="2019-01-10T00:00:00"/>
    <s v="AACDG SKN56"/>
    <s v="M10"/>
    <s v="HSD ENGINE"/>
    <s v="KHNP"/>
    <s v="SYNCA"/>
    <s v="Alternateur + armoire excitation"/>
    <s v="S16003"/>
    <n v="2"/>
    <n v="7"/>
    <n v="4"/>
    <n v="0.8"/>
    <n v="60"/>
    <n v="514"/>
    <n v="180"/>
    <n v="114"/>
    <n v="14"/>
    <n v="168"/>
    <n v="1"/>
    <n v="1001"/>
    <n v="23"/>
    <s v="N"/>
    <x v="1"/>
    <x v="2"/>
    <m/>
    <x v="0"/>
    <m/>
    <n v="3143.979999999999"/>
  </r>
  <r>
    <s v="SN18830"/>
    <d v="2020-05-25T00:00:00"/>
    <s v="EDG  HANUL"/>
    <s v="M10"/>
    <s v="EDG HANUL"/>
    <s v="EDG HANUL"/>
    <s v="SYNCA"/>
    <s v="SAT 100-90-6"/>
    <m/>
    <n v="1"/>
    <n v="4.5"/>
    <n v="6.6"/>
    <n v="0.8"/>
    <n v="60"/>
    <n v="1200"/>
    <n v="100"/>
    <n v="90"/>
    <n v="6"/>
    <n v="81"/>
    <n v="1"/>
    <n v="1002"/>
    <n v="23"/>
    <s v="-"/>
    <x v="1"/>
    <x v="2"/>
    <m/>
    <x v="0"/>
    <m/>
    <n v="413.28"/>
  </r>
  <r>
    <s v="SN18989"/>
    <d v="2020-07-27T00:00:00"/>
    <s v="ROOPPUR"/>
    <s v="M10"/>
    <s v="ABC"/>
    <s v="ROSATOM"/>
    <s v="SYNCA"/>
    <s v="JEGSY 118ALL8"/>
    <m/>
    <n v="4"/>
    <n v="10.5"/>
    <n v="10.5"/>
    <n v="0.8"/>
    <n v="50"/>
    <n v="750"/>
    <n v="139"/>
    <n v="154"/>
    <n v="8"/>
    <n v="96"/>
    <n v="31"/>
    <n v="1005"/>
    <s v="IP41"/>
    <s v="-"/>
    <x v="1"/>
    <x v="1"/>
    <m/>
    <x v="0"/>
    <m/>
    <n v="2328.9"/>
  </r>
  <r>
    <s v="SN19001"/>
    <d v="2020-09-17T00:00:00"/>
    <s v="EDG ROOPPUR"/>
    <s v="M10"/>
    <s v="ABC"/>
    <s v="ROSATOM"/>
    <s v="SYNCA"/>
    <s v="JEGSY 105ALL8"/>
    <s v="SN18830"/>
    <n v="2"/>
    <n v="6.3"/>
    <n v="10.5"/>
    <n v="0.8"/>
    <n v="50"/>
    <n v="750"/>
    <n v="128"/>
    <n v="129"/>
    <n v="8"/>
    <n v="96"/>
    <n v="31"/>
    <n v="1005"/>
    <n v="41"/>
    <s v="-"/>
    <x v="1"/>
    <x v="1"/>
    <m/>
    <x v="0"/>
    <m/>
    <n v="1470"/>
  </r>
  <r>
    <s v="SN19179"/>
    <d v="2021-02-08T00:00:00"/>
    <s v="ALTERNATEUR AP76B4"/>
    <s v="M10"/>
    <s v="YANGJIANG"/>
    <s v="YANGJIANG"/>
    <s v="SYNCA"/>
    <s v="ALTERNATEUR AP 76  B4"/>
    <s v="EI1502"/>
    <n v="1"/>
    <n v="1"/>
    <n v="2"/>
    <n v="1"/>
    <n v="50"/>
    <n v="1500"/>
    <n v="52"/>
    <n v="35"/>
    <n v="4"/>
    <n v="60"/>
    <n v="0"/>
    <n v="1001"/>
    <n v="23"/>
    <s v="-"/>
    <x v="1"/>
    <x v="2"/>
    <m/>
    <x v="0"/>
    <m/>
    <n v="72.94999999999999"/>
  </r>
  <r>
    <s v="SN21287"/>
    <d v="2024-12-20T00:00:00"/>
    <s v="EDG EPR2 ABC"/>
    <s v="M10"/>
    <s v="ABC"/>
    <s v="EDF"/>
    <s v="SYNCA"/>
    <s v="JEGSY118AXL8"/>
    <s v="SN18989"/>
    <n v="25"/>
    <n v="10"/>
    <n v="10"/>
    <n v="0.8"/>
    <n v="50"/>
    <n v="750"/>
    <n v="139"/>
    <n v="144"/>
    <n v="8"/>
    <n v="96"/>
    <s v="0A1"/>
    <n v="1001"/>
    <n v="24"/>
    <s v="-"/>
    <x v="1"/>
    <x v="1"/>
    <m/>
    <x v="0"/>
    <m/>
    <s v=""/>
  </r>
  <r>
    <s v="X15181"/>
    <d v="2010-03-19T00:00:00"/>
    <s v="EDG EPR FINLANDE"/>
    <s v="M10"/>
    <s v="ALSTOM"/>
    <s v="TVO"/>
    <s v="SYNCA"/>
    <s v="SATL 115-126-6"/>
    <s v="BERAUBA"/>
    <n v="1"/>
    <n v="5"/>
    <n v="10"/>
    <n v="0.8"/>
    <n v="50"/>
    <n v="1000"/>
    <n v="115"/>
    <n v="126"/>
    <n v="6"/>
    <n v="90"/>
    <n v="1"/>
    <n v="1101"/>
    <n v="44"/>
    <s v="-"/>
    <x v="1"/>
    <x v="2"/>
    <m/>
    <x v="1"/>
    <m/>
    <n v="173.5"/>
  </r>
  <r>
    <s v="X16689"/>
    <d v="2014-07-22T00:00:00"/>
    <s v="CEGELEC CASTIGNEAU"/>
    <s v="M10"/>
    <s v="CEGELEC TOULON"/>
    <s v="CEGELEC TOULON"/>
    <s v="SYNCA"/>
    <s v="Etude groupe convertion fréquentiel"/>
    <m/>
    <n v="1"/>
    <n v="5"/>
    <n v="6"/>
    <n v="0.8"/>
    <n v="60"/>
    <n v="600"/>
    <n v="250"/>
    <n v="250"/>
    <n v="12"/>
    <n v="72"/>
    <n v="0"/>
    <n v="1002"/>
    <n v="44"/>
    <s v="-"/>
    <x v="1"/>
    <x v="2"/>
    <m/>
    <x v="1"/>
    <m/>
    <n v="4.5"/>
  </r>
  <r>
    <s v="X16861"/>
    <d v="2015-02-17T00:00:00"/>
    <s v="EPR UK ECI WEIR SEC"/>
    <s v="M10"/>
    <s v="WEIR GROUP"/>
    <s v="EPR UK"/>
    <s v="ASYN"/>
    <s v="Etude JEMAC560TM8_10_50"/>
    <m/>
    <n v="1"/>
    <n v="0.93"/>
    <n v="10"/>
    <n v="0.85"/>
    <n v="50"/>
    <n v="750"/>
    <n v="73"/>
    <n v="74"/>
    <n v="8"/>
    <n v="96"/>
    <s v="6A1A1"/>
    <n v="3011"/>
    <n v="55"/>
    <s v="N"/>
    <x v="0"/>
    <x v="0"/>
    <m/>
    <x v="1"/>
    <m/>
    <n v="1355.2"/>
  </r>
  <r>
    <s v="X16936"/>
    <d v="2015-04-07T00:00:00"/>
    <s v="U3 FLOWSERVE"/>
    <s v="M10"/>
    <s v="FLOWSERVE"/>
    <s v="EDF"/>
    <s v="ASYN"/>
    <s v="JEMAC4-6.6-50"/>
    <m/>
    <n v="1"/>
    <n v="0.375"/>
    <n v="6.6"/>
    <n v="0.85"/>
    <n v="50"/>
    <n v="1500"/>
    <n v="40"/>
    <n v="40"/>
    <n v="4"/>
    <n v="48"/>
    <s v="6A1A1"/>
    <n v="3011"/>
    <n v="54"/>
    <s v="-"/>
    <x v="0"/>
    <x v="0"/>
    <m/>
    <x v="1"/>
    <m/>
    <n v="211.45"/>
  </r>
  <r>
    <s v="X16950"/>
    <d v="2015-05-07T00:00:00"/>
    <s v="U3 SPX CU"/>
    <s v="M10"/>
    <s v="SPX CU ANNECY"/>
    <s v="EDF"/>
    <s v="ASYN"/>
    <s v="JEMAC2-6.6-50"/>
    <m/>
    <n v="1"/>
    <n v="0.44"/>
    <n v="6.6"/>
    <n v="0.85"/>
    <n v="50"/>
    <n v="3000"/>
    <n v="41"/>
    <n v="30"/>
    <n v="2"/>
    <n v="48"/>
    <s v="6A1A1"/>
    <n v="3011"/>
    <n v="54"/>
    <s v="-"/>
    <x v="0"/>
    <x v="0"/>
    <m/>
    <x v="1"/>
    <m/>
    <n v="351.6"/>
  </r>
  <r>
    <s v="X16963"/>
    <d v="2015-05-07T00:00:00"/>
    <s v="U3 SULZER"/>
    <s v="M10"/>
    <s v="SULZER"/>
    <s v="EDF"/>
    <s v="ASYN"/>
    <s v="JEMAC4-6.6-50"/>
    <m/>
    <n v="1"/>
    <n v="0.33"/>
    <n v="6.6"/>
    <n v="0.85"/>
    <n v="50"/>
    <n v="1500"/>
    <n v="47"/>
    <n v="35"/>
    <n v="4"/>
    <n v="48"/>
    <s v="6A1A1"/>
    <n v="3011"/>
    <n v="54"/>
    <s v="-"/>
    <x v="0"/>
    <x v="0"/>
    <m/>
    <x v="1"/>
    <m/>
    <n v="477.9"/>
  </r>
  <r>
    <s v="X17332"/>
    <d v="2016-07-12T00:00:00"/>
    <s v="SABIC"/>
    <s v="M10"/>
    <s v="DSM"/>
    <s v="SABIC"/>
    <s v="SYNCM"/>
    <s v="SAT 383.8/63/32"/>
    <m/>
    <n v="1"/>
    <n v="13"/>
    <n v="10"/>
    <n v="1"/>
    <n v="50"/>
    <n v="187"/>
    <n v="38"/>
    <n v="63"/>
    <n v="32"/>
    <n v="324"/>
    <s v="W37A81"/>
    <n v="7125"/>
    <n v="55"/>
    <s v="-"/>
    <x v="1"/>
    <x v="2"/>
    <m/>
    <x v="1"/>
    <m/>
    <n v="1100.7"/>
  </r>
  <r>
    <s v="X17500"/>
    <d v="2016-11-09T00:00:00"/>
    <s v="MOTEUR AAD  EPR UK"/>
    <s v="M10"/>
    <s v="SPXFLOW    GLASGOW"/>
    <s v="EPR  HINKLEY"/>
    <s v="ASYN"/>
    <s v="JEMAC560RM2_10_50"/>
    <m/>
    <n v="1"/>
    <n v="1"/>
    <n v="10"/>
    <n v="1"/>
    <n v="50"/>
    <n v="3000"/>
    <n v="53"/>
    <n v="69"/>
    <n v="2"/>
    <n v="54"/>
    <s v="IC8A1W7"/>
    <n v="1001"/>
    <n v="55"/>
    <s v="-"/>
    <x v="0"/>
    <x v="0"/>
    <m/>
    <x v="1"/>
    <m/>
    <n v="402.7"/>
  </r>
  <r>
    <s v="X17620"/>
    <d v="2017-04-11T00:00:00"/>
    <s v="CPR 1000"/>
    <s v="M10"/>
    <s v="AREVA DONGFANG"/>
    <s v="DONGFANG DEYANG CHINE"/>
    <s v="ASYN"/>
    <s v="PNCY 164 90 4"/>
    <s v="56X.EI1505"/>
    <n v="2"/>
    <n v="6"/>
    <n v="6"/>
    <n v="1"/>
    <n v="50"/>
    <n v="1500"/>
    <n v="112"/>
    <n v="90"/>
    <n v="4"/>
    <n v="120"/>
    <n v="1"/>
    <n v="3011"/>
    <n v="23"/>
    <s v="-"/>
    <x v="0"/>
    <x v="0"/>
    <m/>
    <x v="1"/>
    <m/>
    <n v="294.75"/>
  </r>
  <r>
    <s v="X19027"/>
    <d v="2020-09-08T00:00:00"/>
    <s v="VALORSUL"/>
    <s v="M10"/>
    <s v="VALORSUL"/>
    <s v="VALORSULSAO JOAO DE TALHA"/>
    <s v="SYNCA"/>
    <s v="84-270-2 sur bati en palier pied"/>
    <s v="5i0222"/>
    <n v="1"/>
    <n v="63.198"/>
    <n v="10"/>
    <n v="0.8"/>
    <n v="50"/>
    <n v="3000"/>
    <n v="84"/>
    <n v="270"/>
    <n v="2"/>
    <n v="48"/>
    <s v="8A1W7"/>
    <n v="7215"/>
    <n v="54"/>
    <s v="-"/>
    <x v="1"/>
    <x v="2"/>
    <m/>
    <x v="1"/>
    <m/>
    <n v="1343.87"/>
  </r>
  <r>
    <s v="XN17755"/>
    <d v="2017-07-18T00:00:00"/>
    <s v="RCP SODIUM  TERRA POWER"/>
    <s v="M10"/>
    <s v="SPX ANNECY"/>
    <s v="TERRA POWER"/>
    <s v="ASYN"/>
    <s v="JEMAC900RS8-6.6-50"/>
    <m/>
    <n v="1"/>
    <n v="7.5"/>
    <n v="6.6"/>
    <n v="0.87"/>
    <n v="50"/>
    <n v="750"/>
    <n v="121"/>
    <n v="119"/>
    <n v="8"/>
    <n v="120"/>
    <s v="8A1W7"/>
    <n v="3011"/>
    <n v="54"/>
    <s v="N"/>
    <x v="0"/>
    <x v="0"/>
    <m/>
    <x v="0"/>
    <m/>
    <n v="160"/>
  </r>
  <r>
    <s v="XN17944"/>
    <d v="2018-02-01T00:00:00"/>
    <s v="GMPP EPR UK"/>
    <s v="M10"/>
    <s v="FRAMATOME"/>
    <s v="CENTRAL NUCLÃ‰AIRE HINKLEY"/>
    <s v="ASYN"/>
    <s v="PNCY 164-140-4"/>
    <s v="56X.EI1393"/>
    <n v="9"/>
    <n v="8"/>
    <n v="10"/>
    <n v="1"/>
    <n v="50"/>
    <n v="1500"/>
    <n v="112"/>
    <n v="140"/>
    <n v="4"/>
    <n v="120"/>
    <n v="1"/>
    <n v="3011"/>
    <n v="12"/>
    <s v="-"/>
    <x v="0"/>
    <x v="0"/>
    <m/>
    <x v="0"/>
    <s v=""/>
    <n v="4799.83"/>
  </r>
  <r>
    <s v="XN18482"/>
    <d v="2019-03-14T00:00:00"/>
    <s v="GMPP ANO"/>
    <s v="M10"/>
    <s v="FRAMATOME JT"/>
    <s v="FRAMATOME  INC"/>
    <s v="ASYN"/>
    <s v="RNCY 164-112-6"/>
    <s v="56X.EI1392"/>
    <n v="1"/>
    <n v="6.7"/>
    <n v="6.6"/>
    <n v="0.92"/>
    <n v="60"/>
    <n v="1200"/>
    <n v="123"/>
    <n v="112"/>
    <n v="6"/>
    <n v="108"/>
    <s v="8A1W7"/>
    <n v="3011"/>
    <n v="44"/>
    <s v="-"/>
    <x v="0"/>
    <x v="0"/>
    <m/>
    <x v="0"/>
    <s v=""/>
    <n v="1292.4"/>
  </r>
  <r>
    <s v="A15427"/>
    <d v="2010-11-25T00:00:00"/>
    <s v="NAMA_CHEMICALS"/>
    <s v="L03"/>
    <s v="JEUMONT ELECTRIC INDIA"/>
    <s v="FLOWSERVE"/>
    <s v="ASYN"/>
    <m/>
    <m/>
    <n v="3"/>
    <n v="1"/>
    <n v="4"/>
    <n v="0.8100000000000001"/>
    <n v="60"/>
    <n v="900"/>
    <n v="64"/>
    <n v="114"/>
    <n v="8"/>
    <n v="96"/>
    <s v="6A1A1"/>
    <n v="3011"/>
    <n v="55"/>
    <s v="-"/>
    <x v="0"/>
    <x v="2"/>
    <m/>
    <x v="1"/>
    <s v=""/>
    <n v="596.5"/>
  </r>
  <r>
    <s v="A15427"/>
    <d v="2010-11-25T00:00:00"/>
    <s v="NAMA_CHEMICALS"/>
    <s v="L02"/>
    <s v="JEUMONT ELECTRIC INDIA"/>
    <s v="NAMA_CHEMICALS"/>
    <s v="ASYN"/>
    <m/>
    <m/>
    <n v="3"/>
    <n v="1"/>
    <n v="4"/>
    <n v="0.78"/>
    <n v="60"/>
    <n v="720"/>
    <n v="65"/>
    <n v="79"/>
    <n v="10"/>
    <n v="120"/>
    <s v="6A1A1"/>
    <n v="3011"/>
    <n v="55"/>
    <s v="-"/>
    <x v="0"/>
    <x v="2"/>
    <m/>
    <x v="1"/>
    <s v=""/>
    <n v="596.5"/>
  </r>
  <r>
    <s v="A15427"/>
    <d v="2010-11-24T00:00:00"/>
    <s v="NAMA CHEMICALS H355 4P"/>
    <s v="L01"/>
    <s v="FLOWSERVE"/>
    <s v="NAMA"/>
    <s v="ASYN"/>
    <s v="JEMAC355TS4_4_60"/>
    <m/>
    <n v="3"/>
    <n v="0.315"/>
    <n v="4"/>
    <n v="0.88"/>
    <n v="60"/>
    <n v="1800"/>
    <n v="40"/>
    <n v="46"/>
    <n v="4"/>
    <n v="48"/>
    <s v="6A1A1"/>
    <n v="1001"/>
    <n v="55"/>
    <s v="-"/>
    <x v="0"/>
    <x v="0"/>
    <m/>
    <x v="1"/>
    <s v=""/>
    <n v="596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B27" firstHeaderRow="1" firstDataRow="1" firstDataCol="1"/>
  <pivotFields count="29"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axis="axisRow" showAll="0">
      <items count="7">
        <item x="2"/>
        <item x="4"/>
        <item x="5"/>
        <item x="1"/>
        <item x="3"/>
        <item x="0"/>
        <item t="default"/>
      </items>
    </pivotField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3">
    <field x="26"/>
    <field x="23"/>
    <field x="24"/>
  </rowFields>
  <rowItems count="24">
    <i>
      <x/>
    </i>
    <i r="1">
      <x/>
    </i>
    <i r="2">
      <x/>
    </i>
    <i r="1">
      <x v="1"/>
    </i>
    <i r="2">
      <x/>
    </i>
    <i r="2">
      <x v="3"/>
    </i>
    <i>
      <x v="1"/>
    </i>
    <i r="1">
      <x/>
    </i>
    <i r="2">
      <x/>
    </i>
    <i r="2">
      <x v="4"/>
    </i>
    <i r="2">
      <x v="5"/>
    </i>
    <i r="1">
      <x v="1"/>
    </i>
    <i r="2">
      <x/>
    </i>
    <i r="2">
      <x v="1"/>
    </i>
    <i r="2">
      <x v="2"/>
    </i>
    <i r="2">
      <x v="3"/>
    </i>
    <i>
      <x v="2"/>
    </i>
    <i r="1">
      <x/>
    </i>
    <i r="2">
      <x/>
    </i>
    <i r="2">
      <x v="5"/>
    </i>
    <i r="1">
      <x v="1"/>
    </i>
    <i r="2">
      <x/>
    </i>
    <i r="2">
      <x v="3"/>
    </i>
    <i t="grand">
      <x/>
    </i>
  </rowItems>
  <colItems count="1">
    <i/>
  </colItems>
  <dataFields count="1">
    <dataField name="Nombre de PROJET" fld="2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AK823"/>
  <sheetViews>
    <sheetView topLeftCell="J1" workbookViewId="0">
      <selection activeCell="T2" sqref="T2"/>
    </sheetView>
  </sheetViews>
  <sheetFormatPr baseColWidth="10" defaultRowHeight="15" x14ac:dyDescent="0.25"/>
  <cols>
    <col min="1" max="1" width="8.7109375" bestFit="1" customWidth="1"/>
    <col min="2" max="2" width="13.140625" bestFit="1" customWidth="1"/>
    <col min="3" max="3" width="13.7109375" bestFit="1" customWidth="1"/>
    <col min="4" max="4" width="15.42578125" bestFit="1" customWidth="1"/>
    <col min="5" max="5" width="11.28515625" bestFit="1" customWidth="1"/>
    <col min="6" max="6" width="13.5703125" bestFit="1" customWidth="1"/>
    <col min="7" max="7" width="9" bestFit="1" customWidth="1"/>
    <col min="8" max="8" width="11.85546875" bestFit="1" customWidth="1"/>
    <col min="9" max="9" width="14.85546875" bestFit="1" customWidth="1"/>
    <col min="13" max="13" width="15.5703125" bestFit="1" customWidth="1"/>
    <col min="14" max="14" width="28.85546875" customWidth="1"/>
    <col min="15" max="15" width="16.140625" bestFit="1" customWidth="1"/>
    <col min="16" max="16" width="16.140625" customWidth="1"/>
    <col min="17" max="17" width="24" customWidth="1"/>
    <col min="18" max="18" width="36.7109375" customWidth="1"/>
    <col min="34" max="34" width="13.42578125" bestFit="1" customWidth="1"/>
  </cols>
  <sheetData>
    <row r="1" spans="1:37" x14ac:dyDescent="0.25">
      <c r="A1" s="17" t="s">
        <v>1329</v>
      </c>
      <c r="B1" s="17" t="s">
        <v>1330</v>
      </c>
      <c r="C1" s="17" t="s">
        <v>1331</v>
      </c>
      <c r="D1" s="17" t="s">
        <v>1332</v>
      </c>
      <c r="E1" s="17" t="s">
        <v>1333</v>
      </c>
      <c r="F1" s="17" t="s">
        <v>1334</v>
      </c>
      <c r="G1" s="17" t="s">
        <v>1335</v>
      </c>
      <c r="H1" s="17" t="s">
        <v>1336</v>
      </c>
      <c r="I1" s="17" t="s">
        <v>1337</v>
      </c>
      <c r="L1" s="12" t="s">
        <v>1338</v>
      </c>
      <c r="M1" s="14" t="s">
        <v>1330</v>
      </c>
      <c r="N1" s="14" t="s">
        <v>1331</v>
      </c>
      <c r="O1" s="14" t="s">
        <v>1332</v>
      </c>
      <c r="P1" s="14" t="s">
        <v>1333</v>
      </c>
      <c r="Q1" s="14" t="s">
        <v>1334</v>
      </c>
      <c r="R1" s="14" t="s">
        <v>1335</v>
      </c>
      <c r="S1" s="14" t="s">
        <v>1336</v>
      </c>
      <c r="T1" s="13" t="s">
        <v>1339</v>
      </c>
    </row>
    <row r="2" spans="1:37" x14ac:dyDescent="0.25">
      <c r="A2" s="10" t="s">
        <v>1340</v>
      </c>
      <c r="B2">
        <v>546.25</v>
      </c>
      <c r="C2">
        <v>13430.73</v>
      </c>
      <c r="E2">
        <v>142.41</v>
      </c>
      <c r="F2">
        <v>15571.38</v>
      </c>
      <c r="G2">
        <v>634.80000000000007</v>
      </c>
      <c r="I2">
        <v>30325.57</v>
      </c>
      <c r="L2" s="1" t="s">
        <v>1080</v>
      </c>
      <c r="M2" s="11">
        <f t="array" ref="M2:T2">_xlfn._xlws.FILTER(B2:I824, (A2:A824=L2), "")</f>
        <v>1173.5999999999999</v>
      </c>
      <c r="N2" s="11">
        <v>3915.83</v>
      </c>
      <c r="O2" s="11">
        <v>0</v>
      </c>
      <c r="P2" s="11">
        <v>0</v>
      </c>
      <c r="Q2" s="11">
        <v>0</v>
      </c>
      <c r="R2" s="11">
        <v>150.4</v>
      </c>
      <c r="S2" s="11">
        <v>0</v>
      </c>
      <c r="T2" s="11">
        <v>5239.83</v>
      </c>
    </row>
    <row r="3" spans="1:37" x14ac:dyDescent="0.25">
      <c r="A3" s="10" t="s">
        <v>1341</v>
      </c>
      <c r="B3">
        <v>1420.05</v>
      </c>
      <c r="C3">
        <v>8009.8999999999987</v>
      </c>
      <c r="D3">
        <v>23.1</v>
      </c>
      <c r="E3">
        <v>25.1</v>
      </c>
      <c r="F3">
        <v>14932.02</v>
      </c>
      <c r="G3">
        <v>346.65</v>
      </c>
      <c r="I3">
        <v>24756.82</v>
      </c>
      <c r="L3" s="3" t="str">
        <f>Machines!D1</f>
        <v>NUMERO</v>
      </c>
      <c r="M3" s="4" t="str">
        <f t="array" ref="M3:N3">Machines!B1:C1</f>
        <v>DATE</v>
      </c>
      <c r="N3" s="5" t="str">
        <v>PROJET</v>
      </c>
      <c r="O3" s="5" t="str">
        <f t="array" ref="O3:AK3">Machines!E1:AA1</f>
        <v>CLIENT</v>
      </c>
      <c r="P3" s="5" t="str">
        <v>CLIENT FINAL</v>
      </c>
      <c r="Q3" s="5" t="str">
        <v>DESCRIPTION</v>
      </c>
      <c r="R3" s="5" t="str">
        <v>REFERENCE</v>
      </c>
      <c r="S3" s="5" t="str">
        <v>NB MACHINES</v>
      </c>
      <c r="T3" s="9" t="str">
        <v>MW</v>
      </c>
      <c r="U3" s="5" t="str">
        <v>KV</v>
      </c>
      <c r="V3" s="5" t="str">
        <v>CPHI</v>
      </c>
      <c r="W3" s="5" t="str">
        <v>HZ</v>
      </c>
      <c r="X3" s="5" t="str">
        <v>TR/MIN</v>
      </c>
      <c r="Y3" s="5" t="str">
        <v>DAL</v>
      </c>
      <c r="Z3" s="5" t="str">
        <v>LFER</v>
      </c>
      <c r="AA3" s="5" t="str">
        <v>NB POLES</v>
      </c>
      <c r="AB3" s="5" t="str">
        <v>NB ENCOCHES</v>
      </c>
      <c r="AC3" s="5" t="str">
        <v>IC</v>
      </c>
      <c r="AD3" s="5" t="str">
        <v>IM</v>
      </c>
      <c r="AE3" s="5" t="str">
        <v>IP</v>
      </c>
      <c r="AF3" s="5" t="str">
        <v>EEX</v>
      </c>
      <c r="AG3" s="5" t="str">
        <v>Type produit</v>
      </c>
      <c r="AH3" s="9" t="str">
        <v>Produit</v>
      </c>
      <c r="AI3" s="9" t="str">
        <v>Type affaire</v>
      </c>
      <c r="AJ3" s="9" t="str">
        <v>DAS</v>
      </c>
      <c r="AK3" s="9" t="str">
        <v>Secteur</v>
      </c>
    </row>
    <row r="4" spans="1:37" x14ac:dyDescent="0.25">
      <c r="A4" s="10" t="s">
        <v>1342</v>
      </c>
      <c r="B4">
        <v>530.95000000000005</v>
      </c>
      <c r="C4">
        <v>8352.6</v>
      </c>
      <c r="E4">
        <v>13.2</v>
      </c>
      <c r="F4">
        <v>6327.3500000000013</v>
      </c>
      <c r="G4">
        <v>168.65</v>
      </c>
      <c r="I4">
        <v>15392.75</v>
      </c>
      <c r="L4" t="str">
        <f t="array" ref="L4:L5">_xlfn._xlws.FILTER(Machines!D2:D357, (Machines!A2:A357=Projets!L2),"")</f>
        <v>M20</v>
      </c>
      <c r="M4" s="2">
        <f t="array" ref="M4:N5">_xlfn._xlws.FILTER(Machines!B2:C357, (Machines!A2:A357=Projets!L2),"")</f>
        <v>43252</v>
      </c>
      <c r="N4" t="str">
        <v>TENGIZ - SYNCHRONES</v>
      </c>
      <c r="O4" t="str">
        <f t="array" ref="O4:AK5">_xlfn._xlws.FILTER(Machines!E2:AA357, (Machines!A2:A357=Projets!L2),"")</f>
        <v>LFF</v>
      </c>
      <c r="P4" t="str">
        <v>TCO - TENGIZCHEVROIL</v>
      </c>
      <c r="Q4" t="str">
        <v>Moteur SAT 80.1/124/4</v>
      </c>
      <c r="R4" t="str">
        <v>S16187</v>
      </c>
      <c r="S4">
        <v>2</v>
      </c>
      <c r="T4">
        <v>5.4</v>
      </c>
      <c r="U4">
        <v>10</v>
      </c>
      <c r="V4">
        <v>0.78</v>
      </c>
      <c r="W4">
        <v>50</v>
      </c>
      <c r="X4">
        <v>1500</v>
      </c>
      <c r="Y4">
        <v>80</v>
      </c>
      <c r="Z4">
        <v>124</v>
      </c>
      <c r="AA4">
        <v>4</v>
      </c>
      <c r="AB4">
        <v>78</v>
      </c>
      <c r="AC4" t="str">
        <v>8A1W7</v>
      </c>
      <c r="AD4">
        <v>1003</v>
      </c>
      <c r="AE4">
        <v>54</v>
      </c>
      <c r="AF4" t="str">
        <v>P</v>
      </c>
      <c r="AG4" t="str">
        <v>SYNCH</v>
      </c>
      <c r="AH4">
        <v>0</v>
      </c>
      <c r="AI4">
        <v>0</v>
      </c>
      <c r="AJ4" t="str">
        <v>MS</v>
      </c>
      <c r="AK4">
        <v>0</v>
      </c>
    </row>
    <row r="5" spans="1:37" x14ac:dyDescent="0.25">
      <c r="A5" s="10" t="s">
        <v>777</v>
      </c>
      <c r="B5">
        <v>408.7</v>
      </c>
      <c r="C5">
        <v>11923.35</v>
      </c>
      <c r="E5">
        <v>629.29999999999995</v>
      </c>
      <c r="F5">
        <v>691.7</v>
      </c>
      <c r="G5">
        <v>1349.95</v>
      </c>
      <c r="I5">
        <v>15003</v>
      </c>
      <c r="L5" t="str">
        <v>M10</v>
      </c>
      <c r="M5" s="2">
        <v>43252</v>
      </c>
      <c r="N5" t="str">
        <v>TENGIZ - SYNCHRONES</v>
      </c>
      <c r="O5" t="str">
        <v>LFF</v>
      </c>
      <c r="P5" t="str">
        <v>TCO - TENGIZCHEVROIL</v>
      </c>
      <c r="Q5" t="str">
        <v>Moteur SAT80.1/124/4</v>
      </c>
      <c r="R5" t="str">
        <v>S16187</v>
      </c>
      <c r="S5">
        <v>1</v>
      </c>
      <c r="T5">
        <v>6.4</v>
      </c>
      <c r="U5">
        <v>10</v>
      </c>
      <c r="V5">
        <v>0.85</v>
      </c>
      <c r="W5">
        <v>50</v>
      </c>
      <c r="X5">
        <v>1500</v>
      </c>
      <c r="Y5">
        <v>80</v>
      </c>
      <c r="Z5">
        <v>124</v>
      </c>
      <c r="AA5">
        <v>4</v>
      </c>
      <c r="AB5">
        <v>78</v>
      </c>
      <c r="AC5" t="str">
        <v>8A1W7</v>
      </c>
      <c r="AD5">
        <v>1003</v>
      </c>
      <c r="AE5">
        <v>54</v>
      </c>
      <c r="AF5" t="str">
        <v>P</v>
      </c>
      <c r="AG5" t="str">
        <v>SYNCH</v>
      </c>
      <c r="AH5">
        <v>0</v>
      </c>
      <c r="AI5">
        <v>0</v>
      </c>
      <c r="AJ5" t="str">
        <v>MS</v>
      </c>
      <c r="AK5">
        <v>0</v>
      </c>
    </row>
    <row r="6" spans="1:37" x14ac:dyDescent="0.25">
      <c r="A6" s="10" t="s">
        <v>1343</v>
      </c>
      <c r="B6">
        <v>211.75</v>
      </c>
      <c r="C6">
        <v>1584.5</v>
      </c>
      <c r="E6">
        <v>172.25</v>
      </c>
      <c r="F6">
        <v>11284.695</v>
      </c>
      <c r="G6">
        <v>759.45</v>
      </c>
      <c r="I6">
        <v>14012.645</v>
      </c>
      <c r="M6" s="2"/>
    </row>
    <row r="7" spans="1:37" x14ac:dyDescent="0.25">
      <c r="A7" s="10" t="s">
        <v>1131</v>
      </c>
      <c r="B7">
        <v>626.9</v>
      </c>
      <c r="C7">
        <v>9151.5499999999993</v>
      </c>
      <c r="E7">
        <v>4.6500000000000004</v>
      </c>
      <c r="F7">
        <v>3.85</v>
      </c>
      <c r="G7">
        <v>1468.05</v>
      </c>
      <c r="I7">
        <v>11255</v>
      </c>
      <c r="M7" s="2"/>
    </row>
    <row r="8" spans="1:37" x14ac:dyDescent="0.25">
      <c r="A8" s="10" t="s">
        <v>1344</v>
      </c>
      <c r="B8">
        <v>679.6</v>
      </c>
      <c r="C8">
        <v>2616.4899999999998</v>
      </c>
      <c r="F8">
        <v>5151.3950000000004</v>
      </c>
      <c r="G8">
        <v>902.7</v>
      </c>
      <c r="I8">
        <v>9350.1849999999995</v>
      </c>
      <c r="M8" s="2"/>
    </row>
    <row r="9" spans="1:37" x14ac:dyDescent="0.25">
      <c r="A9" s="10" t="s">
        <v>1047</v>
      </c>
      <c r="B9">
        <v>1026.7</v>
      </c>
      <c r="C9">
        <v>6496.05</v>
      </c>
      <c r="E9">
        <v>20.25</v>
      </c>
      <c r="F9">
        <v>16.2</v>
      </c>
      <c r="G9">
        <v>286.35000000000002</v>
      </c>
      <c r="I9">
        <v>7845.55</v>
      </c>
    </row>
    <row r="10" spans="1:37" x14ac:dyDescent="0.25">
      <c r="A10" s="10" t="s">
        <v>1068</v>
      </c>
      <c r="B10">
        <v>470.75000000000011</v>
      </c>
      <c r="C10">
        <v>6542.45</v>
      </c>
      <c r="E10">
        <v>25.4</v>
      </c>
      <c r="F10">
        <v>7.7</v>
      </c>
      <c r="G10">
        <v>225.15</v>
      </c>
      <c r="I10">
        <v>7271.4499999999989</v>
      </c>
    </row>
    <row r="11" spans="1:37" x14ac:dyDescent="0.25">
      <c r="A11" s="10" t="s">
        <v>750</v>
      </c>
      <c r="B11">
        <v>2228.1999999999998</v>
      </c>
      <c r="C11">
        <v>2037.82</v>
      </c>
      <c r="E11">
        <v>45.35</v>
      </c>
      <c r="F11">
        <v>1159</v>
      </c>
      <c r="G11">
        <v>1290.3499999999999</v>
      </c>
      <c r="I11">
        <v>6760.7200000000012</v>
      </c>
    </row>
    <row r="12" spans="1:37" x14ac:dyDescent="0.25">
      <c r="A12" s="10" t="s">
        <v>807</v>
      </c>
      <c r="B12">
        <v>797.6</v>
      </c>
      <c r="C12">
        <v>1685.5</v>
      </c>
      <c r="F12">
        <v>3494.6</v>
      </c>
      <c r="G12">
        <v>117.9</v>
      </c>
      <c r="I12">
        <v>6095.5999999999995</v>
      </c>
    </row>
    <row r="13" spans="1:37" x14ac:dyDescent="0.25">
      <c r="A13" s="10" t="s">
        <v>697</v>
      </c>
      <c r="B13">
        <v>748.59999999999991</v>
      </c>
      <c r="C13">
        <v>4993.2499999999991</v>
      </c>
      <c r="G13">
        <v>12.5</v>
      </c>
      <c r="I13">
        <v>5754.3499999999995</v>
      </c>
    </row>
    <row r="14" spans="1:37" x14ac:dyDescent="0.25">
      <c r="A14" s="10" t="s">
        <v>1345</v>
      </c>
      <c r="B14">
        <v>182.3</v>
      </c>
      <c r="C14">
        <v>1982.34</v>
      </c>
      <c r="F14">
        <v>2921.75</v>
      </c>
      <c r="G14">
        <v>332.7</v>
      </c>
      <c r="I14">
        <v>5419.0899999999992</v>
      </c>
    </row>
    <row r="15" spans="1:37" x14ac:dyDescent="0.25">
      <c r="A15" s="10" t="s">
        <v>1346</v>
      </c>
      <c r="B15">
        <v>332.1</v>
      </c>
      <c r="C15">
        <v>4259.2999999999993</v>
      </c>
      <c r="F15">
        <v>22.1</v>
      </c>
      <c r="G15">
        <v>796.37999999999988</v>
      </c>
      <c r="I15">
        <v>5409.88</v>
      </c>
    </row>
    <row r="16" spans="1:37" x14ac:dyDescent="0.25">
      <c r="A16" s="10" t="s">
        <v>873</v>
      </c>
      <c r="B16">
        <v>1059.6500000000001</v>
      </c>
      <c r="C16">
        <v>167.9</v>
      </c>
      <c r="F16">
        <v>1843.8</v>
      </c>
      <c r="G16">
        <v>2304.6999999999998</v>
      </c>
      <c r="I16">
        <v>5376.05</v>
      </c>
    </row>
    <row r="17" spans="1:9" x14ac:dyDescent="0.25">
      <c r="A17" s="10" t="s">
        <v>746</v>
      </c>
      <c r="B17">
        <v>231.3</v>
      </c>
      <c r="C17">
        <v>4291.05</v>
      </c>
      <c r="E17">
        <v>90.4</v>
      </c>
      <c r="F17">
        <v>650.19999999999993</v>
      </c>
      <c r="G17">
        <v>81.349999999999994</v>
      </c>
      <c r="I17">
        <v>5344.3</v>
      </c>
    </row>
    <row r="18" spans="1:9" x14ac:dyDescent="0.25">
      <c r="A18" s="10" t="s">
        <v>1080</v>
      </c>
      <c r="B18">
        <v>1173.5999999999999</v>
      </c>
      <c r="C18">
        <v>3915.83</v>
      </c>
      <c r="G18">
        <v>150.4</v>
      </c>
      <c r="I18">
        <v>5239.83</v>
      </c>
    </row>
    <row r="19" spans="1:9" x14ac:dyDescent="0.25">
      <c r="A19" s="10" t="s">
        <v>893</v>
      </c>
      <c r="B19">
        <v>114.9</v>
      </c>
      <c r="C19">
        <v>3417.37</v>
      </c>
      <c r="F19">
        <v>1619.85</v>
      </c>
      <c r="G19">
        <v>55.05</v>
      </c>
      <c r="I19">
        <v>5207.170000000001</v>
      </c>
    </row>
    <row r="20" spans="1:9" x14ac:dyDescent="0.25">
      <c r="A20" s="10" t="s">
        <v>1347</v>
      </c>
      <c r="B20">
        <v>117.05</v>
      </c>
      <c r="C20">
        <v>2034.4</v>
      </c>
      <c r="E20">
        <v>27.4</v>
      </c>
      <c r="F20">
        <v>2775.6949999999988</v>
      </c>
      <c r="G20">
        <v>211.3</v>
      </c>
      <c r="I20">
        <v>5165.8450000000003</v>
      </c>
    </row>
    <row r="21" spans="1:9" x14ac:dyDescent="0.25">
      <c r="A21" s="10" t="s">
        <v>885</v>
      </c>
      <c r="B21">
        <v>15.2</v>
      </c>
      <c r="C21">
        <v>4673.1500000000005</v>
      </c>
      <c r="F21">
        <v>292.85000000000002</v>
      </c>
      <c r="G21">
        <v>109.95</v>
      </c>
      <c r="I21">
        <v>5091.1500000000005</v>
      </c>
    </row>
    <row r="22" spans="1:9" x14ac:dyDescent="0.25">
      <c r="A22" s="10" t="s">
        <v>1348</v>
      </c>
      <c r="B22">
        <v>77.850000000000009</v>
      </c>
      <c r="C22">
        <v>1233.78</v>
      </c>
      <c r="E22">
        <v>26.1</v>
      </c>
      <c r="F22">
        <v>3247.875</v>
      </c>
      <c r="G22">
        <v>242</v>
      </c>
      <c r="I22">
        <v>4827.6049999999996</v>
      </c>
    </row>
    <row r="23" spans="1:9" x14ac:dyDescent="0.25">
      <c r="A23" s="10" t="s">
        <v>705</v>
      </c>
      <c r="B23">
        <v>90.25</v>
      </c>
      <c r="C23">
        <v>1230.7</v>
      </c>
      <c r="E23">
        <v>478.25</v>
      </c>
      <c r="G23">
        <v>3000.63</v>
      </c>
      <c r="I23">
        <v>4799.83</v>
      </c>
    </row>
    <row r="24" spans="1:9" x14ac:dyDescent="0.25">
      <c r="A24" s="10" t="s">
        <v>853</v>
      </c>
      <c r="B24">
        <v>921.1</v>
      </c>
      <c r="C24">
        <v>1806.55</v>
      </c>
      <c r="E24">
        <v>4.2</v>
      </c>
      <c r="F24">
        <v>1406.55</v>
      </c>
      <c r="G24">
        <v>523.15000000000009</v>
      </c>
      <c r="I24">
        <v>4661.5499999999993</v>
      </c>
    </row>
    <row r="25" spans="1:9" x14ac:dyDescent="0.25">
      <c r="A25" s="10" t="s">
        <v>679</v>
      </c>
      <c r="C25">
        <v>3628</v>
      </c>
      <c r="E25">
        <v>148.44999999999999</v>
      </c>
      <c r="G25">
        <v>610.6</v>
      </c>
      <c r="I25">
        <v>4387.05</v>
      </c>
    </row>
    <row r="26" spans="1:9" x14ac:dyDescent="0.25">
      <c r="A26" s="10" t="s">
        <v>1150</v>
      </c>
      <c r="B26">
        <v>652.1</v>
      </c>
      <c r="C26">
        <v>3523.92</v>
      </c>
      <c r="G26">
        <v>111.7</v>
      </c>
      <c r="I26">
        <v>4287.72</v>
      </c>
    </row>
    <row r="27" spans="1:9" x14ac:dyDescent="0.25">
      <c r="A27" s="10" t="s">
        <v>1349</v>
      </c>
      <c r="C27">
        <v>4075.97</v>
      </c>
      <c r="G27">
        <v>31</v>
      </c>
      <c r="I27">
        <v>4106.97</v>
      </c>
    </row>
    <row r="28" spans="1:9" x14ac:dyDescent="0.25">
      <c r="A28" s="10" t="s">
        <v>672</v>
      </c>
      <c r="B28">
        <v>123.4</v>
      </c>
      <c r="C28">
        <v>3412.35</v>
      </c>
      <c r="E28">
        <v>155.25</v>
      </c>
      <c r="G28">
        <v>393.35</v>
      </c>
      <c r="I28">
        <v>4084.35</v>
      </c>
    </row>
    <row r="29" spans="1:9" x14ac:dyDescent="0.25">
      <c r="A29" s="10" t="s">
        <v>616</v>
      </c>
      <c r="B29">
        <v>84.35</v>
      </c>
      <c r="C29">
        <v>3031.15</v>
      </c>
      <c r="E29">
        <v>191.7</v>
      </c>
      <c r="F29">
        <v>152.85</v>
      </c>
      <c r="G29">
        <v>467.45</v>
      </c>
      <c r="I29">
        <v>3927.5</v>
      </c>
    </row>
    <row r="30" spans="1:9" x14ac:dyDescent="0.25">
      <c r="A30" s="10" t="s">
        <v>1350</v>
      </c>
      <c r="B30">
        <v>232.8</v>
      </c>
      <c r="C30">
        <v>3480.79</v>
      </c>
      <c r="G30">
        <v>204.5</v>
      </c>
      <c r="I30">
        <v>3918.09</v>
      </c>
    </row>
    <row r="31" spans="1:9" x14ac:dyDescent="0.25">
      <c r="A31" s="10" t="s">
        <v>1196</v>
      </c>
      <c r="B31">
        <v>41.4</v>
      </c>
      <c r="C31">
        <v>3714.15</v>
      </c>
      <c r="E31">
        <v>97.399999999999991</v>
      </c>
      <c r="G31">
        <v>13.4</v>
      </c>
      <c r="I31">
        <v>3866.35</v>
      </c>
    </row>
    <row r="32" spans="1:9" x14ac:dyDescent="0.25">
      <c r="A32" s="10" t="s">
        <v>1351</v>
      </c>
      <c r="B32">
        <v>480.75</v>
      </c>
      <c r="C32">
        <v>3117.95</v>
      </c>
      <c r="F32">
        <v>137.55000000000001</v>
      </c>
      <c r="G32">
        <v>76.400000000000006</v>
      </c>
      <c r="I32">
        <v>3812.650000000001</v>
      </c>
    </row>
    <row r="33" spans="1:9" x14ac:dyDescent="0.25">
      <c r="A33" s="10" t="s">
        <v>1027</v>
      </c>
      <c r="B33">
        <v>887.25</v>
      </c>
      <c r="C33">
        <v>2330.9499999999998</v>
      </c>
      <c r="F33">
        <v>185.15</v>
      </c>
      <c r="G33">
        <v>371.9</v>
      </c>
      <c r="I33">
        <v>3775.25</v>
      </c>
    </row>
    <row r="34" spans="1:9" x14ac:dyDescent="0.25">
      <c r="A34" s="10" t="s">
        <v>1352</v>
      </c>
      <c r="B34">
        <v>499.3</v>
      </c>
      <c r="C34">
        <v>2510.6</v>
      </c>
      <c r="F34">
        <v>37.200000000000003</v>
      </c>
      <c r="G34">
        <v>627.71999999999991</v>
      </c>
      <c r="I34">
        <v>3674.82</v>
      </c>
    </row>
    <row r="35" spans="1:9" x14ac:dyDescent="0.25">
      <c r="A35" s="10" t="s">
        <v>958</v>
      </c>
      <c r="B35">
        <v>1261.3499999999999</v>
      </c>
      <c r="C35">
        <v>1520.53</v>
      </c>
      <c r="F35">
        <v>414.9</v>
      </c>
      <c r="G35">
        <v>430.5</v>
      </c>
      <c r="I35">
        <v>3627.28</v>
      </c>
    </row>
    <row r="36" spans="1:9" x14ac:dyDescent="0.25">
      <c r="A36" s="10" t="s">
        <v>762</v>
      </c>
      <c r="B36">
        <v>203.15</v>
      </c>
      <c r="C36">
        <v>2777.599999999999</v>
      </c>
      <c r="F36">
        <v>572.09999999999991</v>
      </c>
      <c r="G36">
        <v>22.85</v>
      </c>
      <c r="I36">
        <v>3575.6999999999989</v>
      </c>
    </row>
    <row r="37" spans="1:9" x14ac:dyDescent="0.25">
      <c r="A37" s="10" t="s">
        <v>607</v>
      </c>
      <c r="B37">
        <v>135.19999999999999</v>
      </c>
      <c r="C37">
        <v>2923.35</v>
      </c>
      <c r="G37">
        <v>376.47</v>
      </c>
      <c r="I37">
        <v>3435.02</v>
      </c>
    </row>
    <row r="38" spans="1:9" x14ac:dyDescent="0.25">
      <c r="A38" s="10" t="s">
        <v>1353</v>
      </c>
      <c r="C38">
        <v>3154.61</v>
      </c>
      <c r="G38">
        <v>120.8</v>
      </c>
      <c r="I38">
        <v>3275.41</v>
      </c>
    </row>
    <row r="39" spans="1:9" x14ac:dyDescent="0.25">
      <c r="A39" s="10" t="s">
        <v>625</v>
      </c>
      <c r="B39">
        <v>33.65</v>
      </c>
      <c r="C39">
        <v>2891.2499999999991</v>
      </c>
      <c r="E39">
        <v>13.55</v>
      </c>
      <c r="F39">
        <v>197.5</v>
      </c>
      <c r="G39">
        <v>91.25</v>
      </c>
      <c r="I39">
        <v>3227.1999999999989</v>
      </c>
    </row>
    <row r="40" spans="1:9" x14ac:dyDescent="0.25">
      <c r="A40" s="10" t="s">
        <v>1354</v>
      </c>
      <c r="B40">
        <v>1.7</v>
      </c>
      <c r="C40">
        <v>34.5</v>
      </c>
      <c r="F40">
        <v>3153.25</v>
      </c>
      <c r="I40">
        <v>3189.45</v>
      </c>
    </row>
    <row r="41" spans="1:9" x14ac:dyDescent="0.25">
      <c r="A41" s="10" t="s">
        <v>1355</v>
      </c>
      <c r="C41">
        <v>2167.96</v>
      </c>
      <c r="G41">
        <v>999.63</v>
      </c>
      <c r="I41">
        <v>3167.59</v>
      </c>
    </row>
    <row r="42" spans="1:9" x14ac:dyDescent="0.25">
      <c r="A42" s="10" t="s">
        <v>1249</v>
      </c>
      <c r="B42">
        <v>371.25</v>
      </c>
      <c r="C42">
        <v>2082.3000000000002</v>
      </c>
      <c r="E42">
        <v>8.6999999999999993</v>
      </c>
      <c r="F42">
        <v>463.05</v>
      </c>
      <c r="G42">
        <v>218.68</v>
      </c>
      <c r="I42">
        <v>3143.9799999999991</v>
      </c>
    </row>
    <row r="43" spans="1:9" x14ac:dyDescent="0.25">
      <c r="A43" s="10" t="s">
        <v>1356</v>
      </c>
      <c r="B43">
        <v>850.80000000000007</v>
      </c>
      <c r="C43">
        <v>1465.6</v>
      </c>
      <c r="F43">
        <v>688.25000000000011</v>
      </c>
      <c r="G43">
        <v>138.30000000000001</v>
      </c>
      <c r="I43">
        <v>3142.95</v>
      </c>
    </row>
    <row r="44" spans="1:9" x14ac:dyDescent="0.25">
      <c r="A44" s="10" t="s">
        <v>1203</v>
      </c>
      <c r="B44">
        <v>434.9</v>
      </c>
      <c r="C44">
        <v>2662.97</v>
      </c>
      <c r="G44">
        <v>8</v>
      </c>
      <c r="I44">
        <v>3105.87</v>
      </c>
    </row>
    <row r="45" spans="1:9" x14ac:dyDescent="0.25">
      <c r="A45" s="10" t="s">
        <v>1357</v>
      </c>
      <c r="B45">
        <v>135.30000000000001</v>
      </c>
      <c r="C45">
        <v>1231.8499999999999</v>
      </c>
      <c r="E45">
        <v>280.8</v>
      </c>
      <c r="G45">
        <v>1429.13</v>
      </c>
      <c r="I45">
        <v>3077.08</v>
      </c>
    </row>
    <row r="46" spans="1:9" x14ac:dyDescent="0.25">
      <c r="A46" s="10" t="s">
        <v>1358</v>
      </c>
      <c r="B46">
        <v>71.400000000000006</v>
      </c>
      <c r="C46">
        <v>152.30000000000001</v>
      </c>
      <c r="E46">
        <v>42.35</v>
      </c>
      <c r="F46">
        <v>215.25</v>
      </c>
      <c r="G46">
        <v>2444.15</v>
      </c>
      <c r="I46">
        <v>2925.45</v>
      </c>
    </row>
    <row r="47" spans="1:9" x14ac:dyDescent="0.25">
      <c r="A47" s="10" t="s">
        <v>849</v>
      </c>
      <c r="B47">
        <v>281.10000000000002</v>
      </c>
      <c r="C47">
        <v>1096.0899999999999</v>
      </c>
      <c r="F47">
        <v>431.44999999999987</v>
      </c>
      <c r="G47">
        <v>1061.1500000000001</v>
      </c>
      <c r="I47">
        <v>2869.79</v>
      </c>
    </row>
    <row r="48" spans="1:9" x14ac:dyDescent="0.25">
      <c r="A48" s="10" t="s">
        <v>1359</v>
      </c>
      <c r="B48">
        <v>428.6</v>
      </c>
      <c r="C48">
        <v>942.79</v>
      </c>
      <c r="F48">
        <v>1486.25</v>
      </c>
      <c r="I48">
        <v>2857.639999999999</v>
      </c>
    </row>
    <row r="49" spans="1:9" x14ac:dyDescent="0.25">
      <c r="A49" s="10" t="s">
        <v>1360</v>
      </c>
      <c r="B49">
        <v>210.75</v>
      </c>
      <c r="C49">
        <v>957.95</v>
      </c>
      <c r="F49">
        <v>1650.1</v>
      </c>
      <c r="G49">
        <v>18.3</v>
      </c>
      <c r="I49">
        <v>2837.1</v>
      </c>
    </row>
    <row r="50" spans="1:9" x14ac:dyDescent="0.25">
      <c r="A50" s="10" t="s">
        <v>827</v>
      </c>
      <c r="B50">
        <v>2</v>
      </c>
      <c r="C50">
        <v>2438.6999999999998</v>
      </c>
      <c r="E50">
        <v>171.7</v>
      </c>
      <c r="F50">
        <v>139.9</v>
      </c>
      <c r="G50">
        <v>33.299999999999997</v>
      </c>
      <c r="I50">
        <v>2785.6</v>
      </c>
    </row>
    <row r="51" spans="1:9" x14ac:dyDescent="0.25">
      <c r="A51" s="10" t="s">
        <v>1361</v>
      </c>
      <c r="B51">
        <v>149.6</v>
      </c>
      <c r="C51">
        <v>1111</v>
      </c>
      <c r="F51">
        <v>1347.15</v>
      </c>
      <c r="I51">
        <v>2607.75</v>
      </c>
    </row>
    <row r="52" spans="1:9" x14ac:dyDescent="0.25">
      <c r="A52" s="10" t="s">
        <v>1186</v>
      </c>
      <c r="B52">
        <v>282.99999999999989</v>
      </c>
      <c r="C52">
        <v>2190.2199999999998</v>
      </c>
      <c r="G52">
        <v>116.95</v>
      </c>
      <c r="I52">
        <v>2590.17</v>
      </c>
    </row>
    <row r="53" spans="1:9" x14ac:dyDescent="0.25">
      <c r="A53" s="10" t="s">
        <v>802</v>
      </c>
      <c r="B53">
        <v>111.3</v>
      </c>
      <c r="C53">
        <v>2053.5700000000002</v>
      </c>
      <c r="E53">
        <v>138.9</v>
      </c>
      <c r="F53">
        <v>212.5</v>
      </c>
      <c r="G53">
        <v>17.55</v>
      </c>
      <c r="I53">
        <v>2533.8200000000002</v>
      </c>
    </row>
    <row r="54" spans="1:9" x14ac:dyDescent="0.25">
      <c r="A54" s="10" t="s">
        <v>1126</v>
      </c>
      <c r="B54">
        <v>625.53</v>
      </c>
      <c r="C54">
        <v>1819.45</v>
      </c>
      <c r="G54">
        <v>52.45</v>
      </c>
      <c r="I54">
        <v>2497.4299999999998</v>
      </c>
    </row>
    <row r="55" spans="1:9" x14ac:dyDescent="0.25">
      <c r="A55" s="10" t="s">
        <v>1362</v>
      </c>
      <c r="B55">
        <v>166.1</v>
      </c>
      <c r="C55">
        <v>1862.95</v>
      </c>
      <c r="E55">
        <v>56.400000000000013</v>
      </c>
      <c r="F55">
        <v>289.60000000000002</v>
      </c>
      <c r="G55">
        <v>39.799999999999997</v>
      </c>
      <c r="I55">
        <v>2414.85</v>
      </c>
    </row>
    <row r="56" spans="1:9" x14ac:dyDescent="0.25">
      <c r="A56" s="10" t="s">
        <v>868</v>
      </c>
      <c r="B56">
        <v>107.1</v>
      </c>
      <c r="C56">
        <v>1463.81</v>
      </c>
      <c r="F56">
        <v>808.53</v>
      </c>
      <c r="G56">
        <v>10.4</v>
      </c>
      <c r="I56">
        <v>2389.84</v>
      </c>
    </row>
    <row r="57" spans="1:9" x14ac:dyDescent="0.25">
      <c r="A57" s="10" t="s">
        <v>347</v>
      </c>
      <c r="B57">
        <v>64.349999999999994</v>
      </c>
      <c r="C57">
        <v>2217.5</v>
      </c>
      <c r="F57">
        <v>72.599999999999994</v>
      </c>
      <c r="G57">
        <v>7.85</v>
      </c>
      <c r="I57">
        <v>2362.3000000000002</v>
      </c>
    </row>
    <row r="58" spans="1:9" x14ac:dyDescent="0.25">
      <c r="A58" s="10" t="s">
        <v>1257</v>
      </c>
      <c r="B58">
        <v>238.8</v>
      </c>
      <c r="C58">
        <v>1254.05</v>
      </c>
      <c r="E58">
        <v>35.200000000000003</v>
      </c>
      <c r="F58">
        <v>366.6</v>
      </c>
      <c r="G58">
        <v>434.25</v>
      </c>
      <c r="I58">
        <v>2328.9</v>
      </c>
    </row>
    <row r="59" spans="1:9" x14ac:dyDescent="0.25">
      <c r="A59" s="10" t="s">
        <v>728</v>
      </c>
      <c r="B59">
        <v>234.2</v>
      </c>
      <c r="C59">
        <v>1799.1</v>
      </c>
      <c r="F59">
        <v>259.2</v>
      </c>
      <c r="I59">
        <v>2292.5</v>
      </c>
    </row>
    <row r="60" spans="1:9" x14ac:dyDescent="0.25">
      <c r="A60" s="10" t="s">
        <v>1363</v>
      </c>
      <c r="B60">
        <v>38.25</v>
      </c>
      <c r="C60">
        <v>760.40000000000009</v>
      </c>
      <c r="F60">
        <v>1452.4</v>
      </c>
      <c r="I60">
        <v>2251.0500000000002</v>
      </c>
    </row>
    <row r="61" spans="1:9" x14ac:dyDescent="0.25">
      <c r="A61" s="10" t="s">
        <v>656</v>
      </c>
      <c r="B61">
        <v>51</v>
      </c>
      <c r="C61">
        <v>1484.6</v>
      </c>
      <c r="E61">
        <v>345.15</v>
      </c>
      <c r="G61">
        <v>356.95</v>
      </c>
      <c r="I61">
        <v>2237.6999999999998</v>
      </c>
    </row>
    <row r="62" spans="1:9" x14ac:dyDescent="0.25">
      <c r="A62" s="10" t="s">
        <v>1117</v>
      </c>
      <c r="B62">
        <v>254.15</v>
      </c>
      <c r="C62">
        <v>1770.5</v>
      </c>
      <c r="E62">
        <v>54.100000000000009</v>
      </c>
      <c r="F62">
        <v>76</v>
      </c>
      <c r="G62">
        <v>30.6</v>
      </c>
      <c r="I62">
        <v>2185.35</v>
      </c>
    </row>
    <row r="63" spans="1:9" x14ac:dyDescent="0.25">
      <c r="A63" s="10" t="s">
        <v>1042</v>
      </c>
      <c r="B63">
        <v>77.349999999999994</v>
      </c>
      <c r="C63">
        <v>1258.3</v>
      </c>
      <c r="F63">
        <v>814.5</v>
      </c>
      <c r="I63">
        <v>2150.15</v>
      </c>
    </row>
    <row r="64" spans="1:9" x14ac:dyDescent="0.25">
      <c r="A64" s="10" t="s">
        <v>1364</v>
      </c>
      <c r="B64">
        <v>646</v>
      </c>
      <c r="C64">
        <v>1220.6500000000001</v>
      </c>
      <c r="F64">
        <v>279.10000000000002</v>
      </c>
      <c r="I64">
        <v>2145.75</v>
      </c>
    </row>
    <row r="65" spans="1:9" x14ac:dyDescent="0.25">
      <c r="A65" s="10" t="s">
        <v>790</v>
      </c>
      <c r="B65">
        <v>214.3</v>
      </c>
      <c r="C65">
        <v>1762.82</v>
      </c>
      <c r="E65">
        <v>48</v>
      </c>
      <c r="F65">
        <v>68.7</v>
      </c>
      <c r="G65">
        <v>24.45</v>
      </c>
      <c r="I65">
        <v>2118.27</v>
      </c>
    </row>
    <row r="66" spans="1:9" x14ac:dyDescent="0.25">
      <c r="A66" s="10" t="s">
        <v>1365</v>
      </c>
      <c r="B66">
        <v>106.85</v>
      </c>
      <c r="C66">
        <v>934.25000000000011</v>
      </c>
      <c r="E66">
        <v>39.200000000000003</v>
      </c>
      <c r="F66">
        <v>968.84</v>
      </c>
      <c r="G66">
        <v>39.450000000000003</v>
      </c>
      <c r="I66">
        <v>2088.59</v>
      </c>
    </row>
    <row r="67" spans="1:9" x14ac:dyDescent="0.25">
      <c r="A67" s="10" t="s">
        <v>770</v>
      </c>
      <c r="B67">
        <v>215.8</v>
      </c>
      <c r="C67">
        <v>1650.53</v>
      </c>
      <c r="F67">
        <v>177.55</v>
      </c>
      <c r="I67">
        <v>2043.88</v>
      </c>
    </row>
    <row r="68" spans="1:9" x14ac:dyDescent="0.25">
      <c r="A68" s="10" t="s">
        <v>1171</v>
      </c>
      <c r="B68">
        <v>137</v>
      </c>
      <c r="C68">
        <v>1517.8</v>
      </c>
      <c r="E68">
        <v>321.39999999999998</v>
      </c>
      <c r="G68">
        <v>51.05</v>
      </c>
      <c r="I68">
        <v>2027.25</v>
      </c>
    </row>
    <row r="69" spans="1:9" x14ac:dyDescent="0.25">
      <c r="A69" s="10" t="s">
        <v>1154</v>
      </c>
      <c r="B69">
        <v>236.95</v>
      </c>
      <c r="C69">
        <v>1659.1</v>
      </c>
      <c r="I69">
        <v>1896.05</v>
      </c>
    </row>
    <row r="70" spans="1:9" x14ac:dyDescent="0.25">
      <c r="A70" s="10" t="s">
        <v>1023</v>
      </c>
      <c r="B70">
        <v>12.55</v>
      </c>
      <c r="C70">
        <v>1000.59</v>
      </c>
      <c r="F70">
        <v>808.7</v>
      </c>
      <c r="G70">
        <v>68.7</v>
      </c>
      <c r="I70">
        <v>1890.54</v>
      </c>
    </row>
    <row r="71" spans="1:9" x14ac:dyDescent="0.25">
      <c r="A71" s="10" t="s">
        <v>471</v>
      </c>
      <c r="B71">
        <v>54.4</v>
      </c>
      <c r="C71">
        <v>1681.3</v>
      </c>
      <c r="E71">
        <v>51.8</v>
      </c>
      <c r="G71">
        <v>99.9</v>
      </c>
      <c r="I71">
        <v>1887.4</v>
      </c>
    </row>
    <row r="72" spans="1:9" x14ac:dyDescent="0.25">
      <c r="A72" s="10" t="s">
        <v>980</v>
      </c>
      <c r="B72">
        <v>10.1</v>
      </c>
      <c r="C72">
        <v>1757.02</v>
      </c>
      <c r="F72">
        <v>92.75</v>
      </c>
      <c r="G72">
        <v>21.6</v>
      </c>
      <c r="I72">
        <v>1881.47</v>
      </c>
    </row>
    <row r="73" spans="1:9" x14ac:dyDescent="0.25">
      <c r="A73" s="10" t="s">
        <v>372</v>
      </c>
      <c r="B73">
        <v>42.599999999999987</v>
      </c>
      <c r="C73">
        <v>1789.6</v>
      </c>
      <c r="E73">
        <v>9.1999999999999993</v>
      </c>
      <c r="G73">
        <v>30.65</v>
      </c>
      <c r="I73">
        <v>1872.05</v>
      </c>
    </row>
    <row r="74" spans="1:9" x14ac:dyDescent="0.25">
      <c r="A74" s="10" t="s">
        <v>547</v>
      </c>
      <c r="B74">
        <v>181.8</v>
      </c>
      <c r="C74">
        <v>1658.35</v>
      </c>
      <c r="E74">
        <v>9</v>
      </c>
      <c r="G74">
        <v>2</v>
      </c>
      <c r="I74">
        <v>1851.15</v>
      </c>
    </row>
    <row r="75" spans="1:9" x14ac:dyDescent="0.25">
      <c r="A75" s="10" t="s">
        <v>1366</v>
      </c>
      <c r="B75">
        <v>202.15</v>
      </c>
      <c r="C75">
        <v>1506.7</v>
      </c>
      <c r="F75">
        <v>129</v>
      </c>
      <c r="I75">
        <v>1837.85</v>
      </c>
    </row>
    <row r="76" spans="1:9" x14ac:dyDescent="0.25">
      <c r="A76" s="10" t="s">
        <v>639</v>
      </c>
      <c r="B76">
        <v>5.55</v>
      </c>
      <c r="C76">
        <v>1416.4</v>
      </c>
      <c r="E76">
        <v>20.100000000000001</v>
      </c>
      <c r="G76">
        <v>388.65</v>
      </c>
      <c r="I76">
        <v>1830.7</v>
      </c>
    </row>
    <row r="77" spans="1:9" x14ac:dyDescent="0.25">
      <c r="A77" s="10" t="s">
        <v>185</v>
      </c>
      <c r="B77">
        <v>109.3</v>
      </c>
      <c r="C77">
        <v>1549.9</v>
      </c>
      <c r="E77">
        <v>8</v>
      </c>
      <c r="F77">
        <v>38.200000000000003</v>
      </c>
      <c r="G77">
        <v>119.55</v>
      </c>
      <c r="I77">
        <v>1824.95</v>
      </c>
    </row>
    <row r="78" spans="1:9" x14ac:dyDescent="0.25">
      <c r="A78" s="10" t="s">
        <v>324</v>
      </c>
      <c r="B78">
        <v>62.65</v>
      </c>
      <c r="C78">
        <v>1627.65</v>
      </c>
      <c r="F78">
        <v>68.3</v>
      </c>
      <c r="G78">
        <v>50.8</v>
      </c>
      <c r="I78">
        <v>1809.4</v>
      </c>
    </row>
    <row r="79" spans="1:9" x14ac:dyDescent="0.25">
      <c r="A79" s="10" t="s">
        <v>991</v>
      </c>
      <c r="B79">
        <v>45.2</v>
      </c>
      <c r="C79">
        <v>1201.6099999999999</v>
      </c>
      <c r="E79">
        <v>37.86</v>
      </c>
      <c r="F79">
        <v>116.6</v>
      </c>
      <c r="G79">
        <v>343.85</v>
      </c>
      <c r="I79">
        <v>1745.12</v>
      </c>
    </row>
    <row r="80" spans="1:9" x14ac:dyDescent="0.25">
      <c r="A80" s="10" t="s">
        <v>177</v>
      </c>
      <c r="B80">
        <v>148.65</v>
      </c>
      <c r="C80">
        <v>1575.95</v>
      </c>
      <c r="G80">
        <v>12.55</v>
      </c>
      <c r="I80">
        <v>1737.15</v>
      </c>
    </row>
    <row r="81" spans="1:9" x14ac:dyDescent="0.25">
      <c r="A81" s="10" t="s">
        <v>1199</v>
      </c>
      <c r="B81">
        <v>59.1</v>
      </c>
      <c r="C81">
        <v>1488.15</v>
      </c>
      <c r="E81">
        <v>74.349999999999994</v>
      </c>
      <c r="F81">
        <v>28.2</v>
      </c>
      <c r="G81">
        <v>84.8</v>
      </c>
      <c r="I81">
        <v>1734.6</v>
      </c>
    </row>
    <row r="82" spans="1:9" x14ac:dyDescent="0.25">
      <c r="A82" s="10" t="s">
        <v>1367</v>
      </c>
      <c r="B82">
        <v>27</v>
      </c>
      <c r="C82">
        <v>1467.78</v>
      </c>
      <c r="E82">
        <v>8.6999999999999993</v>
      </c>
      <c r="G82">
        <v>230.95</v>
      </c>
      <c r="I82">
        <v>1734.43</v>
      </c>
    </row>
    <row r="83" spans="1:9" x14ac:dyDescent="0.25">
      <c r="A83" s="10" t="s">
        <v>1368</v>
      </c>
      <c r="C83">
        <v>282.14999999999998</v>
      </c>
      <c r="G83">
        <v>1445.65</v>
      </c>
      <c r="I83">
        <v>1727.8</v>
      </c>
    </row>
    <row r="84" spans="1:9" x14ac:dyDescent="0.25">
      <c r="A84" s="10" t="s">
        <v>1369</v>
      </c>
      <c r="B84">
        <v>366.9</v>
      </c>
      <c r="C84">
        <v>1117.3499999999999</v>
      </c>
      <c r="G84">
        <v>241.7</v>
      </c>
      <c r="I84">
        <v>1725.95</v>
      </c>
    </row>
    <row r="85" spans="1:9" x14ac:dyDescent="0.25">
      <c r="A85" s="10" t="s">
        <v>1370</v>
      </c>
      <c r="B85">
        <v>130.75</v>
      </c>
      <c r="C85">
        <v>561.30000000000007</v>
      </c>
      <c r="E85">
        <v>22.4</v>
      </c>
      <c r="F85">
        <v>899.09</v>
      </c>
      <c r="G85">
        <v>62.7</v>
      </c>
      <c r="I85">
        <v>1676.24</v>
      </c>
    </row>
    <row r="86" spans="1:9" x14ac:dyDescent="0.25">
      <c r="A86" s="10" t="s">
        <v>940</v>
      </c>
      <c r="B86">
        <v>765.05000000000007</v>
      </c>
      <c r="C86">
        <v>553.85</v>
      </c>
      <c r="F86">
        <v>253</v>
      </c>
      <c r="G86">
        <v>56.75</v>
      </c>
      <c r="I86">
        <v>1628.65</v>
      </c>
    </row>
    <row r="87" spans="1:9" x14ac:dyDescent="0.25">
      <c r="A87" s="10" t="s">
        <v>629</v>
      </c>
      <c r="B87">
        <v>26.3</v>
      </c>
      <c r="C87">
        <v>1256.3599999999999</v>
      </c>
      <c r="E87">
        <v>10.55</v>
      </c>
      <c r="F87">
        <v>17.7</v>
      </c>
      <c r="G87">
        <v>313.60000000000002</v>
      </c>
      <c r="I87">
        <v>1624.51</v>
      </c>
    </row>
    <row r="88" spans="1:9" x14ac:dyDescent="0.25">
      <c r="A88" s="10" t="s">
        <v>1008</v>
      </c>
      <c r="B88">
        <v>193.25</v>
      </c>
      <c r="C88">
        <v>1386.77</v>
      </c>
      <c r="F88">
        <v>12.4</v>
      </c>
      <c r="G88">
        <v>24.8</v>
      </c>
      <c r="I88">
        <v>1617.22</v>
      </c>
    </row>
    <row r="89" spans="1:9" x14ac:dyDescent="0.25">
      <c r="A89" s="10" t="s">
        <v>28</v>
      </c>
      <c r="B89">
        <v>215.05</v>
      </c>
      <c r="C89">
        <v>1377</v>
      </c>
      <c r="E89">
        <v>17.25</v>
      </c>
      <c r="G89">
        <v>7.7</v>
      </c>
      <c r="I89">
        <v>1617</v>
      </c>
    </row>
    <row r="90" spans="1:9" x14ac:dyDescent="0.25">
      <c r="A90" s="10" t="s">
        <v>949</v>
      </c>
      <c r="B90">
        <v>144.19999999999999</v>
      </c>
      <c r="C90">
        <v>238.63</v>
      </c>
      <c r="F90">
        <v>590.75</v>
      </c>
      <c r="G90">
        <v>641.85000000000014</v>
      </c>
      <c r="I90">
        <v>1615.43</v>
      </c>
    </row>
    <row r="91" spans="1:9" x14ac:dyDescent="0.25">
      <c r="A91" s="10" t="s">
        <v>1371</v>
      </c>
      <c r="B91">
        <v>40.15</v>
      </c>
      <c r="C91">
        <v>1418.3</v>
      </c>
      <c r="E91">
        <v>5</v>
      </c>
      <c r="F91">
        <v>98.6</v>
      </c>
      <c r="G91">
        <v>49.05</v>
      </c>
      <c r="I91">
        <v>1611.1</v>
      </c>
    </row>
    <row r="92" spans="1:9" x14ac:dyDescent="0.25">
      <c r="A92" s="10" t="s">
        <v>1190</v>
      </c>
      <c r="B92">
        <v>71.5</v>
      </c>
      <c r="C92">
        <v>1249.7</v>
      </c>
      <c r="E92">
        <v>199.7</v>
      </c>
      <c r="F92">
        <v>51.25</v>
      </c>
      <c r="G92">
        <v>25.9</v>
      </c>
      <c r="I92">
        <v>1598.05</v>
      </c>
    </row>
    <row r="93" spans="1:9" x14ac:dyDescent="0.25">
      <c r="A93" s="10" t="s">
        <v>500</v>
      </c>
      <c r="B93">
        <v>88.15</v>
      </c>
      <c r="C93">
        <v>1482.2</v>
      </c>
      <c r="E93">
        <v>6.85</v>
      </c>
      <c r="G93">
        <v>10.199999999999999</v>
      </c>
      <c r="I93">
        <v>1587.4</v>
      </c>
    </row>
    <row r="94" spans="1:9" x14ac:dyDescent="0.25">
      <c r="A94" s="10" t="s">
        <v>1372</v>
      </c>
      <c r="B94">
        <v>2</v>
      </c>
      <c r="C94">
        <v>1448.1</v>
      </c>
      <c r="F94">
        <v>115.8</v>
      </c>
      <c r="G94">
        <v>3</v>
      </c>
      <c r="I94">
        <v>1568.9</v>
      </c>
    </row>
    <row r="95" spans="1:9" x14ac:dyDescent="0.25">
      <c r="A95" s="10" t="s">
        <v>1373</v>
      </c>
      <c r="C95">
        <v>16.7</v>
      </c>
      <c r="F95">
        <v>1453.98</v>
      </c>
      <c r="G95">
        <v>74.850000000000009</v>
      </c>
      <c r="I95">
        <v>1545.53</v>
      </c>
    </row>
    <row r="96" spans="1:9" x14ac:dyDescent="0.25">
      <c r="A96" s="10" t="s">
        <v>1143</v>
      </c>
      <c r="B96">
        <v>263.8</v>
      </c>
      <c r="C96">
        <v>1270.9000000000001</v>
      </c>
      <c r="G96">
        <v>7.9</v>
      </c>
      <c r="I96">
        <v>1542.6</v>
      </c>
    </row>
    <row r="97" spans="1:9" x14ac:dyDescent="0.25">
      <c r="A97" s="10" t="s">
        <v>1183</v>
      </c>
      <c r="B97">
        <v>172.55</v>
      </c>
      <c r="C97">
        <v>1331.17</v>
      </c>
      <c r="G97">
        <v>21.2</v>
      </c>
      <c r="I97">
        <v>1524.92</v>
      </c>
    </row>
    <row r="98" spans="1:9" x14ac:dyDescent="0.25">
      <c r="A98" s="10" t="s">
        <v>1240</v>
      </c>
      <c r="B98">
        <v>109.4</v>
      </c>
      <c r="C98">
        <v>1075.3</v>
      </c>
      <c r="F98">
        <v>159.55000000000001</v>
      </c>
      <c r="G98">
        <v>171.8</v>
      </c>
      <c r="I98">
        <v>1516.05</v>
      </c>
    </row>
    <row r="99" spans="1:9" x14ac:dyDescent="0.25">
      <c r="A99" s="10" t="s">
        <v>910</v>
      </c>
      <c r="B99">
        <v>121.3</v>
      </c>
      <c r="C99">
        <v>861.6</v>
      </c>
      <c r="F99">
        <v>494.3</v>
      </c>
      <c r="G99">
        <v>16.95</v>
      </c>
      <c r="I99">
        <v>1494.15</v>
      </c>
    </row>
    <row r="100" spans="1:9" x14ac:dyDescent="0.25">
      <c r="A100" s="10" t="s">
        <v>1262</v>
      </c>
      <c r="B100">
        <v>287.39999999999998</v>
      </c>
      <c r="C100">
        <v>1162.05</v>
      </c>
      <c r="F100">
        <v>2</v>
      </c>
      <c r="G100">
        <v>18.55</v>
      </c>
      <c r="I100">
        <v>1470</v>
      </c>
    </row>
    <row r="101" spans="1:9" x14ac:dyDescent="0.25">
      <c r="A101" s="10" t="s">
        <v>986</v>
      </c>
      <c r="B101">
        <v>180.9</v>
      </c>
      <c r="C101">
        <v>1165.3</v>
      </c>
      <c r="G101">
        <v>103</v>
      </c>
      <c r="I101">
        <v>1449.2</v>
      </c>
    </row>
    <row r="102" spans="1:9" x14ac:dyDescent="0.25">
      <c r="A102" s="10" t="s">
        <v>1374</v>
      </c>
      <c r="B102">
        <v>362.25</v>
      </c>
      <c r="C102">
        <v>1078.5</v>
      </c>
      <c r="I102">
        <v>1440.75</v>
      </c>
    </row>
    <row r="103" spans="1:9" x14ac:dyDescent="0.25">
      <c r="A103" s="10" t="s">
        <v>1375</v>
      </c>
      <c r="B103">
        <v>221.15</v>
      </c>
      <c r="C103">
        <v>681.25</v>
      </c>
      <c r="F103">
        <v>508.45</v>
      </c>
      <c r="G103">
        <v>12.85</v>
      </c>
      <c r="I103">
        <v>1423.7</v>
      </c>
    </row>
    <row r="104" spans="1:9" x14ac:dyDescent="0.25">
      <c r="A104" s="10" t="s">
        <v>1162</v>
      </c>
      <c r="B104">
        <v>92.65</v>
      </c>
      <c r="C104">
        <v>71.45</v>
      </c>
      <c r="E104">
        <v>15.4</v>
      </c>
      <c r="F104">
        <v>211.15</v>
      </c>
      <c r="G104">
        <v>1028.69</v>
      </c>
      <c r="I104">
        <v>1419.34</v>
      </c>
    </row>
    <row r="105" spans="1:9" x14ac:dyDescent="0.25">
      <c r="A105" s="10" t="s">
        <v>1243</v>
      </c>
      <c r="B105">
        <v>429.2</v>
      </c>
      <c r="C105">
        <v>810.5</v>
      </c>
      <c r="G105">
        <v>178.85</v>
      </c>
      <c r="I105">
        <v>1418.55</v>
      </c>
    </row>
    <row r="106" spans="1:9" x14ac:dyDescent="0.25">
      <c r="A106" s="10" t="s">
        <v>1180</v>
      </c>
      <c r="B106">
        <v>234.6</v>
      </c>
      <c r="C106">
        <v>110.4</v>
      </c>
      <c r="E106">
        <v>9</v>
      </c>
      <c r="G106">
        <v>1044.3</v>
      </c>
      <c r="I106">
        <v>1398.3</v>
      </c>
    </row>
    <row r="107" spans="1:9" x14ac:dyDescent="0.25">
      <c r="A107" s="10" t="s">
        <v>1058</v>
      </c>
      <c r="B107">
        <v>217.2</v>
      </c>
      <c r="C107">
        <v>1161.68</v>
      </c>
      <c r="G107">
        <v>17.7</v>
      </c>
      <c r="I107">
        <v>1396.58</v>
      </c>
    </row>
    <row r="108" spans="1:9" x14ac:dyDescent="0.25">
      <c r="A108" s="10" t="s">
        <v>1280</v>
      </c>
      <c r="B108">
        <v>87.55</v>
      </c>
      <c r="C108">
        <v>1135.05</v>
      </c>
      <c r="F108">
        <v>74.45</v>
      </c>
      <c r="G108">
        <v>58.149999999999991</v>
      </c>
      <c r="I108">
        <v>1355.2</v>
      </c>
    </row>
    <row r="109" spans="1:9" x14ac:dyDescent="0.25">
      <c r="A109" s="10" t="s">
        <v>1309</v>
      </c>
      <c r="B109">
        <v>149.5</v>
      </c>
      <c r="C109">
        <v>963.11999999999989</v>
      </c>
      <c r="F109">
        <v>220.35</v>
      </c>
      <c r="G109">
        <v>10.9</v>
      </c>
      <c r="I109">
        <v>1343.87</v>
      </c>
    </row>
    <row r="110" spans="1:9" x14ac:dyDescent="0.25">
      <c r="A110" s="10" t="s">
        <v>496</v>
      </c>
      <c r="B110">
        <v>67.3</v>
      </c>
      <c r="C110">
        <v>1202.45</v>
      </c>
      <c r="E110">
        <v>58.05</v>
      </c>
      <c r="F110">
        <v>4.7</v>
      </c>
      <c r="G110">
        <v>9.3999999999999986</v>
      </c>
      <c r="I110">
        <v>1341.9</v>
      </c>
    </row>
    <row r="111" spans="1:9" x14ac:dyDescent="0.25">
      <c r="A111" s="10" t="s">
        <v>877</v>
      </c>
      <c r="B111">
        <v>210.85</v>
      </c>
      <c r="C111">
        <v>914.5</v>
      </c>
      <c r="G111">
        <v>207.95</v>
      </c>
      <c r="I111">
        <v>1333.3</v>
      </c>
    </row>
    <row r="112" spans="1:9" x14ac:dyDescent="0.25">
      <c r="A112" s="10" t="s">
        <v>1159</v>
      </c>
      <c r="B112">
        <v>71.25</v>
      </c>
      <c r="C112">
        <v>286.60000000000002</v>
      </c>
      <c r="F112">
        <v>120.5</v>
      </c>
      <c r="G112">
        <v>847.0100000000001</v>
      </c>
      <c r="I112">
        <v>1325.36</v>
      </c>
    </row>
    <row r="113" spans="1:9" x14ac:dyDescent="0.25">
      <c r="A113" s="10" t="s">
        <v>796</v>
      </c>
      <c r="B113">
        <v>68.3</v>
      </c>
      <c r="C113">
        <v>612.45000000000005</v>
      </c>
      <c r="F113">
        <v>617.1</v>
      </c>
      <c r="I113">
        <v>1297.8499999999999</v>
      </c>
    </row>
    <row r="114" spans="1:9" x14ac:dyDescent="0.25">
      <c r="A114" s="10" t="s">
        <v>1323</v>
      </c>
      <c r="B114">
        <v>137.1</v>
      </c>
      <c r="C114">
        <v>965.15</v>
      </c>
      <c r="E114">
        <v>109.95</v>
      </c>
      <c r="G114">
        <v>80.2</v>
      </c>
      <c r="I114">
        <v>1292.4000000000001</v>
      </c>
    </row>
    <row r="115" spans="1:9" x14ac:dyDescent="0.25">
      <c r="A115" s="10" t="s">
        <v>213</v>
      </c>
      <c r="B115">
        <v>33</v>
      </c>
      <c r="C115">
        <v>846.9</v>
      </c>
      <c r="E115">
        <v>155.41</v>
      </c>
      <c r="F115">
        <v>6</v>
      </c>
      <c r="G115">
        <v>190.9</v>
      </c>
      <c r="I115">
        <v>1232.21</v>
      </c>
    </row>
    <row r="116" spans="1:9" x14ac:dyDescent="0.25">
      <c r="A116" s="10" t="s">
        <v>738</v>
      </c>
      <c r="B116">
        <v>22.9</v>
      </c>
      <c r="C116">
        <v>776.55</v>
      </c>
      <c r="E116">
        <v>56.9</v>
      </c>
      <c r="F116">
        <v>341.85</v>
      </c>
      <c r="I116">
        <v>1198.2</v>
      </c>
    </row>
    <row r="117" spans="1:9" x14ac:dyDescent="0.25">
      <c r="A117" s="10" t="s">
        <v>1376</v>
      </c>
      <c r="B117">
        <v>65.8</v>
      </c>
      <c r="C117">
        <v>591.6</v>
      </c>
      <c r="G117">
        <v>533.45000000000005</v>
      </c>
      <c r="I117">
        <v>1190.8499999999999</v>
      </c>
    </row>
    <row r="118" spans="1:9" x14ac:dyDescent="0.25">
      <c r="A118" s="10" t="s">
        <v>1377</v>
      </c>
      <c r="B118">
        <v>223.3</v>
      </c>
      <c r="C118">
        <v>209.2</v>
      </c>
      <c r="F118">
        <v>743.15</v>
      </c>
      <c r="I118">
        <v>1175.6500000000001</v>
      </c>
    </row>
    <row r="119" spans="1:9" x14ac:dyDescent="0.25">
      <c r="A119" s="10" t="s">
        <v>845</v>
      </c>
      <c r="B119">
        <v>24.6</v>
      </c>
      <c r="C119">
        <v>1006.25</v>
      </c>
      <c r="E119">
        <v>111.6</v>
      </c>
      <c r="F119">
        <v>24.4</v>
      </c>
      <c r="G119">
        <v>7.85</v>
      </c>
      <c r="I119">
        <v>1174.7</v>
      </c>
    </row>
    <row r="120" spans="1:9" x14ac:dyDescent="0.25">
      <c r="A120" s="10" t="s">
        <v>297</v>
      </c>
      <c r="B120">
        <v>209.15</v>
      </c>
      <c r="C120">
        <v>937.25000000000011</v>
      </c>
      <c r="F120">
        <v>19.600000000000001</v>
      </c>
      <c r="G120">
        <v>2</v>
      </c>
      <c r="I120">
        <v>1168</v>
      </c>
    </row>
    <row r="121" spans="1:9" x14ac:dyDescent="0.25">
      <c r="A121" s="10" t="s">
        <v>244</v>
      </c>
      <c r="B121">
        <v>15.1</v>
      </c>
      <c r="C121">
        <v>902.59999999999991</v>
      </c>
      <c r="F121">
        <v>226.35</v>
      </c>
      <c r="G121">
        <v>13.55</v>
      </c>
      <c r="I121">
        <v>1157.5999999999999</v>
      </c>
    </row>
    <row r="122" spans="1:9" x14ac:dyDescent="0.25">
      <c r="A122" s="10" t="s">
        <v>442</v>
      </c>
      <c r="B122">
        <v>68</v>
      </c>
      <c r="C122">
        <v>1068.0999999999999</v>
      </c>
      <c r="G122">
        <v>21.5</v>
      </c>
      <c r="I122">
        <v>1157.5999999999999</v>
      </c>
    </row>
    <row r="123" spans="1:9" x14ac:dyDescent="0.25">
      <c r="A123" s="10" t="s">
        <v>1378</v>
      </c>
      <c r="B123">
        <v>23.1</v>
      </c>
      <c r="C123">
        <v>969.43999999999994</v>
      </c>
      <c r="E123">
        <v>160.6</v>
      </c>
      <c r="I123">
        <v>1153.1400000000001</v>
      </c>
    </row>
    <row r="124" spans="1:9" x14ac:dyDescent="0.25">
      <c r="A124" s="10" t="s">
        <v>1193</v>
      </c>
      <c r="B124">
        <v>69.5</v>
      </c>
      <c r="C124">
        <v>1040.25</v>
      </c>
      <c r="E124">
        <v>8</v>
      </c>
      <c r="G124">
        <v>26.5</v>
      </c>
      <c r="I124">
        <v>1144.25</v>
      </c>
    </row>
    <row r="125" spans="1:9" x14ac:dyDescent="0.25">
      <c r="A125" s="10" t="s">
        <v>135</v>
      </c>
      <c r="B125">
        <v>152.69999999999999</v>
      </c>
      <c r="C125">
        <v>648.80000000000007</v>
      </c>
      <c r="F125">
        <v>86</v>
      </c>
      <c r="G125">
        <v>236</v>
      </c>
      <c r="I125">
        <v>1123.5</v>
      </c>
    </row>
    <row r="126" spans="1:9" x14ac:dyDescent="0.25">
      <c r="A126" s="10" t="s">
        <v>1379</v>
      </c>
      <c r="E126">
        <v>1.7</v>
      </c>
      <c r="F126">
        <v>1095.95</v>
      </c>
      <c r="G126">
        <v>12.75</v>
      </c>
      <c r="I126">
        <v>1110.4000000000001</v>
      </c>
    </row>
    <row r="127" spans="1:9" x14ac:dyDescent="0.25">
      <c r="A127" s="10" t="s">
        <v>350</v>
      </c>
      <c r="B127">
        <v>132.19999999999999</v>
      </c>
      <c r="C127">
        <v>903.2</v>
      </c>
      <c r="E127">
        <v>16.100000000000001</v>
      </c>
      <c r="G127">
        <v>53</v>
      </c>
      <c r="I127">
        <v>1104.5</v>
      </c>
    </row>
    <row r="128" spans="1:9" x14ac:dyDescent="0.25">
      <c r="A128" s="10" t="s">
        <v>1295</v>
      </c>
      <c r="B128">
        <v>111.8</v>
      </c>
      <c r="C128">
        <v>789.15</v>
      </c>
      <c r="F128">
        <v>163.95</v>
      </c>
      <c r="G128">
        <v>35.799999999999997</v>
      </c>
      <c r="I128">
        <v>1100.7</v>
      </c>
    </row>
    <row r="129" spans="1:9" x14ac:dyDescent="0.25">
      <c r="A129" s="10" t="s">
        <v>1075</v>
      </c>
      <c r="B129">
        <v>7.7</v>
      </c>
      <c r="C129">
        <v>429.55</v>
      </c>
      <c r="F129">
        <v>186</v>
      </c>
      <c r="G129">
        <v>470.6</v>
      </c>
      <c r="I129">
        <v>1093.8499999999999</v>
      </c>
    </row>
    <row r="130" spans="1:9" x14ac:dyDescent="0.25">
      <c r="A130" s="10" t="s">
        <v>335</v>
      </c>
      <c r="B130">
        <v>29.4</v>
      </c>
      <c r="C130">
        <v>1016.2</v>
      </c>
      <c r="G130">
        <v>39.950000000000003</v>
      </c>
      <c r="I130">
        <v>1085.55</v>
      </c>
    </row>
    <row r="131" spans="1:9" x14ac:dyDescent="0.25">
      <c r="A131" s="10" t="s">
        <v>1135</v>
      </c>
      <c r="B131">
        <v>77.600000000000009</v>
      </c>
      <c r="C131">
        <v>700.69999999999993</v>
      </c>
      <c r="F131">
        <v>2</v>
      </c>
      <c r="G131">
        <v>303.39999999999998</v>
      </c>
      <c r="I131">
        <v>1083.7</v>
      </c>
    </row>
    <row r="132" spans="1:9" x14ac:dyDescent="0.25">
      <c r="A132" s="10" t="s">
        <v>1000</v>
      </c>
      <c r="B132">
        <v>268.95</v>
      </c>
      <c r="C132">
        <v>421.2</v>
      </c>
      <c r="F132">
        <v>139.4</v>
      </c>
      <c r="G132">
        <v>236.75</v>
      </c>
      <c r="I132">
        <v>1066.3</v>
      </c>
    </row>
    <row r="133" spans="1:9" x14ac:dyDescent="0.25">
      <c r="A133" s="10" t="s">
        <v>1097</v>
      </c>
      <c r="B133">
        <v>94.9</v>
      </c>
      <c r="C133">
        <v>884.24999999999989</v>
      </c>
      <c r="E133">
        <v>5.55</v>
      </c>
      <c r="F133">
        <v>34.950000000000003</v>
      </c>
      <c r="G133">
        <v>42.3</v>
      </c>
      <c r="I133">
        <v>1061.95</v>
      </c>
    </row>
    <row r="134" spans="1:9" x14ac:dyDescent="0.25">
      <c r="A134" s="10" t="s">
        <v>1114</v>
      </c>
      <c r="B134">
        <v>118.15</v>
      </c>
      <c r="C134">
        <v>470.4</v>
      </c>
      <c r="F134">
        <v>0</v>
      </c>
      <c r="G134">
        <v>455.6</v>
      </c>
      <c r="I134">
        <v>1044.1500000000001</v>
      </c>
    </row>
    <row r="135" spans="1:9" x14ac:dyDescent="0.25">
      <c r="A135" s="10" t="s">
        <v>643</v>
      </c>
      <c r="B135">
        <v>80.7</v>
      </c>
      <c r="C135">
        <v>859.4</v>
      </c>
      <c r="E135">
        <v>3</v>
      </c>
      <c r="G135">
        <v>87.25</v>
      </c>
      <c r="I135">
        <v>1030.3499999999999</v>
      </c>
    </row>
    <row r="136" spans="1:9" x14ac:dyDescent="0.25">
      <c r="A136" s="10" t="s">
        <v>752</v>
      </c>
      <c r="B136">
        <v>86.55</v>
      </c>
      <c r="C136">
        <v>459.8</v>
      </c>
      <c r="F136">
        <v>479.85</v>
      </c>
      <c r="I136">
        <v>1026.2</v>
      </c>
    </row>
    <row r="137" spans="1:9" x14ac:dyDescent="0.25">
      <c r="A137" s="10" t="s">
        <v>259</v>
      </c>
      <c r="B137">
        <v>87.3</v>
      </c>
      <c r="C137">
        <v>915.85</v>
      </c>
      <c r="F137">
        <v>1.7</v>
      </c>
      <c r="I137">
        <v>1004.85</v>
      </c>
    </row>
    <row r="138" spans="1:9" x14ac:dyDescent="0.25">
      <c r="A138" s="10" t="s">
        <v>1380</v>
      </c>
      <c r="C138">
        <v>319.75</v>
      </c>
      <c r="G138">
        <v>652</v>
      </c>
      <c r="I138">
        <v>971.75</v>
      </c>
    </row>
    <row r="139" spans="1:9" x14ac:dyDescent="0.25">
      <c r="A139" s="10" t="s">
        <v>380</v>
      </c>
      <c r="B139">
        <v>59.35</v>
      </c>
      <c r="C139">
        <v>18.100000000000001</v>
      </c>
      <c r="G139">
        <v>882.75</v>
      </c>
      <c r="I139">
        <v>960.2</v>
      </c>
    </row>
    <row r="140" spans="1:9" x14ac:dyDescent="0.25">
      <c r="A140" s="10" t="s">
        <v>1381</v>
      </c>
      <c r="B140">
        <v>30.25</v>
      </c>
      <c r="C140">
        <v>7.7</v>
      </c>
      <c r="F140">
        <v>915.42000000000007</v>
      </c>
      <c r="I140">
        <v>953.37000000000012</v>
      </c>
    </row>
    <row r="141" spans="1:9" x14ac:dyDescent="0.25">
      <c r="A141" s="10" t="s">
        <v>864</v>
      </c>
      <c r="B141">
        <v>44.55</v>
      </c>
      <c r="C141">
        <v>8</v>
      </c>
      <c r="F141">
        <v>20.100000000000001</v>
      </c>
      <c r="G141">
        <v>874.44999999999993</v>
      </c>
      <c r="I141">
        <v>947.09999999999991</v>
      </c>
    </row>
    <row r="142" spans="1:9" x14ac:dyDescent="0.25">
      <c r="A142" s="10" t="s">
        <v>1382</v>
      </c>
      <c r="C142">
        <v>761.5</v>
      </c>
      <c r="G142">
        <v>183.05</v>
      </c>
      <c r="I142">
        <v>944.55</v>
      </c>
    </row>
    <row r="143" spans="1:9" x14ac:dyDescent="0.25">
      <c r="A143" s="10" t="s">
        <v>1383</v>
      </c>
      <c r="B143">
        <v>45.8</v>
      </c>
      <c r="C143">
        <v>365.95</v>
      </c>
      <c r="G143">
        <v>524.25</v>
      </c>
      <c r="I143">
        <v>936</v>
      </c>
    </row>
    <row r="144" spans="1:9" x14ac:dyDescent="0.25">
      <c r="A144" s="10" t="s">
        <v>1384</v>
      </c>
      <c r="C144">
        <v>863</v>
      </c>
      <c r="F144">
        <v>30.8</v>
      </c>
      <c r="G144">
        <v>29.5</v>
      </c>
      <c r="I144">
        <v>923.3</v>
      </c>
    </row>
    <row r="145" spans="1:9" x14ac:dyDescent="0.25">
      <c r="A145" s="10" t="s">
        <v>1385</v>
      </c>
      <c r="F145">
        <v>912.95</v>
      </c>
      <c r="I145">
        <v>912.95</v>
      </c>
    </row>
    <row r="146" spans="1:9" x14ac:dyDescent="0.25">
      <c r="A146" s="10" t="s">
        <v>138</v>
      </c>
      <c r="B146">
        <v>67.3</v>
      </c>
      <c r="C146">
        <v>822.80000000000007</v>
      </c>
      <c r="G146">
        <v>18.55</v>
      </c>
      <c r="I146">
        <v>908.65</v>
      </c>
    </row>
    <row r="147" spans="1:9" x14ac:dyDescent="0.25">
      <c r="A147" s="10" t="s">
        <v>822</v>
      </c>
      <c r="B147">
        <v>120</v>
      </c>
      <c r="C147">
        <v>485.55</v>
      </c>
      <c r="F147">
        <v>260.5</v>
      </c>
      <c r="G147">
        <v>40.150000000000013</v>
      </c>
      <c r="I147">
        <v>906.19999999999993</v>
      </c>
    </row>
    <row r="148" spans="1:9" x14ac:dyDescent="0.25">
      <c r="A148" s="10" t="s">
        <v>1386</v>
      </c>
      <c r="C148">
        <v>674.4</v>
      </c>
      <c r="F148">
        <v>170.5</v>
      </c>
      <c r="G148">
        <v>52.5</v>
      </c>
      <c r="I148">
        <v>897.4</v>
      </c>
    </row>
    <row r="149" spans="1:9" x14ac:dyDescent="0.25">
      <c r="A149" s="10" t="s">
        <v>1387</v>
      </c>
      <c r="G149">
        <v>893.2</v>
      </c>
      <c r="I149">
        <v>893.2</v>
      </c>
    </row>
    <row r="150" spans="1:9" x14ac:dyDescent="0.25">
      <c r="A150" s="10" t="s">
        <v>1063</v>
      </c>
      <c r="B150">
        <v>1.7</v>
      </c>
      <c r="C150">
        <v>680.30000000000007</v>
      </c>
      <c r="F150">
        <v>18.2</v>
      </c>
      <c r="G150">
        <v>33.35</v>
      </c>
      <c r="H150">
        <v>135.80000000000001</v>
      </c>
      <c r="I150">
        <v>869.35000000000014</v>
      </c>
    </row>
    <row r="151" spans="1:9" x14ac:dyDescent="0.25">
      <c r="A151" s="10" t="s">
        <v>1388</v>
      </c>
      <c r="B151">
        <v>82.8</v>
      </c>
      <c r="C151">
        <v>754.24999999999989</v>
      </c>
      <c r="G151">
        <v>23.8</v>
      </c>
      <c r="I151">
        <v>860.8499999999998</v>
      </c>
    </row>
    <row r="152" spans="1:9" x14ac:dyDescent="0.25">
      <c r="A152" s="10" t="s">
        <v>812</v>
      </c>
      <c r="B152">
        <v>119.3</v>
      </c>
      <c r="C152">
        <v>5.2</v>
      </c>
      <c r="F152">
        <v>47.099999999999987</v>
      </c>
      <c r="G152">
        <v>687.74999999999989</v>
      </c>
      <c r="I152">
        <v>859.34999999999991</v>
      </c>
    </row>
    <row r="153" spans="1:9" x14ac:dyDescent="0.25">
      <c r="A153" s="10" t="s">
        <v>1389</v>
      </c>
      <c r="B153">
        <v>153.94999999999999</v>
      </c>
      <c r="C153">
        <v>500.78</v>
      </c>
      <c r="E153">
        <v>132.1</v>
      </c>
      <c r="F153">
        <v>65.45</v>
      </c>
      <c r="I153">
        <v>852.28000000000009</v>
      </c>
    </row>
    <row r="154" spans="1:9" x14ac:dyDescent="0.25">
      <c r="A154" s="10" t="s">
        <v>312</v>
      </c>
      <c r="B154">
        <v>32.950000000000003</v>
      </c>
      <c r="C154">
        <v>778.75</v>
      </c>
      <c r="G154">
        <v>34.700000000000003</v>
      </c>
      <c r="I154">
        <v>846.40000000000009</v>
      </c>
    </row>
    <row r="155" spans="1:9" x14ac:dyDescent="0.25">
      <c r="A155" s="10" t="s">
        <v>1390</v>
      </c>
      <c r="C155">
        <v>840.15000000000009</v>
      </c>
      <c r="I155">
        <v>840.15000000000009</v>
      </c>
    </row>
    <row r="156" spans="1:9" x14ac:dyDescent="0.25">
      <c r="A156" s="10" t="s">
        <v>225</v>
      </c>
      <c r="B156">
        <v>80.699999999999989</v>
      </c>
      <c r="C156">
        <v>510.1</v>
      </c>
      <c r="F156">
        <v>2.7</v>
      </c>
      <c r="G156">
        <v>241.35</v>
      </c>
      <c r="I156">
        <v>834.85</v>
      </c>
    </row>
    <row r="157" spans="1:9" x14ac:dyDescent="0.25">
      <c r="A157" s="10" t="s">
        <v>397</v>
      </c>
      <c r="B157">
        <v>35.85</v>
      </c>
      <c r="C157">
        <v>777.65</v>
      </c>
      <c r="E157">
        <v>3</v>
      </c>
      <c r="G157">
        <v>7.5</v>
      </c>
      <c r="I157">
        <v>824</v>
      </c>
    </row>
    <row r="158" spans="1:9" x14ac:dyDescent="0.25">
      <c r="A158" s="10" t="s">
        <v>1391</v>
      </c>
      <c r="C158">
        <v>823.98</v>
      </c>
      <c r="I158">
        <v>823.98</v>
      </c>
    </row>
    <row r="159" spans="1:9" x14ac:dyDescent="0.25">
      <c r="A159" s="10" t="s">
        <v>1392</v>
      </c>
      <c r="B159">
        <v>334.8</v>
      </c>
      <c r="C159">
        <v>452.35</v>
      </c>
      <c r="E159">
        <v>4</v>
      </c>
      <c r="F159">
        <v>31.8</v>
      </c>
      <c r="I159">
        <v>822.95</v>
      </c>
    </row>
    <row r="160" spans="1:9" x14ac:dyDescent="0.25">
      <c r="A160" s="10" t="s">
        <v>1146</v>
      </c>
      <c r="B160">
        <v>95.2</v>
      </c>
      <c r="C160">
        <v>684.94999999999993</v>
      </c>
      <c r="G160">
        <v>38.69</v>
      </c>
      <c r="I160">
        <v>818.83999999999992</v>
      </c>
    </row>
    <row r="161" spans="1:9" x14ac:dyDescent="0.25">
      <c r="A161" s="10" t="s">
        <v>112</v>
      </c>
      <c r="B161">
        <v>162.5</v>
      </c>
      <c r="C161">
        <v>625.75</v>
      </c>
      <c r="E161">
        <v>13.55</v>
      </c>
      <c r="F161">
        <v>16.7</v>
      </c>
      <c r="I161">
        <v>818.5</v>
      </c>
    </row>
    <row r="162" spans="1:9" x14ac:dyDescent="0.25">
      <c r="A162" s="10" t="s">
        <v>890</v>
      </c>
      <c r="B162">
        <v>2</v>
      </c>
      <c r="C162">
        <v>775.55</v>
      </c>
      <c r="F162">
        <v>4.7</v>
      </c>
      <c r="G162">
        <v>15.4</v>
      </c>
      <c r="I162">
        <v>797.65</v>
      </c>
    </row>
    <row r="163" spans="1:9" x14ac:dyDescent="0.25">
      <c r="A163" s="10" t="s">
        <v>1393</v>
      </c>
      <c r="F163">
        <v>795.05</v>
      </c>
      <c r="I163">
        <v>795.05</v>
      </c>
    </row>
    <row r="164" spans="1:9" x14ac:dyDescent="0.25">
      <c r="A164" s="10" t="s">
        <v>1394</v>
      </c>
      <c r="B164">
        <v>131.15</v>
      </c>
      <c r="C164">
        <v>645.19999999999993</v>
      </c>
      <c r="G164">
        <v>10.85</v>
      </c>
      <c r="I164">
        <v>787.19999999999993</v>
      </c>
    </row>
    <row r="165" spans="1:9" x14ac:dyDescent="0.25">
      <c r="A165" s="10" t="s">
        <v>734</v>
      </c>
      <c r="B165">
        <v>64.599999999999994</v>
      </c>
      <c r="C165">
        <v>408.65</v>
      </c>
      <c r="F165">
        <v>284.64999999999998</v>
      </c>
      <c r="G165">
        <v>1.5</v>
      </c>
      <c r="I165">
        <v>759.40000000000009</v>
      </c>
    </row>
    <row r="166" spans="1:9" x14ac:dyDescent="0.25">
      <c r="A166" s="10" t="s">
        <v>526</v>
      </c>
      <c r="B166">
        <v>26.05</v>
      </c>
      <c r="C166">
        <v>672.5</v>
      </c>
      <c r="E166">
        <v>23.1</v>
      </c>
      <c r="G166">
        <v>35.5</v>
      </c>
      <c r="I166">
        <v>757.15</v>
      </c>
    </row>
    <row r="167" spans="1:9" x14ac:dyDescent="0.25">
      <c r="A167" s="10" t="s">
        <v>1395</v>
      </c>
      <c r="C167">
        <v>512.59999999999991</v>
      </c>
      <c r="F167">
        <v>229.85</v>
      </c>
      <c r="I167">
        <v>742.44999999999993</v>
      </c>
    </row>
    <row r="168" spans="1:9" x14ac:dyDescent="0.25">
      <c r="A168" s="10" t="s">
        <v>1396</v>
      </c>
      <c r="B168">
        <v>44</v>
      </c>
      <c r="C168">
        <v>620.84999999999991</v>
      </c>
      <c r="E168">
        <v>29.9</v>
      </c>
      <c r="G168">
        <v>45</v>
      </c>
      <c r="I168">
        <v>739.74999999999989</v>
      </c>
    </row>
    <row r="169" spans="1:9" x14ac:dyDescent="0.25">
      <c r="A169" s="10" t="s">
        <v>954</v>
      </c>
      <c r="F169">
        <v>19</v>
      </c>
      <c r="G169">
        <v>718.40000000000009</v>
      </c>
      <c r="I169">
        <v>737.40000000000009</v>
      </c>
    </row>
    <row r="170" spans="1:9" x14ac:dyDescent="0.25">
      <c r="A170" s="10" t="s">
        <v>755</v>
      </c>
      <c r="B170">
        <v>55.75</v>
      </c>
      <c r="C170">
        <v>412.6</v>
      </c>
      <c r="E170">
        <v>7.7</v>
      </c>
      <c r="F170">
        <v>261.3</v>
      </c>
      <c r="I170">
        <v>737.34999999999991</v>
      </c>
    </row>
    <row r="171" spans="1:9" x14ac:dyDescent="0.25">
      <c r="A171" s="10" t="s">
        <v>44</v>
      </c>
      <c r="B171">
        <v>33.1</v>
      </c>
      <c r="C171">
        <v>420.25</v>
      </c>
      <c r="F171">
        <v>51.1</v>
      </c>
      <c r="G171">
        <v>230.7</v>
      </c>
      <c r="I171">
        <v>735.15000000000009</v>
      </c>
    </row>
    <row r="172" spans="1:9" x14ac:dyDescent="0.25">
      <c r="A172" s="10" t="s">
        <v>931</v>
      </c>
      <c r="B172">
        <v>21.4</v>
      </c>
      <c r="C172">
        <v>66</v>
      </c>
      <c r="F172">
        <v>10.1</v>
      </c>
      <c r="G172">
        <v>620.15</v>
      </c>
      <c r="I172">
        <v>717.65</v>
      </c>
    </row>
    <row r="173" spans="1:9" x14ac:dyDescent="0.25">
      <c r="A173" s="10" t="s">
        <v>402</v>
      </c>
      <c r="B173">
        <v>45.5</v>
      </c>
      <c r="C173">
        <v>664.6</v>
      </c>
      <c r="G173">
        <v>3.5</v>
      </c>
      <c r="I173">
        <v>713.6</v>
      </c>
    </row>
    <row r="174" spans="1:9" x14ac:dyDescent="0.25">
      <c r="A174" s="10" t="s">
        <v>1397</v>
      </c>
      <c r="B174">
        <v>73.850000000000009</v>
      </c>
      <c r="C174">
        <v>141</v>
      </c>
      <c r="E174">
        <v>10.7</v>
      </c>
      <c r="G174">
        <v>478.75</v>
      </c>
      <c r="I174">
        <v>704.3</v>
      </c>
    </row>
    <row r="175" spans="1:9" x14ac:dyDescent="0.25">
      <c r="A175" s="10" t="s">
        <v>1398</v>
      </c>
      <c r="C175">
        <v>656.9</v>
      </c>
      <c r="F175">
        <v>40</v>
      </c>
      <c r="I175">
        <v>696.9</v>
      </c>
    </row>
    <row r="176" spans="1:9" x14ac:dyDescent="0.25">
      <c r="A176" s="10" t="s">
        <v>1399</v>
      </c>
      <c r="B176">
        <v>68</v>
      </c>
      <c r="C176">
        <v>360.05</v>
      </c>
      <c r="E176">
        <v>10.45</v>
      </c>
      <c r="G176">
        <v>255.3</v>
      </c>
      <c r="I176">
        <v>693.8</v>
      </c>
    </row>
    <row r="177" spans="1:9" x14ac:dyDescent="0.25">
      <c r="A177" s="10" t="s">
        <v>1167</v>
      </c>
      <c r="B177">
        <v>26.5</v>
      </c>
      <c r="C177">
        <v>99.7</v>
      </c>
      <c r="G177">
        <v>562.85</v>
      </c>
      <c r="I177">
        <v>689.05000000000007</v>
      </c>
    </row>
    <row r="178" spans="1:9" x14ac:dyDescent="0.25">
      <c r="A178" s="10" t="s">
        <v>479</v>
      </c>
      <c r="B178">
        <v>33.4</v>
      </c>
      <c r="C178">
        <v>632.04999999999995</v>
      </c>
      <c r="E178">
        <v>3.85</v>
      </c>
      <c r="G178">
        <v>18</v>
      </c>
      <c r="I178">
        <v>687.3</v>
      </c>
    </row>
    <row r="179" spans="1:9" x14ac:dyDescent="0.25">
      <c r="A179" s="10" t="s">
        <v>1400</v>
      </c>
      <c r="C179">
        <v>682.65</v>
      </c>
      <c r="I179">
        <v>682.65</v>
      </c>
    </row>
    <row r="180" spans="1:9" x14ac:dyDescent="0.25">
      <c r="A180" s="10" t="s">
        <v>1401</v>
      </c>
      <c r="C180">
        <v>7.7</v>
      </c>
      <c r="G180">
        <v>674.2</v>
      </c>
      <c r="I180">
        <v>681.90000000000009</v>
      </c>
    </row>
    <row r="181" spans="1:9" x14ac:dyDescent="0.25">
      <c r="A181" s="10" t="s">
        <v>1402</v>
      </c>
      <c r="C181">
        <v>373.05</v>
      </c>
      <c r="G181">
        <v>305.95</v>
      </c>
      <c r="I181">
        <v>679</v>
      </c>
    </row>
    <row r="182" spans="1:9" x14ac:dyDescent="0.25">
      <c r="A182" s="10" t="s">
        <v>466</v>
      </c>
      <c r="B182">
        <v>130.25</v>
      </c>
      <c r="C182">
        <v>487.35</v>
      </c>
      <c r="E182">
        <v>52.05</v>
      </c>
      <c r="G182">
        <v>7.85</v>
      </c>
      <c r="I182">
        <v>677.49999999999989</v>
      </c>
    </row>
    <row r="183" spans="1:9" x14ac:dyDescent="0.25">
      <c r="A183" s="10" t="s">
        <v>917</v>
      </c>
      <c r="B183">
        <v>69.95</v>
      </c>
      <c r="C183">
        <v>579.41999999999996</v>
      </c>
      <c r="F183">
        <v>27.9</v>
      </c>
      <c r="I183">
        <v>677.27</v>
      </c>
    </row>
    <row r="184" spans="1:9" x14ac:dyDescent="0.25">
      <c r="A184" s="10" t="s">
        <v>172</v>
      </c>
      <c r="B184">
        <v>64.099999999999994</v>
      </c>
      <c r="C184">
        <v>599.54999999999995</v>
      </c>
      <c r="F184">
        <v>2</v>
      </c>
      <c r="G184">
        <v>2</v>
      </c>
      <c r="I184">
        <v>667.65</v>
      </c>
    </row>
    <row r="185" spans="1:9" x14ac:dyDescent="0.25">
      <c r="A185" s="10" t="s">
        <v>485</v>
      </c>
      <c r="B185">
        <v>20.9</v>
      </c>
      <c r="C185">
        <v>430.7</v>
      </c>
      <c r="E185">
        <v>7.7</v>
      </c>
      <c r="G185">
        <v>206.8</v>
      </c>
      <c r="I185">
        <v>666.09999999999991</v>
      </c>
    </row>
    <row r="186" spans="1:9" x14ac:dyDescent="0.25">
      <c r="A186" s="10" t="s">
        <v>1403</v>
      </c>
      <c r="C186">
        <v>42.35</v>
      </c>
      <c r="F186">
        <v>623.15</v>
      </c>
      <c r="I186">
        <v>665.5</v>
      </c>
    </row>
    <row r="187" spans="1:9" x14ac:dyDescent="0.25">
      <c r="A187" s="10" t="s">
        <v>1051</v>
      </c>
      <c r="B187">
        <v>152.19999999999999</v>
      </c>
      <c r="C187">
        <v>438.15</v>
      </c>
      <c r="E187">
        <v>4</v>
      </c>
      <c r="F187">
        <v>8.6999999999999993</v>
      </c>
      <c r="G187">
        <v>51.2</v>
      </c>
      <c r="I187">
        <v>654.25000000000011</v>
      </c>
    </row>
    <row r="188" spans="1:9" x14ac:dyDescent="0.25">
      <c r="A188" s="10" t="s">
        <v>411</v>
      </c>
      <c r="B188">
        <v>50.7</v>
      </c>
      <c r="C188">
        <v>601.5</v>
      </c>
      <c r="F188">
        <v>1</v>
      </c>
      <c r="I188">
        <v>653.20000000000005</v>
      </c>
    </row>
    <row r="189" spans="1:9" x14ac:dyDescent="0.25">
      <c r="A189" s="10" t="s">
        <v>1018</v>
      </c>
      <c r="B189">
        <v>166.75</v>
      </c>
      <c r="C189">
        <v>335.3</v>
      </c>
      <c r="F189">
        <v>125.15</v>
      </c>
      <c r="G189">
        <v>23.8</v>
      </c>
      <c r="I189">
        <v>651</v>
      </c>
    </row>
    <row r="190" spans="1:9" x14ac:dyDescent="0.25">
      <c r="A190" s="10" t="s">
        <v>504</v>
      </c>
      <c r="B190">
        <v>41.7</v>
      </c>
      <c r="C190">
        <v>567.75</v>
      </c>
      <c r="G190">
        <v>36.5</v>
      </c>
      <c r="I190">
        <v>645.95000000000005</v>
      </c>
    </row>
    <row r="191" spans="1:9" x14ac:dyDescent="0.25">
      <c r="A191" s="10" t="s">
        <v>379</v>
      </c>
      <c r="B191">
        <v>79.900000000000006</v>
      </c>
      <c r="C191">
        <v>478.6</v>
      </c>
      <c r="E191">
        <v>10.4</v>
      </c>
      <c r="F191">
        <v>22.1</v>
      </c>
      <c r="G191">
        <v>48.9</v>
      </c>
      <c r="I191">
        <v>639.9</v>
      </c>
    </row>
    <row r="192" spans="1:9" x14ac:dyDescent="0.25">
      <c r="A192" s="10" t="s">
        <v>858</v>
      </c>
      <c r="B192">
        <v>22.6</v>
      </c>
      <c r="C192">
        <v>425.9</v>
      </c>
      <c r="F192">
        <v>135.4</v>
      </c>
      <c r="G192">
        <v>49.900000000000013</v>
      </c>
      <c r="I192">
        <v>633.79999999999995</v>
      </c>
    </row>
    <row r="193" spans="1:9" x14ac:dyDescent="0.25">
      <c r="A193" s="10" t="s">
        <v>60</v>
      </c>
      <c r="B193">
        <v>228.1</v>
      </c>
      <c r="C193">
        <v>167.25</v>
      </c>
      <c r="E193">
        <v>4</v>
      </c>
      <c r="F193">
        <v>19.399999999999999</v>
      </c>
      <c r="G193">
        <v>213</v>
      </c>
      <c r="I193">
        <v>631.75</v>
      </c>
    </row>
    <row r="194" spans="1:9" x14ac:dyDescent="0.25">
      <c r="A194" s="10" t="s">
        <v>1013</v>
      </c>
      <c r="B194">
        <v>128</v>
      </c>
      <c r="C194">
        <v>484.8</v>
      </c>
      <c r="F194">
        <v>8.5500000000000007</v>
      </c>
      <c r="I194">
        <v>621.34999999999991</v>
      </c>
    </row>
    <row r="195" spans="1:9" x14ac:dyDescent="0.25">
      <c r="A195" s="10" t="s">
        <v>1404</v>
      </c>
      <c r="B195">
        <v>77.05</v>
      </c>
      <c r="C195">
        <v>292.05</v>
      </c>
      <c r="G195">
        <v>240.95</v>
      </c>
      <c r="I195">
        <v>610.04999999999995</v>
      </c>
    </row>
    <row r="196" spans="1:9" x14ac:dyDescent="0.25">
      <c r="A196" s="10" t="s">
        <v>70</v>
      </c>
      <c r="B196">
        <v>31.8</v>
      </c>
      <c r="C196">
        <v>127.1</v>
      </c>
      <c r="F196">
        <v>50.2</v>
      </c>
      <c r="G196">
        <v>387.4</v>
      </c>
      <c r="I196">
        <v>596.5</v>
      </c>
    </row>
    <row r="197" spans="1:9" x14ac:dyDescent="0.25">
      <c r="A197" s="10" t="s">
        <v>1405</v>
      </c>
      <c r="B197">
        <v>73.95</v>
      </c>
      <c r="C197">
        <v>521.5</v>
      </c>
      <c r="I197">
        <v>595.45000000000005</v>
      </c>
    </row>
    <row r="198" spans="1:9" x14ac:dyDescent="0.25">
      <c r="A198" s="10" t="s">
        <v>518</v>
      </c>
      <c r="B198">
        <v>36.65</v>
      </c>
      <c r="C198">
        <v>327.25</v>
      </c>
      <c r="G198">
        <v>230</v>
      </c>
      <c r="I198">
        <v>593.9</v>
      </c>
    </row>
    <row r="199" spans="1:9" x14ac:dyDescent="0.25">
      <c r="A199" s="10" t="s">
        <v>1406</v>
      </c>
      <c r="B199">
        <v>74.05</v>
      </c>
      <c r="C199">
        <v>518.45000000000005</v>
      </c>
      <c r="I199">
        <v>592.5</v>
      </c>
    </row>
    <row r="200" spans="1:9" x14ac:dyDescent="0.25">
      <c r="A200" s="10" t="s">
        <v>1407</v>
      </c>
      <c r="B200">
        <v>272.55</v>
      </c>
      <c r="C200">
        <v>279</v>
      </c>
      <c r="G200">
        <v>40.700000000000003</v>
      </c>
      <c r="I200">
        <v>592.25</v>
      </c>
    </row>
    <row r="201" spans="1:9" x14ac:dyDescent="0.25">
      <c r="A201" s="10" t="s">
        <v>962</v>
      </c>
      <c r="B201">
        <v>45.2</v>
      </c>
      <c r="C201">
        <v>457.05</v>
      </c>
      <c r="F201">
        <v>67.7</v>
      </c>
      <c r="G201">
        <v>4</v>
      </c>
      <c r="I201">
        <v>573.95000000000005</v>
      </c>
    </row>
    <row r="202" spans="1:9" x14ac:dyDescent="0.25">
      <c r="A202" s="10" t="s">
        <v>724</v>
      </c>
      <c r="B202">
        <v>201.2</v>
      </c>
      <c r="C202">
        <v>243.95</v>
      </c>
      <c r="F202">
        <v>125</v>
      </c>
      <c r="I202">
        <v>570.15</v>
      </c>
    </row>
    <row r="203" spans="1:9" x14ac:dyDescent="0.25">
      <c r="A203" s="10" t="s">
        <v>102</v>
      </c>
      <c r="B203">
        <v>54.9</v>
      </c>
      <c r="C203">
        <v>114.6</v>
      </c>
      <c r="F203">
        <v>39.799999999999997</v>
      </c>
      <c r="G203">
        <v>360.4</v>
      </c>
      <c r="I203">
        <v>569.70000000000005</v>
      </c>
    </row>
    <row r="204" spans="1:9" x14ac:dyDescent="0.25">
      <c r="A204" s="10" t="s">
        <v>1408</v>
      </c>
      <c r="B204">
        <v>95.8</v>
      </c>
      <c r="C204">
        <v>384.6</v>
      </c>
      <c r="F204">
        <v>8</v>
      </c>
      <c r="G204">
        <v>79.400000000000006</v>
      </c>
      <c r="I204">
        <v>567.80000000000007</v>
      </c>
    </row>
    <row r="205" spans="1:9" x14ac:dyDescent="0.25">
      <c r="A205" s="10" t="s">
        <v>1409</v>
      </c>
      <c r="B205">
        <v>16.399999999999999</v>
      </c>
      <c r="C205">
        <v>343.05</v>
      </c>
      <c r="F205">
        <v>13.4</v>
      </c>
      <c r="G205">
        <v>193.1</v>
      </c>
      <c r="I205">
        <v>565.94999999999993</v>
      </c>
    </row>
    <row r="206" spans="1:9" x14ac:dyDescent="0.25">
      <c r="A206" s="10" t="s">
        <v>1410</v>
      </c>
      <c r="B206">
        <v>16.399999999999999</v>
      </c>
      <c r="C206">
        <v>471.3</v>
      </c>
      <c r="E206">
        <v>22.4</v>
      </c>
      <c r="F206">
        <v>33.1</v>
      </c>
      <c r="G206">
        <v>20.25</v>
      </c>
      <c r="I206">
        <v>563.44999999999993</v>
      </c>
    </row>
    <row r="207" spans="1:9" x14ac:dyDescent="0.25">
      <c r="A207" s="10" t="s">
        <v>719</v>
      </c>
      <c r="B207">
        <v>63.1</v>
      </c>
      <c r="C207">
        <v>220.45</v>
      </c>
      <c r="F207">
        <v>18.8</v>
      </c>
      <c r="G207">
        <v>257.10000000000002</v>
      </c>
      <c r="I207">
        <v>559.45000000000005</v>
      </c>
    </row>
    <row r="208" spans="1:9" x14ac:dyDescent="0.25">
      <c r="A208" s="10" t="s">
        <v>514</v>
      </c>
      <c r="B208">
        <v>35.049999999999997</v>
      </c>
      <c r="C208">
        <v>416.9</v>
      </c>
      <c r="F208">
        <v>24.1</v>
      </c>
      <c r="G208">
        <v>80.599999999999994</v>
      </c>
      <c r="I208">
        <v>556.65000000000009</v>
      </c>
    </row>
    <row r="209" spans="1:9" x14ac:dyDescent="0.25">
      <c r="A209" s="10" t="s">
        <v>1411</v>
      </c>
      <c r="B209">
        <v>150.75</v>
      </c>
      <c r="C209">
        <v>396.7</v>
      </c>
      <c r="I209">
        <v>547.45000000000005</v>
      </c>
    </row>
    <row r="210" spans="1:9" x14ac:dyDescent="0.25">
      <c r="A210" s="10" t="s">
        <v>540</v>
      </c>
      <c r="B210">
        <v>37.200000000000003</v>
      </c>
      <c r="C210">
        <v>495.65</v>
      </c>
      <c r="G210">
        <v>14.5</v>
      </c>
      <c r="I210">
        <v>547.35</v>
      </c>
    </row>
    <row r="211" spans="1:9" x14ac:dyDescent="0.25">
      <c r="A211" s="10" t="s">
        <v>462</v>
      </c>
      <c r="B211">
        <v>17.05</v>
      </c>
      <c r="C211">
        <v>497.85</v>
      </c>
      <c r="G211">
        <v>29</v>
      </c>
      <c r="I211">
        <v>543.9</v>
      </c>
    </row>
    <row r="212" spans="1:9" x14ac:dyDescent="0.25">
      <c r="A212" s="10" t="s">
        <v>1412</v>
      </c>
      <c r="B212">
        <v>1</v>
      </c>
      <c r="C212">
        <v>243.4</v>
      </c>
      <c r="F212">
        <v>298.5</v>
      </c>
      <c r="I212">
        <v>542.9</v>
      </c>
    </row>
    <row r="213" spans="1:9" x14ac:dyDescent="0.25">
      <c r="A213" s="10" t="s">
        <v>406</v>
      </c>
      <c r="B213">
        <v>80.150000000000006</v>
      </c>
      <c r="C213">
        <v>426.8</v>
      </c>
      <c r="E213">
        <v>4</v>
      </c>
      <c r="G213">
        <v>31.65</v>
      </c>
      <c r="I213">
        <v>542.6</v>
      </c>
    </row>
    <row r="214" spans="1:9" x14ac:dyDescent="0.25">
      <c r="A214" s="10" t="s">
        <v>1413</v>
      </c>
      <c r="C214">
        <v>531.65000000000009</v>
      </c>
      <c r="I214">
        <v>531.65000000000009</v>
      </c>
    </row>
    <row r="215" spans="1:9" x14ac:dyDescent="0.25">
      <c r="A215" s="10" t="s">
        <v>831</v>
      </c>
      <c r="B215">
        <v>24.1</v>
      </c>
      <c r="C215">
        <v>344.95</v>
      </c>
      <c r="F215">
        <v>111.8</v>
      </c>
      <c r="G215">
        <v>36.799999999999997</v>
      </c>
      <c r="I215">
        <v>517.65</v>
      </c>
    </row>
    <row r="216" spans="1:9" x14ac:dyDescent="0.25">
      <c r="A216" s="10" t="s">
        <v>1414</v>
      </c>
      <c r="C216">
        <v>284.5</v>
      </c>
      <c r="G216">
        <v>218.65</v>
      </c>
      <c r="I216">
        <v>503.15</v>
      </c>
    </row>
    <row r="217" spans="1:9" x14ac:dyDescent="0.25">
      <c r="A217" s="10" t="s">
        <v>1415</v>
      </c>
      <c r="B217">
        <v>53.8</v>
      </c>
      <c r="C217">
        <v>445.55000000000013</v>
      </c>
      <c r="I217">
        <v>499.35000000000008</v>
      </c>
    </row>
    <row r="218" spans="1:9" x14ac:dyDescent="0.25">
      <c r="A218" s="10" t="s">
        <v>475</v>
      </c>
      <c r="B218">
        <v>9.6999999999999993</v>
      </c>
      <c r="C218">
        <v>488.95</v>
      </c>
      <c r="I218">
        <v>498.65</v>
      </c>
    </row>
    <row r="219" spans="1:9" x14ac:dyDescent="0.25">
      <c r="A219" s="10" t="s">
        <v>450</v>
      </c>
      <c r="B219">
        <v>15.8</v>
      </c>
      <c r="C219">
        <v>456.45</v>
      </c>
      <c r="G219">
        <v>21.2</v>
      </c>
      <c r="I219">
        <v>493.45</v>
      </c>
    </row>
    <row r="220" spans="1:9" x14ac:dyDescent="0.25">
      <c r="A220" s="10" t="s">
        <v>1416</v>
      </c>
      <c r="C220">
        <v>386.5</v>
      </c>
      <c r="F220">
        <v>80.5</v>
      </c>
      <c r="G220">
        <v>25.65</v>
      </c>
      <c r="I220">
        <v>492.65</v>
      </c>
    </row>
    <row r="221" spans="1:9" x14ac:dyDescent="0.25">
      <c r="A221" s="10" t="s">
        <v>1417</v>
      </c>
      <c r="C221">
        <v>486.85</v>
      </c>
      <c r="I221">
        <v>486.85</v>
      </c>
    </row>
    <row r="222" spans="1:9" x14ac:dyDescent="0.25">
      <c r="A222" s="10" t="s">
        <v>1085</v>
      </c>
      <c r="B222">
        <v>34.799999999999997</v>
      </c>
      <c r="C222">
        <v>61.9</v>
      </c>
      <c r="F222">
        <v>95.4</v>
      </c>
      <c r="G222">
        <v>293.60000000000002</v>
      </c>
      <c r="I222">
        <v>485.7</v>
      </c>
    </row>
    <row r="223" spans="1:9" x14ac:dyDescent="0.25">
      <c r="A223" s="10" t="s">
        <v>201</v>
      </c>
      <c r="B223">
        <v>23.45</v>
      </c>
      <c r="C223">
        <v>458.1</v>
      </c>
      <c r="I223">
        <v>481.55</v>
      </c>
    </row>
    <row r="224" spans="1:9" x14ac:dyDescent="0.25">
      <c r="A224" s="10" t="s">
        <v>1293</v>
      </c>
      <c r="B224">
        <v>20.95</v>
      </c>
      <c r="C224">
        <v>456.95</v>
      </c>
      <c r="I224">
        <v>477.9</v>
      </c>
    </row>
    <row r="225" spans="1:9" x14ac:dyDescent="0.25">
      <c r="A225" s="10" t="s">
        <v>339</v>
      </c>
      <c r="B225">
        <v>110.95</v>
      </c>
      <c r="C225">
        <v>2</v>
      </c>
      <c r="G225">
        <v>356.4</v>
      </c>
      <c r="I225">
        <v>469.35</v>
      </c>
    </row>
    <row r="226" spans="1:9" x14ac:dyDescent="0.25">
      <c r="A226" s="10" t="s">
        <v>1418</v>
      </c>
      <c r="B226">
        <v>154</v>
      </c>
      <c r="C226">
        <v>181.5</v>
      </c>
      <c r="F226">
        <v>133.69999999999999</v>
      </c>
      <c r="I226">
        <v>469.2</v>
      </c>
    </row>
    <row r="227" spans="1:9" x14ac:dyDescent="0.25">
      <c r="A227" s="10" t="s">
        <v>793</v>
      </c>
      <c r="B227">
        <v>107.1</v>
      </c>
      <c r="C227">
        <v>10.1</v>
      </c>
      <c r="F227">
        <v>18.7</v>
      </c>
      <c r="G227">
        <v>331.75</v>
      </c>
      <c r="I227">
        <v>467.65</v>
      </c>
    </row>
    <row r="228" spans="1:9" x14ac:dyDescent="0.25">
      <c r="A228" s="10" t="s">
        <v>1419</v>
      </c>
      <c r="B228">
        <v>28.1</v>
      </c>
      <c r="C228">
        <v>431.1</v>
      </c>
      <c r="E228">
        <v>2</v>
      </c>
      <c r="F228">
        <v>1.5</v>
      </c>
      <c r="I228">
        <v>462.7</v>
      </c>
    </row>
    <row r="229" spans="1:9" x14ac:dyDescent="0.25">
      <c r="A229" s="10" t="s">
        <v>1420</v>
      </c>
      <c r="B229">
        <v>3</v>
      </c>
      <c r="C229">
        <v>425.3</v>
      </c>
      <c r="F229">
        <v>32.200000000000003</v>
      </c>
      <c r="I229">
        <v>460.5</v>
      </c>
    </row>
    <row r="230" spans="1:9" x14ac:dyDescent="0.25">
      <c r="A230" s="10" t="s">
        <v>1421</v>
      </c>
      <c r="C230">
        <v>1</v>
      </c>
      <c r="F230">
        <v>456.5</v>
      </c>
      <c r="I230">
        <v>457.5</v>
      </c>
    </row>
    <row r="231" spans="1:9" x14ac:dyDescent="0.25">
      <c r="A231" s="10" t="s">
        <v>1109</v>
      </c>
      <c r="B231">
        <v>30.5</v>
      </c>
      <c r="C231">
        <v>188.85</v>
      </c>
      <c r="G231">
        <v>237.7</v>
      </c>
      <c r="I231">
        <v>457.05</v>
      </c>
    </row>
    <row r="232" spans="1:9" x14ac:dyDescent="0.25">
      <c r="A232" s="10" t="s">
        <v>1101</v>
      </c>
      <c r="C232">
        <v>444.05</v>
      </c>
      <c r="F232">
        <v>4</v>
      </c>
      <c r="G232">
        <v>7.85</v>
      </c>
      <c r="I232">
        <v>455.9</v>
      </c>
    </row>
    <row r="233" spans="1:9" x14ac:dyDescent="0.25">
      <c r="A233" s="10" t="s">
        <v>996</v>
      </c>
      <c r="B233">
        <v>11.3</v>
      </c>
      <c r="C233">
        <v>373.6</v>
      </c>
      <c r="F233">
        <v>5.7</v>
      </c>
      <c r="G233">
        <v>41.75</v>
      </c>
      <c r="I233">
        <v>432.35</v>
      </c>
    </row>
    <row r="234" spans="1:9" x14ac:dyDescent="0.25">
      <c r="A234" s="10" t="s">
        <v>897</v>
      </c>
      <c r="B234">
        <v>13.4</v>
      </c>
      <c r="C234">
        <v>244.35</v>
      </c>
      <c r="F234">
        <v>146.30000000000001</v>
      </c>
      <c r="G234">
        <v>23.1</v>
      </c>
      <c r="I234">
        <v>427.15</v>
      </c>
    </row>
    <row r="235" spans="1:9" x14ac:dyDescent="0.25">
      <c r="A235" s="10" t="s">
        <v>1422</v>
      </c>
      <c r="F235">
        <v>417.49999999999989</v>
      </c>
      <c r="I235">
        <v>417.49999999999989</v>
      </c>
    </row>
    <row r="236" spans="1:9" x14ac:dyDescent="0.25">
      <c r="A236" s="10" t="s">
        <v>1423</v>
      </c>
      <c r="B236">
        <v>28</v>
      </c>
      <c r="C236">
        <v>155.55000000000001</v>
      </c>
      <c r="G236">
        <v>42.55</v>
      </c>
      <c r="H236">
        <v>187.6</v>
      </c>
      <c r="I236">
        <v>413.69999999999987</v>
      </c>
    </row>
    <row r="237" spans="1:9" x14ac:dyDescent="0.25">
      <c r="A237" s="10" t="s">
        <v>1424</v>
      </c>
      <c r="F237">
        <v>413.3</v>
      </c>
      <c r="I237">
        <v>413.3</v>
      </c>
    </row>
    <row r="238" spans="1:9" x14ac:dyDescent="0.25">
      <c r="A238" s="10" t="s">
        <v>1253</v>
      </c>
      <c r="B238">
        <v>39.580000000000013</v>
      </c>
      <c r="C238">
        <v>192.3</v>
      </c>
      <c r="E238">
        <v>106.1</v>
      </c>
      <c r="G238">
        <v>75.3</v>
      </c>
      <c r="I238">
        <v>413.28</v>
      </c>
    </row>
    <row r="239" spans="1:9" x14ac:dyDescent="0.25">
      <c r="A239" s="10" t="s">
        <v>1425</v>
      </c>
      <c r="F239">
        <v>411.2</v>
      </c>
      <c r="I239">
        <v>411.2</v>
      </c>
    </row>
    <row r="240" spans="1:9" x14ac:dyDescent="0.25">
      <c r="A240" s="10" t="s">
        <v>650</v>
      </c>
      <c r="B240">
        <v>13.25</v>
      </c>
      <c r="C240">
        <v>324.75</v>
      </c>
      <c r="E240">
        <v>27.35</v>
      </c>
      <c r="G240">
        <v>43.35</v>
      </c>
      <c r="I240">
        <v>408.7</v>
      </c>
    </row>
    <row r="241" spans="1:9" x14ac:dyDescent="0.25">
      <c r="A241" s="10" t="s">
        <v>783</v>
      </c>
      <c r="B241">
        <v>17.2</v>
      </c>
      <c r="C241">
        <v>237.1</v>
      </c>
      <c r="F241">
        <v>99.95</v>
      </c>
      <c r="G241">
        <v>52.6</v>
      </c>
      <c r="I241">
        <v>406.85</v>
      </c>
    </row>
    <row r="242" spans="1:9" x14ac:dyDescent="0.25">
      <c r="A242" s="10" t="s">
        <v>634</v>
      </c>
      <c r="C242">
        <v>382.6</v>
      </c>
      <c r="F242">
        <v>20.100000000000001</v>
      </c>
      <c r="I242">
        <v>402.7</v>
      </c>
    </row>
    <row r="243" spans="1:9" x14ac:dyDescent="0.25">
      <c r="A243" s="10" t="s">
        <v>1426</v>
      </c>
      <c r="B243">
        <v>55.3</v>
      </c>
      <c r="C243">
        <v>300.8</v>
      </c>
      <c r="E243">
        <v>6</v>
      </c>
      <c r="G243">
        <v>26.95</v>
      </c>
      <c r="I243">
        <v>389.05</v>
      </c>
    </row>
    <row r="244" spans="1:9" x14ac:dyDescent="0.25">
      <c r="A244" s="10" t="s">
        <v>1427</v>
      </c>
      <c r="B244">
        <v>6.4</v>
      </c>
      <c r="C244">
        <v>39.1</v>
      </c>
      <c r="F244">
        <v>343.3</v>
      </c>
      <c r="I244">
        <v>388.8</v>
      </c>
    </row>
    <row r="245" spans="1:9" x14ac:dyDescent="0.25">
      <c r="A245" s="10" t="s">
        <v>1428</v>
      </c>
      <c r="C245">
        <v>373.04</v>
      </c>
      <c r="G245">
        <v>12.55</v>
      </c>
      <c r="I245">
        <v>385.59</v>
      </c>
    </row>
    <row r="246" spans="1:9" x14ac:dyDescent="0.25">
      <c r="A246" s="10" t="s">
        <v>1139</v>
      </c>
      <c r="B246">
        <v>109.5</v>
      </c>
      <c r="C246">
        <v>131</v>
      </c>
      <c r="F246">
        <v>31.4</v>
      </c>
      <c r="G246">
        <v>110.25</v>
      </c>
      <c r="I246">
        <v>382.15</v>
      </c>
    </row>
    <row r="247" spans="1:9" x14ac:dyDescent="0.25">
      <c r="A247" s="10" t="s">
        <v>446</v>
      </c>
      <c r="B247">
        <v>19</v>
      </c>
      <c r="C247">
        <v>344.15</v>
      </c>
      <c r="G247">
        <v>14.8</v>
      </c>
      <c r="I247">
        <v>377.95</v>
      </c>
    </row>
    <row r="248" spans="1:9" x14ac:dyDescent="0.25">
      <c r="A248" s="10" t="s">
        <v>1429</v>
      </c>
      <c r="B248">
        <v>130.80000000000001</v>
      </c>
      <c r="C248">
        <v>240.2</v>
      </c>
      <c r="E248">
        <v>4.8499999999999996</v>
      </c>
      <c r="I248">
        <v>375.85</v>
      </c>
    </row>
    <row r="249" spans="1:9" x14ac:dyDescent="0.25">
      <c r="A249" s="10" t="s">
        <v>157</v>
      </c>
      <c r="B249">
        <v>38.799999999999997</v>
      </c>
      <c r="C249">
        <v>274.7</v>
      </c>
      <c r="E249">
        <v>51</v>
      </c>
      <c r="F249">
        <v>10.55</v>
      </c>
      <c r="I249">
        <v>375.05</v>
      </c>
    </row>
    <row r="250" spans="1:9" x14ac:dyDescent="0.25">
      <c r="A250" s="10" t="s">
        <v>1430</v>
      </c>
      <c r="B250">
        <v>165.8</v>
      </c>
      <c r="C250">
        <v>134.6</v>
      </c>
      <c r="F250">
        <v>74.2</v>
      </c>
      <c r="I250">
        <v>374.6</v>
      </c>
    </row>
    <row r="251" spans="1:9" x14ac:dyDescent="0.25">
      <c r="A251" s="10" t="s">
        <v>1431</v>
      </c>
      <c r="C251">
        <v>348.5</v>
      </c>
      <c r="G251">
        <v>24.6</v>
      </c>
      <c r="I251">
        <v>373.1</v>
      </c>
    </row>
    <row r="252" spans="1:9" x14ac:dyDescent="0.25">
      <c r="A252" s="10" t="s">
        <v>557</v>
      </c>
      <c r="B252">
        <v>21.55</v>
      </c>
      <c r="C252">
        <v>351.5</v>
      </c>
      <c r="I252">
        <v>373.05</v>
      </c>
    </row>
    <row r="253" spans="1:9" x14ac:dyDescent="0.25">
      <c r="A253" s="10" t="s">
        <v>508</v>
      </c>
      <c r="B253">
        <v>33.299999999999997</v>
      </c>
      <c r="C253">
        <v>243.35</v>
      </c>
      <c r="G253">
        <v>90.649999999999991</v>
      </c>
      <c r="I253">
        <v>367.3</v>
      </c>
    </row>
    <row r="254" spans="1:9" x14ac:dyDescent="0.25">
      <c r="A254" s="10" t="s">
        <v>902</v>
      </c>
      <c r="B254">
        <v>123.4</v>
      </c>
      <c r="C254">
        <v>103.7</v>
      </c>
      <c r="G254">
        <v>139.85</v>
      </c>
      <c r="I254">
        <v>366.95</v>
      </c>
    </row>
    <row r="255" spans="1:9" x14ac:dyDescent="0.25">
      <c r="A255" s="10" t="s">
        <v>229</v>
      </c>
      <c r="B255">
        <v>2</v>
      </c>
      <c r="C255">
        <v>312.2</v>
      </c>
      <c r="E255">
        <v>14</v>
      </c>
      <c r="G255">
        <v>36.65</v>
      </c>
      <c r="I255">
        <v>364.85</v>
      </c>
    </row>
    <row r="256" spans="1:9" x14ac:dyDescent="0.25">
      <c r="A256" s="10" t="s">
        <v>1432</v>
      </c>
      <c r="B256">
        <v>34.65</v>
      </c>
      <c r="C256">
        <v>241.7</v>
      </c>
      <c r="F256">
        <v>88.15</v>
      </c>
      <c r="I256">
        <v>364.5</v>
      </c>
    </row>
    <row r="257" spans="1:9" x14ac:dyDescent="0.25">
      <c r="A257" s="10" t="s">
        <v>121</v>
      </c>
      <c r="B257">
        <v>88.7</v>
      </c>
      <c r="C257">
        <v>143.4</v>
      </c>
      <c r="E257">
        <v>2</v>
      </c>
      <c r="F257">
        <v>29.5</v>
      </c>
      <c r="G257">
        <v>97.25</v>
      </c>
      <c r="I257">
        <v>360.85</v>
      </c>
    </row>
    <row r="258" spans="1:9" x14ac:dyDescent="0.25">
      <c r="A258" s="10" t="s">
        <v>936</v>
      </c>
      <c r="B258">
        <v>13.4</v>
      </c>
      <c r="C258">
        <v>39</v>
      </c>
      <c r="F258">
        <v>5.7</v>
      </c>
      <c r="G258">
        <v>301.85000000000002</v>
      </c>
      <c r="I258">
        <v>359.95</v>
      </c>
    </row>
    <row r="259" spans="1:9" x14ac:dyDescent="0.25">
      <c r="A259" s="10" t="s">
        <v>1433</v>
      </c>
      <c r="B259">
        <v>121.6</v>
      </c>
      <c r="C259">
        <v>233</v>
      </c>
      <c r="E259">
        <v>3</v>
      </c>
      <c r="I259">
        <v>357.6</v>
      </c>
    </row>
    <row r="260" spans="1:9" x14ac:dyDescent="0.25">
      <c r="A260" s="10" t="s">
        <v>331</v>
      </c>
      <c r="B260">
        <v>124.75</v>
      </c>
      <c r="C260">
        <v>231.8</v>
      </c>
      <c r="I260">
        <v>356.55</v>
      </c>
    </row>
    <row r="261" spans="1:9" x14ac:dyDescent="0.25">
      <c r="A261" s="10" t="s">
        <v>1054</v>
      </c>
      <c r="B261">
        <v>25.3</v>
      </c>
      <c r="F261">
        <v>29.1</v>
      </c>
      <c r="G261">
        <v>301.89999999999998</v>
      </c>
      <c r="I261">
        <v>356.3</v>
      </c>
    </row>
    <row r="262" spans="1:9" x14ac:dyDescent="0.25">
      <c r="A262" s="10" t="s">
        <v>1289</v>
      </c>
      <c r="B262">
        <v>21.4</v>
      </c>
      <c r="C262">
        <v>330.2</v>
      </c>
      <c r="I262">
        <v>351.6</v>
      </c>
    </row>
    <row r="263" spans="1:9" x14ac:dyDescent="0.25">
      <c r="A263" s="10" t="s">
        <v>1434</v>
      </c>
      <c r="F263">
        <v>349.75</v>
      </c>
      <c r="I263">
        <v>349.75</v>
      </c>
    </row>
    <row r="264" spans="1:9" x14ac:dyDescent="0.25">
      <c r="A264" s="10" t="s">
        <v>1435</v>
      </c>
      <c r="C264">
        <v>136.4</v>
      </c>
      <c r="G264">
        <v>207.25</v>
      </c>
      <c r="I264">
        <v>343.65</v>
      </c>
    </row>
    <row r="265" spans="1:9" x14ac:dyDescent="0.25">
      <c r="A265" s="10" t="s">
        <v>1436</v>
      </c>
      <c r="B265">
        <v>206.45</v>
      </c>
      <c r="C265">
        <v>100.95</v>
      </c>
      <c r="G265">
        <v>27.8</v>
      </c>
      <c r="I265">
        <v>335.2</v>
      </c>
    </row>
    <row r="266" spans="1:9" x14ac:dyDescent="0.25">
      <c r="A266" s="10" t="s">
        <v>193</v>
      </c>
      <c r="B266">
        <v>4.3499999999999996</v>
      </c>
      <c r="C266">
        <v>267.39999999999998</v>
      </c>
      <c r="F266">
        <v>48.7</v>
      </c>
      <c r="G266">
        <v>7.7</v>
      </c>
      <c r="I266">
        <v>328.15</v>
      </c>
    </row>
    <row r="267" spans="1:9" x14ac:dyDescent="0.25">
      <c r="A267" s="10" t="s">
        <v>983</v>
      </c>
      <c r="B267">
        <v>36.5</v>
      </c>
      <c r="C267">
        <v>50.2</v>
      </c>
      <c r="F267">
        <v>11.7</v>
      </c>
      <c r="G267">
        <v>229.15</v>
      </c>
      <c r="I267">
        <v>327.55</v>
      </c>
    </row>
    <row r="268" spans="1:9" x14ac:dyDescent="0.25">
      <c r="A268" s="10" t="s">
        <v>787</v>
      </c>
      <c r="B268">
        <v>52</v>
      </c>
      <c r="C268">
        <v>262.2</v>
      </c>
      <c r="G268">
        <v>11.55</v>
      </c>
      <c r="I268">
        <v>325.75000000000011</v>
      </c>
    </row>
    <row r="269" spans="1:9" x14ac:dyDescent="0.25">
      <c r="A269" s="10" t="s">
        <v>1437</v>
      </c>
      <c r="C269">
        <v>14.4</v>
      </c>
      <c r="F269">
        <v>307</v>
      </c>
      <c r="I269">
        <v>321.39999999999998</v>
      </c>
    </row>
    <row r="270" spans="1:9" x14ac:dyDescent="0.25">
      <c r="A270" s="10" t="s">
        <v>1438</v>
      </c>
      <c r="C270">
        <v>92.7</v>
      </c>
      <c r="F270">
        <v>227.45</v>
      </c>
      <c r="I270">
        <v>320.14999999999998</v>
      </c>
    </row>
    <row r="271" spans="1:9" x14ac:dyDescent="0.25">
      <c r="A271" s="10" t="s">
        <v>1439</v>
      </c>
      <c r="B271">
        <v>115.5</v>
      </c>
      <c r="C271">
        <v>91.1</v>
      </c>
      <c r="F271">
        <v>109.8</v>
      </c>
      <c r="I271">
        <v>316.39999999999998</v>
      </c>
    </row>
    <row r="272" spans="1:9" x14ac:dyDescent="0.25">
      <c r="A272" s="10" t="s">
        <v>1440</v>
      </c>
      <c r="B272">
        <v>35.5</v>
      </c>
      <c r="C272">
        <v>254.25</v>
      </c>
      <c r="G272">
        <v>22.25</v>
      </c>
      <c r="I272">
        <v>312</v>
      </c>
    </row>
    <row r="273" spans="1:9" x14ac:dyDescent="0.25">
      <c r="A273" s="10" t="s">
        <v>967</v>
      </c>
      <c r="B273">
        <v>2</v>
      </c>
      <c r="C273">
        <v>227.1</v>
      </c>
      <c r="F273">
        <v>82.4</v>
      </c>
      <c r="I273">
        <v>311.5</v>
      </c>
    </row>
    <row r="274" spans="1:9" x14ac:dyDescent="0.25">
      <c r="A274" s="10" t="s">
        <v>1441</v>
      </c>
      <c r="B274">
        <v>37.6</v>
      </c>
      <c r="C274">
        <v>11.7</v>
      </c>
      <c r="G274">
        <v>257.2</v>
      </c>
      <c r="I274">
        <v>306.5</v>
      </c>
    </row>
    <row r="275" spans="1:9" x14ac:dyDescent="0.25">
      <c r="A275" s="10" t="s">
        <v>1442</v>
      </c>
      <c r="C275">
        <v>295.89999999999998</v>
      </c>
      <c r="G275">
        <v>10.1</v>
      </c>
      <c r="I275">
        <v>306</v>
      </c>
    </row>
    <row r="276" spans="1:9" x14ac:dyDescent="0.25">
      <c r="A276" s="10" t="s">
        <v>1443</v>
      </c>
      <c r="B276">
        <v>96.95</v>
      </c>
      <c r="F276">
        <v>207.1</v>
      </c>
      <c r="I276">
        <v>304.05</v>
      </c>
    </row>
    <row r="277" spans="1:9" x14ac:dyDescent="0.25">
      <c r="A277" s="10" t="s">
        <v>1444</v>
      </c>
      <c r="F277">
        <v>298.39999999999998</v>
      </c>
      <c r="I277">
        <v>298.39999999999998</v>
      </c>
    </row>
    <row r="278" spans="1:9" x14ac:dyDescent="0.25">
      <c r="A278" s="10" t="s">
        <v>206</v>
      </c>
      <c r="B278">
        <v>50.6</v>
      </c>
      <c r="C278">
        <v>17.05</v>
      </c>
      <c r="F278">
        <v>14.1</v>
      </c>
      <c r="G278">
        <v>215.65</v>
      </c>
      <c r="I278">
        <v>297.39999999999998</v>
      </c>
    </row>
    <row r="279" spans="1:9" x14ac:dyDescent="0.25">
      <c r="A279" s="10" t="s">
        <v>50</v>
      </c>
      <c r="C279">
        <v>63.9</v>
      </c>
      <c r="F279">
        <v>4</v>
      </c>
      <c r="G279">
        <v>227.6</v>
      </c>
      <c r="I279">
        <v>295.5</v>
      </c>
    </row>
    <row r="280" spans="1:9" x14ac:dyDescent="0.25">
      <c r="A280" s="10" t="s">
        <v>1303</v>
      </c>
      <c r="B280">
        <v>27.8</v>
      </c>
      <c r="C280">
        <v>225</v>
      </c>
      <c r="G280">
        <v>41.95</v>
      </c>
      <c r="I280">
        <v>294.75</v>
      </c>
    </row>
    <row r="281" spans="1:9" x14ac:dyDescent="0.25">
      <c r="A281" s="10" t="s">
        <v>841</v>
      </c>
      <c r="B281">
        <v>10.4</v>
      </c>
      <c r="C281">
        <v>209</v>
      </c>
      <c r="F281">
        <v>13.7</v>
      </c>
      <c r="G281">
        <v>58.5</v>
      </c>
      <c r="I281">
        <v>291.60000000000002</v>
      </c>
    </row>
    <row r="282" spans="1:9" x14ac:dyDescent="0.25">
      <c r="A282" s="10" t="s">
        <v>1445</v>
      </c>
      <c r="B282">
        <v>43.2</v>
      </c>
      <c r="C282">
        <v>244.65</v>
      </c>
      <c r="I282">
        <v>287.85000000000002</v>
      </c>
    </row>
    <row r="283" spans="1:9" x14ac:dyDescent="0.25">
      <c r="A283" s="10" t="s">
        <v>926</v>
      </c>
      <c r="C283">
        <v>173.7</v>
      </c>
      <c r="F283">
        <v>103.2</v>
      </c>
      <c r="G283">
        <v>9.6999999999999993</v>
      </c>
      <c r="I283">
        <v>286.60000000000002</v>
      </c>
    </row>
    <row r="284" spans="1:9" x14ac:dyDescent="0.25">
      <c r="A284" s="10" t="s">
        <v>152</v>
      </c>
      <c r="B284">
        <v>23.8</v>
      </c>
      <c r="F284">
        <v>7</v>
      </c>
      <c r="G284">
        <v>254.1</v>
      </c>
      <c r="I284">
        <v>284.89999999999998</v>
      </c>
    </row>
    <row r="285" spans="1:9" x14ac:dyDescent="0.25">
      <c r="A285" s="10" t="s">
        <v>1446</v>
      </c>
      <c r="C285">
        <v>269.57</v>
      </c>
      <c r="G285">
        <v>13.5</v>
      </c>
      <c r="I285">
        <v>283.07</v>
      </c>
    </row>
    <row r="286" spans="1:9" x14ac:dyDescent="0.25">
      <c r="A286" s="10" t="s">
        <v>817</v>
      </c>
      <c r="B286">
        <v>29.5</v>
      </c>
      <c r="C286">
        <v>28.5</v>
      </c>
      <c r="F286">
        <v>91.4</v>
      </c>
      <c r="G286">
        <v>132.55000000000001</v>
      </c>
      <c r="I286">
        <v>281.95</v>
      </c>
    </row>
    <row r="287" spans="1:9" x14ac:dyDescent="0.25">
      <c r="A287" s="10" t="s">
        <v>1447</v>
      </c>
      <c r="F287">
        <v>273.89999999999998</v>
      </c>
      <c r="I287">
        <v>273.89999999999998</v>
      </c>
    </row>
    <row r="288" spans="1:9" x14ac:dyDescent="0.25">
      <c r="A288" s="10" t="s">
        <v>1448</v>
      </c>
      <c r="C288">
        <v>266.75</v>
      </c>
      <c r="G288">
        <v>2</v>
      </c>
      <c r="I288">
        <v>268.75</v>
      </c>
    </row>
    <row r="289" spans="1:9" x14ac:dyDescent="0.25">
      <c r="A289" s="10" t="s">
        <v>218</v>
      </c>
      <c r="B289">
        <v>17.399999999999999</v>
      </c>
      <c r="C289">
        <v>236.85</v>
      </c>
      <c r="F289">
        <v>10.55</v>
      </c>
      <c r="G289">
        <v>3.35</v>
      </c>
      <c r="I289">
        <v>268.14999999999998</v>
      </c>
    </row>
    <row r="290" spans="1:9" x14ac:dyDescent="0.25">
      <c r="A290" s="10" t="s">
        <v>249</v>
      </c>
      <c r="B290">
        <v>28.8</v>
      </c>
      <c r="C290">
        <v>233.05</v>
      </c>
      <c r="G290">
        <v>4.8499999999999996</v>
      </c>
      <c r="I290">
        <v>266.7</v>
      </c>
    </row>
    <row r="291" spans="1:9" x14ac:dyDescent="0.25">
      <c r="A291" s="10" t="s">
        <v>1449</v>
      </c>
      <c r="F291">
        <v>264.45</v>
      </c>
      <c r="I291">
        <v>264.45</v>
      </c>
    </row>
    <row r="292" spans="1:9" x14ac:dyDescent="0.25">
      <c r="A292" s="10" t="s">
        <v>455</v>
      </c>
      <c r="B292">
        <v>9.3999999999999986</v>
      </c>
      <c r="C292">
        <v>249.05</v>
      </c>
      <c r="G292">
        <v>4</v>
      </c>
      <c r="I292">
        <v>262.45</v>
      </c>
    </row>
    <row r="293" spans="1:9" x14ac:dyDescent="0.25">
      <c r="A293" s="10" t="s">
        <v>1450</v>
      </c>
      <c r="B293">
        <v>42.8</v>
      </c>
      <c r="C293">
        <v>217.4</v>
      </c>
      <c r="I293">
        <v>260.2</v>
      </c>
    </row>
    <row r="294" spans="1:9" x14ac:dyDescent="0.25">
      <c r="A294" s="10" t="s">
        <v>1451</v>
      </c>
      <c r="B294">
        <v>17.899999999999999</v>
      </c>
      <c r="C294">
        <v>241.27</v>
      </c>
      <c r="I294">
        <v>259.17</v>
      </c>
    </row>
    <row r="295" spans="1:9" x14ac:dyDescent="0.25">
      <c r="A295" s="10" t="s">
        <v>1452</v>
      </c>
      <c r="B295">
        <v>25.4</v>
      </c>
      <c r="C295">
        <v>2</v>
      </c>
      <c r="G295">
        <v>230.8</v>
      </c>
      <c r="I295">
        <v>258.2</v>
      </c>
    </row>
    <row r="296" spans="1:9" x14ac:dyDescent="0.25">
      <c r="A296" s="10" t="s">
        <v>35</v>
      </c>
      <c r="B296">
        <v>12</v>
      </c>
      <c r="C296">
        <v>245.2</v>
      </c>
      <c r="I296">
        <v>257.2</v>
      </c>
    </row>
    <row r="297" spans="1:9" x14ac:dyDescent="0.25">
      <c r="A297" s="10" t="s">
        <v>1453</v>
      </c>
      <c r="F297">
        <v>250.9</v>
      </c>
      <c r="I297">
        <v>250.9</v>
      </c>
    </row>
    <row r="298" spans="1:9" x14ac:dyDescent="0.25">
      <c r="A298" s="10" t="s">
        <v>1454</v>
      </c>
      <c r="B298">
        <v>248.8</v>
      </c>
      <c r="I298">
        <v>248.8</v>
      </c>
    </row>
    <row r="299" spans="1:9" x14ac:dyDescent="0.25">
      <c r="A299" s="10" t="s">
        <v>1455</v>
      </c>
      <c r="B299">
        <v>90.1</v>
      </c>
      <c r="C299">
        <v>155.6</v>
      </c>
      <c r="F299">
        <v>1</v>
      </c>
      <c r="I299">
        <v>246.7</v>
      </c>
    </row>
    <row r="300" spans="1:9" x14ac:dyDescent="0.25">
      <c r="A300" s="10" t="s">
        <v>944</v>
      </c>
      <c r="B300">
        <v>3.2</v>
      </c>
      <c r="C300">
        <v>120.3</v>
      </c>
      <c r="F300">
        <v>109.6</v>
      </c>
      <c r="G300">
        <v>11.4</v>
      </c>
      <c r="I300">
        <v>244.5</v>
      </c>
    </row>
    <row r="301" spans="1:9" x14ac:dyDescent="0.25">
      <c r="A301" s="10" t="s">
        <v>1456</v>
      </c>
      <c r="B301">
        <v>41</v>
      </c>
      <c r="C301">
        <v>114.8</v>
      </c>
      <c r="G301">
        <v>88.55</v>
      </c>
      <c r="I301">
        <v>244.35</v>
      </c>
    </row>
    <row r="302" spans="1:9" x14ac:dyDescent="0.25">
      <c r="A302" s="10" t="s">
        <v>881</v>
      </c>
      <c r="B302">
        <v>15.5</v>
      </c>
      <c r="C302">
        <v>218.8</v>
      </c>
      <c r="F302">
        <v>8.6999999999999993</v>
      </c>
      <c r="G302">
        <v>0</v>
      </c>
      <c r="I302">
        <v>243</v>
      </c>
    </row>
    <row r="303" spans="1:9" x14ac:dyDescent="0.25">
      <c r="A303" s="10" t="s">
        <v>1457</v>
      </c>
      <c r="B303">
        <v>158.4</v>
      </c>
      <c r="C303">
        <v>82.600000000000009</v>
      </c>
      <c r="I303">
        <v>241</v>
      </c>
    </row>
    <row r="304" spans="1:9" x14ac:dyDescent="0.25">
      <c r="A304" s="10" t="s">
        <v>1458</v>
      </c>
      <c r="C304">
        <v>215.51</v>
      </c>
      <c r="G304">
        <v>24.1</v>
      </c>
      <c r="I304">
        <v>239.61</v>
      </c>
    </row>
    <row r="305" spans="1:9" x14ac:dyDescent="0.25">
      <c r="A305" s="10" t="s">
        <v>107</v>
      </c>
      <c r="B305">
        <v>27.3</v>
      </c>
      <c r="C305">
        <v>153.44999999999999</v>
      </c>
      <c r="F305">
        <v>3.7</v>
      </c>
      <c r="G305">
        <v>54.2</v>
      </c>
      <c r="I305">
        <v>238.65</v>
      </c>
    </row>
    <row r="306" spans="1:9" x14ac:dyDescent="0.25">
      <c r="A306" s="10" t="s">
        <v>1459</v>
      </c>
      <c r="F306">
        <v>236.7</v>
      </c>
      <c r="I306">
        <v>236.7</v>
      </c>
    </row>
    <row r="307" spans="1:9" x14ac:dyDescent="0.25">
      <c r="A307" s="10" t="s">
        <v>1460</v>
      </c>
      <c r="F307">
        <v>236.5</v>
      </c>
      <c r="I307">
        <v>236.5</v>
      </c>
    </row>
    <row r="308" spans="1:9" x14ac:dyDescent="0.25">
      <c r="A308" s="10" t="s">
        <v>42</v>
      </c>
      <c r="B308">
        <v>4.5</v>
      </c>
      <c r="C308">
        <v>224.95</v>
      </c>
      <c r="G308">
        <v>2</v>
      </c>
      <c r="I308">
        <v>231.45</v>
      </c>
    </row>
    <row r="309" spans="1:9" x14ac:dyDescent="0.25">
      <c r="A309" s="10" t="s">
        <v>1461</v>
      </c>
      <c r="F309">
        <v>231.35</v>
      </c>
      <c r="I309">
        <v>231.35</v>
      </c>
    </row>
    <row r="310" spans="1:9" x14ac:dyDescent="0.25">
      <c r="A310" s="10" t="s">
        <v>1462</v>
      </c>
      <c r="C310">
        <v>14.75</v>
      </c>
      <c r="G310">
        <v>216.2</v>
      </c>
      <c r="I310">
        <v>230.95</v>
      </c>
    </row>
    <row r="311" spans="1:9" x14ac:dyDescent="0.25">
      <c r="A311" s="10" t="s">
        <v>1463</v>
      </c>
      <c r="C311">
        <v>36.299999999999997</v>
      </c>
      <c r="F311">
        <v>194.5</v>
      </c>
      <c r="I311">
        <v>230.8</v>
      </c>
    </row>
    <row r="312" spans="1:9" x14ac:dyDescent="0.25">
      <c r="A312" s="10" t="s">
        <v>1464</v>
      </c>
      <c r="B312">
        <v>32.700000000000003</v>
      </c>
      <c r="C312">
        <v>18.399999999999999</v>
      </c>
      <c r="G312">
        <v>174.65</v>
      </c>
      <c r="I312">
        <v>225.75</v>
      </c>
    </row>
    <row r="313" spans="1:9" x14ac:dyDescent="0.25">
      <c r="A313" s="10" t="s">
        <v>366</v>
      </c>
      <c r="B313">
        <v>6.55</v>
      </c>
      <c r="C313">
        <v>219.1</v>
      </c>
      <c r="I313">
        <v>225.65</v>
      </c>
    </row>
    <row r="314" spans="1:9" x14ac:dyDescent="0.25">
      <c r="A314" s="10" t="s">
        <v>774</v>
      </c>
      <c r="B314">
        <v>117.9</v>
      </c>
      <c r="C314">
        <v>10.199999999999999</v>
      </c>
      <c r="F314">
        <v>71.5</v>
      </c>
      <c r="G314">
        <v>25.95</v>
      </c>
      <c r="I314">
        <v>225.55</v>
      </c>
    </row>
    <row r="315" spans="1:9" x14ac:dyDescent="0.25">
      <c r="A315" s="10" t="s">
        <v>1037</v>
      </c>
      <c r="B315">
        <v>3.2</v>
      </c>
      <c r="F315">
        <v>221.35</v>
      </c>
      <c r="G315">
        <v>-1</v>
      </c>
      <c r="I315">
        <v>223.55</v>
      </c>
    </row>
    <row r="316" spans="1:9" x14ac:dyDescent="0.25">
      <c r="A316" s="10" t="s">
        <v>1465</v>
      </c>
      <c r="B316">
        <v>35.5</v>
      </c>
      <c r="C316">
        <v>160.25</v>
      </c>
      <c r="G316">
        <v>27.1</v>
      </c>
      <c r="I316">
        <v>222.85</v>
      </c>
    </row>
    <row r="317" spans="1:9" x14ac:dyDescent="0.25">
      <c r="A317" s="10" t="s">
        <v>701</v>
      </c>
      <c r="C317">
        <v>220.95</v>
      </c>
      <c r="I317">
        <v>220.95</v>
      </c>
    </row>
    <row r="318" spans="1:9" x14ac:dyDescent="0.25">
      <c r="A318" s="10" t="s">
        <v>1088</v>
      </c>
      <c r="B318">
        <v>6.7</v>
      </c>
      <c r="C318">
        <v>51.849999999999987</v>
      </c>
      <c r="E318">
        <v>5.7</v>
      </c>
      <c r="F318">
        <v>13</v>
      </c>
      <c r="G318">
        <v>142.9</v>
      </c>
      <c r="I318">
        <v>220.15</v>
      </c>
    </row>
    <row r="319" spans="1:9" x14ac:dyDescent="0.25">
      <c r="A319" s="10" t="s">
        <v>1466</v>
      </c>
      <c r="B319">
        <v>17.399999999999999</v>
      </c>
      <c r="C319">
        <v>142.05000000000001</v>
      </c>
      <c r="F319">
        <v>9.4</v>
      </c>
      <c r="G319">
        <v>50.05</v>
      </c>
      <c r="I319">
        <v>218.9</v>
      </c>
    </row>
    <row r="320" spans="1:9" x14ac:dyDescent="0.25">
      <c r="A320" s="10" t="s">
        <v>1467</v>
      </c>
      <c r="C320">
        <v>214.06</v>
      </c>
      <c r="I320">
        <v>214.06</v>
      </c>
    </row>
    <row r="321" spans="1:9" x14ac:dyDescent="0.25">
      <c r="A321" s="10" t="s">
        <v>1286</v>
      </c>
      <c r="B321">
        <v>4.55</v>
      </c>
      <c r="C321">
        <v>206.9</v>
      </c>
      <c r="I321">
        <v>211.45</v>
      </c>
    </row>
    <row r="322" spans="1:9" x14ac:dyDescent="0.25">
      <c r="A322" s="10" t="s">
        <v>1468</v>
      </c>
      <c r="B322">
        <v>42.85</v>
      </c>
      <c r="C322">
        <v>120.9</v>
      </c>
      <c r="F322">
        <v>2.5</v>
      </c>
      <c r="G322">
        <v>43.2</v>
      </c>
      <c r="I322">
        <v>209.45</v>
      </c>
    </row>
    <row r="323" spans="1:9" x14ac:dyDescent="0.25">
      <c r="A323" s="10" t="s">
        <v>836</v>
      </c>
      <c r="C323">
        <v>117.35</v>
      </c>
      <c r="F323">
        <v>20.7</v>
      </c>
      <c r="G323">
        <v>68.05</v>
      </c>
      <c r="I323">
        <v>206.1</v>
      </c>
    </row>
    <row r="324" spans="1:9" x14ac:dyDescent="0.25">
      <c r="A324" s="10" t="s">
        <v>487</v>
      </c>
      <c r="B324">
        <v>112.3</v>
      </c>
      <c r="C324">
        <v>11.4</v>
      </c>
      <c r="G324">
        <v>78.899999999999991</v>
      </c>
      <c r="I324">
        <v>202.6</v>
      </c>
    </row>
    <row r="325" spans="1:9" x14ac:dyDescent="0.25">
      <c r="A325" s="10" t="s">
        <v>435</v>
      </c>
      <c r="B325">
        <v>30.85</v>
      </c>
      <c r="C325">
        <v>169.55</v>
      </c>
      <c r="I325">
        <v>200.4</v>
      </c>
    </row>
    <row r="326" spans="1:9" x14ac:dyDescent="0.25">
      <c r="A326" s="10" t="s">
        <v>1469</v>
      </c>
      <c r="F326">
        <v>200.1</v>
      </c>
      <c r="I326">
        <v>200.1</v>
      </c>
    </row>
    <row r="327" spans="1:9" x14ac:dyDescent="0.25">
      <c r="A327" s="10" t="s">
        <v>619</v>
      </c>
      <c r="C327">
        <v>181.8</v>
      </c>
      <c r="E327">
        <v>8</v>
      </c>
      <c r="G327">
        <v>8.85</v>
      </c>
      <c r="I327">
        <v>198.65</v>
      </c>
    </row>
    <row r="328" spans="1:9" x14ac:dyDescent="0.25">
      <c r="A328" s="10" t="s">
        <v>1470</v>
      </c>
      <c r="F328">
        <v>165.05</v>
      </c>
      <c r="G328">
        <v>30.4</v>
      </c>
      <c r="I328">
        <v>195.45</v>
      </c>
    </row>
    <row r="329" spans="1:9" x14ac:dyDescent="0.25">
      <c r="A329" s="10" t="s">
        <v>1471</v>
      </c>
      <c r="B329">
        <v>88.55</v>
      </c>
      <c r="C329">
        <v>91.100000000000009</v>
      </c>
      <c r="G329">
        <v>15.4</v>
      </c>
      <c r="I329">
        <v>195.05</v>
      </c>
    </row>
    <row r="330" spans="1:9" x14ac:dyDescent="0.25">
      <c r="A330" s="10" t="s">
        <v>1472</v>
      </c>
      <c r="C330">
        <v>190.75</v>
      </c>
      <c r="E330">
        <v>3.7</v>
      </c>
      <c r="I330">
        <v>194.45</v>
      </c>
    </row>
    <row r="331" spans="1:9" x14ac:dyDescent="0.25">
      <c r="A331" s="10" t="s">
        <v>1473</v>
      </c>
      <c r="F331">
        <v>192.15</v>
      </c>
      <c r="I331">
        <v>192.15</v>
      </c>
    </row>
    <row r="332" spans="1:9" x14ac:dyDescent="0.25">
      <c r="A332" s="10" t="s">
        <v>1474</v>
      </c>
      <c r="F332">
        <v>190.97</v>
      </c>
      <c r="I332">
        <v>190.97</v>
      </c>
    </row>
    <row r="333" spans="1:9" x14ac:dyDescent="0.25">
      <c r="A333" s="10" t="s">
        <v>920</v>
      </c>
      <c r="B333">
        <v>2</v>
      </c>
      <c r="C333">
        <v>150.6</v>
      </c>
      <c r="F333">
        <v>30.4</v>
      </c>
      <c r="G333">
        <v>7.7</v>
      </c>
      <c r="I333">
        <v>190.7</v>
      </c>
    </row>
    <row r="334" spans="1:9" x14ac:dyDescent="0.25">
      <c r="A334" s="10" t="s">
        <v>1475</v>
      </c>
      <c r="C334">
        <v>54.75</v>
      </c>
      <c r="G334">
        <v>131</v>
      </c>
      <c r="I334">
        <v>185.75</v>
      </c>
    </row>
    <row r="335" spans="1:9" x14ac:dyDescent="0.25">
      <c r="A335" s="10" t="s">
        <v>1476</v>
      </c>
      <c r="B335">
        <v>182.95</v>
      </c>
      <c r="I335">
        <v>182.95</v>
      </c>
    </row>
    <row r="336" spans="1:9" x14ac:dyDescent="0.25">
      <c r="A336" s="10" t="s">
        <v>578</v>
      </c>
      <c r="B336">
        <v>142.4</v>
      </c>
      <c r="C336">
        <v>15.4</v>
      </c>
      <c r="E336">
        <v>1</v>
      </c>
      <c r="G336">
        <v>22.8</v>
      </c>
      <c r="I336">
        <v>181.6</v>
      </c>
    </row>
    <row r="337" spans="1:9" x14ac:dyDescent="0.25">
      <c r="A337" s="10" t="s">
        <v>1122</v>
      </c>
      <c r="B337">
        <v>177.3</v>
      </c>
      <c r="G337">
        <v>3.85</v>
      </c>
      <c r="I337">
        <v>181.15</v>
      </c>
    </row>
    <row r="338" spans="1:9" x14ac:dyDescent="0.25">
      <c r="A338" s="10" t="s">
        <v>143</v>
      </c>
      <c r="B338">
        <v>11.7</v>
      </c>
      <c r="F338">
        <v>16</v>
      </c>
      <c r="G338">
        <v>153.30000000000001</v>
      </c>
      <c r="I338">
        <v>181</v>
      </c>
    </row>
    <row r="339" spans="1:9" x14ac:dyDescent="0.25">
      <c r="A339" s="10" t="s">
        <v>1477</v>
      </c>
      <c r="C339">
        <v>139.03</v>
      </c>
      <c r="G339">
        <v>40.53</v>
      </c>
      <c r="I339">
        <v>179.56</v>
      </c>
    </row>
    <row r="340" spans="1:9" x14ac:dyDescent="0.25">
      <c r="A340" s="10" t="s">
        <v>1478</v>
      </c>
      <c r="B340">
        <v>11.55</v>
      </c>
      <c r="C340">
        <v>162.1</v>
      </c>
      <c r="G340">
        <v>5.7</v>
      </c>
      <c r="I340">
        <v>179.35</v>
      </c>
    </row>
    <row r="341" spans="1:9" x14ac:dyDescent="0.25">
      <c r="A341" s="10" t="s">
        <v>1479</v>
      </c>
      <c r="F341">
        <v>178.8</v>
      </c>
      <c r="I341">
        <v>178.8</v>
      </c>
    </row>
    <row r="342" spans="1:9" x14ac:dyDescent="0.25">
      <c r="A342" s="10" t="s">
        <v>1480</v>
      </c>
      <c r="B342">
        <v>64.849999999999994</v>
      </c>
      <c r="C342">
        <v>108.6</v>
      </c>
      <c r="F342">
        <v>2.7</v>
      </c>
      <c r="I342">
        <v>176.15</v>
      </c>
    </row>
    <row r="343" spans="1:9" x14ac:dyDescent="0.25">
      <c r="A343" s="10" t="s">
        <v>1481</v>
      </c>
      <c r="B343">
        <v>69.3</v>
      </c>
      <c r="F343">
        <v>106.2</v>
      </c>
      <c r="I343">
        <v>175.5</v>
      </c>
    </row>
    <row r="344" spans="1:9" x14ac:dyDescent="0.25">
      <c r="A344" s="10" t="s">
        <v>1272</v>
      </c>
      <c r="B344">
        <v>13</v>
      </c>
      <c r="C344">
        <v>115.7</v>
      </c>
      <c r="F344">
        <v>44.8</v>
      </c>
      <c r="I344">
        <v>173.5</v>
      </c>
    </row>
    <row r="345" spans="1:9" x14ac:dyDescent="0.25">
      <c r="A345" s="10" t="s">
        <v>1482</v>
      </c>
      <c r="F345">
        <v>168.9</v>
      </c>
      <c r="I345">
        <v>168.9</v>
      </c>
    </row>
    <row r="346" spans="1:9" x14ac:dyDescent="0.25">
      <c r="A346" s="10" t="s">
        <v>93</v>
      </c>
      <c r="B346">
        <v>90.35</v>
      </c>
      <c r="C346">
        <v>6</v>
      </c>
      <c r="F346">
        <v>7.7</v>
      </c>
      <c r="G346">
        <v>64.8</v>
      </c>
      <c r="I346">
        <v>168.85</v>
      </c>
    </row>
    <row r="347" spans="1:9" x14ac:dyDescent="0.25">
      <c r="A347" s="10" t="s">
        <v>1483</v>
      </c>
      <c r="B347">
        <v>6</v>
      </c>
      <c r="F347">
        <v>133.69999999999999</v>
      </c>
      <c r="G347">
        <v>29.15</v>
      </c>
      <c r="I347">
        <v>168.85</v>
      </c>
    </row>
    <row r="348" spans="1:9" x14ac:dyDescent="0.25">
      <c r="A348" s="10" t="s">
        <v>1484</v>
      </c>
      <c r="B348">
        <v>108.85</v>
      </c>
      <c r="C348">
        <v>7.7</v>
      </c>
      <c r="G348">
        <v>50.55</v>
      </c>
      <c r="I348">
        <v>167.1</v>
      </c>
    </row>
    <row r="349" spans="1:9" x14ac:dyDescent="0.25">
      <c r="A349" s="10" t="s">
        <v>706</v>
      </c>
      <c r="C349">
        <v>163.4</v>
      </c>
      <c r="I349">
        <v>163.4</v>
      </c>
    </row>
    <row r="350" spans="1:9" x14ac:dyDescent="0.25">
      <c r="A350" s="10" t="s">
        <v>84</v>
      </c>
      <c r="B350">
        <v>60.5</v>
      </c>
      <c r="C350">
        <v>7.7</v>
      </c>
      <c r="F350">
        <v>15.3</v>
      </c>
      <c r="G350">
        <v>79.100000000000009</v>
      </c>
      <c r="I350">
        <v>162.6</v>
      </c>
    </row>
    <row r="351" spans="1:9" x14ac:dyDescent="0.25">
      <c r="A351" s="10" t="s">
        <v>1485</v>
      </c>
      <c r="B351">
        <v>24</v>
      </c>
      <c r="C351">
        <v>138.25</v>
      </c>
      <c r="I351">
        <v>162.25</v>
      </c>
    </row>
    <row r="352" spans="1:9" x14ac:dyDescent="0.25">
      <c r="A352" s="10" t="s">
        <v>1486</v>
      </c>
      <c r="F352">
        <v>160.5</v>
      </c>
      <c r="I352">
        <v>160.5</v>
      </c>
    </row>
    <row r="353" spans="1:9" x14ac:dyDescent="0.25">
      <c r="A353" s="10" t="s">
        <v>1487</v>
      </c>
      <c r="B353">
        <v>60.05</v>
      </c>
      <c r="F353">
        <v>100.1</v>
      </c>
      <c r="I353">
        <v>160.15</v>
      </c>
    </row>
    <row r="354" spans="1:9" x14ac:dyDescent="0.25">
      <c r="A354" s="10" t="s">
        <v>1314</v>
      </c>
      <c r="C354">
        <v>160</v>
      </c>
      <c r="F354">
        <v>0</v>
      </c>
      <c r="I354">
        <v>160</v>
      </c>
    </row>
    <row r="355" spans="1:9" x14ac:dyDescent="0.25">
      <c r="A355" s="10" t="s">
        <v>1488</v>
      </c>
      <c r="B355">
        <v>150.19999999999999</v>
      </c>
      <c r="G355">
        <v>8.6999999999999993</v>
      </c>
      <c r="I355">
        <v>158.9</v>
      </c>
    </row>
    <row r="356" spans="1:9" x14ac:dyDescent="0.25">
      <c r="A356" s="10" t="s">
        <v>1489</v>
      </c>
      <c r="F356">
        <v>156.6</v>
      </c>
      <c r="I356">
        <v>156.6</v>
      </c>
    </row>
    <row r="357" spans="1:9" x14ac:dyDescent="0.25">
      <c r="A357" s="10" t="s">
        <v>1490</v>
      </c>
      <c r="C357">
        <v>151.6</v>
      </c>
      <c r="G357">
        <v>4.8499999999999996</v>
      </c>
      <c r="I357">
        <v>156.44999999999999</v>
      </c>
    </row>
    <row r="358" spans="1:9" x14ac:dyDescent="0.25">
      <c r="A358" s="10" t="s">
        <v>440</v>
      </c>
      <c r="B358">
        <v>34.049999999999997</v>
      </c>
      <c r="C358">
        <v>117.35</v>
      </c>
      <c r="G358">
        <v>4.5</v>
      </c>
      <c r="I358">
        <v>155.9</v>
      </c>
    </row>
    <row r="359" spans="1:9" x14ac:dyDescent="0.25">
      <c r="A359" s="10" t="s">
        <v>1491</v>
      </c>
      <c r="C359">
        <v>155.4</v>
      </c>
      <c r="I359">
        <v>155.4</v>
      </c>
    </row>
    <row r="360" spans="1:9" x14ac:dyDescent="0.25">
      <c r="A360" s="10" t="s">
        <v>635</v>
      </c>
      <c r="C360">
        <v>151</v>
      </c>
      <c r="G360">
        <v>2.5</v>
      </c>
      <c r="I360">
        <v>153.5</v>
      </c>
    </row>
    <row r="361" spans="1:9" x14ac:dyDescent="0.25">
      <c r="A361" s="10" t="s">
        <v>1492</v>
      </c>
      <c r="F361">
        <v>153.19999999999999</v>
      </c>
      <c r="I361">
        <v>153.19999999999999</v>
      </c>
    </row>
    <row r="362" spans="1:9" x14ac:dyDescent="0.25">
      <c r="A362" s="10" t="s">
        <v>1493</v>
      </c>
      <c r="B362">
        <v>51.25</v>
      </c>
      <c r="C362">
        <v>100.7</v>
      </c>
      <c r="I362">
        <v>151.94999999999999</v>
      </c>
    </row>
    <row r="363" spans="1:9" x14ac:dyDescent="0.25">
      <c r="A363" s="10" t="s">
        <v>1494</v>
      </c>
      <c r="C363">
        <v>149.6</v>
      </c>
      <c r="G363">
        <v>0.5</v>
      </c>
      <c r="I363">
        <v>150.1</v>
      </c>
    </row>
    <row r="364" spans="1:9" x14ac:dyDescent="0.25">
      <c r="A364" s="10" t="s">
        <v>532</v>
      </c>
      <c r="B364">
        <v>22.55</v>
      </c>
      <c r="C364">
        <v>115.65</v>
      </c>
      <c r="G364">
        <v>10.35</v>
      </c>
      <c r="I364">
        <v>148.55000000000001</v>
      </c>
    </row>
    <row r="365" spans="1:9" x14ac:dyDescent="0.25">
      <c r="A365" s="10" t="s">
        <v>1495</v>
      </c>
      <c r="F365">
        <v>148.25</v>
      </c>
      <c r="I365">
        <v>148.25</v>
      </c>
    </row>
    <row r="366" spans="1:9" x14ac:dyDescent="0.25">
      <c r="A366" s="10" t="s">
        <v>1496</v>
      </c>
      <c r="C366">
        <v>146.30000000000001</v>
      </c>
      <c r="G366">
        <v>1.5</v>
      </c>
      <c r="I366">
        <v>147.80000000000001</v>
      </c>
    </row>
    <row r="367" spans="1:9" x14ac:dyDescent="0.25">
      <c r="A367" s="10" t="s">
        <v>1497</v>
      </c>
      <c r="C367">
        <v>80.61</v>
      </c>
      <c r="G367">
        <v>66.800000000000011</v>
      </c>
      <c r="I367">
        <v>147.41</v>
      </c>
    </row>
    <row r="368" spans="1:9" x14ac:dyDescent="0.25">
      <c r="A368" s="10" t="s">
        <v>1498</v>
      </c>
      <c r="B368">
        <v>55.6</v>
      </c>
      <c r="C368">
        <v>57.15</v>
      </c>
      <c r="F368">
        <v>26.8</v>
      </c>
      <c r="G368">
        <v>7.5</v>
      </c>
      <c r="I368">
        <v>147.05000000000001</v>
      </c>
    </row>
    <row r="369" spans="1:9" x14ac:dyDescent="0.25">
      <c r="A369" s="10" t="s">
        <v>493</v>
      </c>
      <c r="B369">
        <v>41.75</v>
      </c>
      <c r="C369">
        <v>103.3</v>
      </c>
      <c r="I369">
        <v>145.05000000000001</v>
      </c>
    </row>
    <row r="370" spans="1:9" x14ac:dyDescent="0.25">
      <c r="A370" s="10" t="s">
        <v>1499</v>
      </c>
      <c r="B370">
        <v>33.15</v>
      </c>
      <c r="C370">
        <v>110.6</v>
      </c>
      <c r="I370">
        <v>143.75</v>
      </c>
    </row>
    <row r="371" spans="1:9" x14ac:dyDescent="0.25">
      <c r="A371" s="10" t="s">
        <v>1500</v>
      </c>
      <c r="B371">
        <v>8.5</v>
      </c>
      <c r="C371">
        <v>132.5</v>
      </c>
      <c r="I371">
        <v>141</v>
      </c>
    </row>
    <row r="372" spans="1:9" x14ac:dyDescent="0.25">
      <c r="A372" s="10" t="s">
        <v>1501</v>
      </c>
      <c r="F372">
        <v>138.6</v>
      </c>
      <c r="I372">
        <v>138.6</v>
      </c>
    </row>
    <row r="373" spans="1:9" x14ac:dyDescent="0.25">
      <c r="A373" s="10" t="s">
        <v>1502</v>
      </c>
      <c r="F373">
        <v>138.6</v>
      </c>
      <c r="I373">
        <v>138.6</v>
      </c>
    </row>
    <row r="374" spans="1:9" x14ac:dyDescent="0.25">
      <c r="A374" s="10" t="s">
        <v>421</v>
      </c>
      <c r="C374">
        <v>3.5</v>
      </c>
      <c r="E374">
        <v>63.100000000000009</v>
      </c>
      <c r="G374">
        <v>71.05</v>
      </c>
      <c r="I374">
        <v>137.65</v>
      </c>
    </row>
    <row r="375" spans="1:9" x14ac:dyDescent="0.25">
      <c r="A375" s="10" t="s">
        <v>1503</v>
      </c>
      <c r="C375">
        <v>27.8</v>
      </c>
      <c r="F375">
        <v>107.8</v>
      </c>
      <c r="I375">
        <v>135.6</v>
      </c>
    </row>
    <row r="376" spans="1:9" x14ac:dyDescent="0.25">
      <c r="A376" s="10" t="s">
        <v>1504</v>
      </c>
      <c r="C376">
        <v>127.1</v>
      </c>
      <c r="F376">
        <v>7.7</v>
      </c>
      <c r="I376">
        <v>134.80000000000001</v>
      </c>
    </row>
    <row r="377" spans="1:9" x14ac:dyDescent="0.25">
      <c r="A377" s="10" t="s">
        <v>977</v>
      </c>
      <c r="B377">
        <v>4.2</v>
      </c>
      <c r="C377">
        <v>102.4</v>
      </c>
      <c r="F377">
        <v>27.9</v>
      </c>
      <c r="I377">
        <v>134.5</v>
      </c>
    </row>
    <row r="378" spans="1:9" x14ac:dyDescent="0.25">
      <c r="A378" s="10" t="s">
        <v>1505</v>
      </c>
      <c r="B378">
        <v>1</v>
      </c>
      <c r="C378">
        <v>133.4</v>
      </c>
      <c r="I378">
        <v>134.4</v>
      </c>
    </row>
    <row r="379" spans="1:9" x14ac:dyDescent="0.25">
      <c r="A379" s="10" t="s">
        <v>1506</v>
      </c>
      <c r="B379">
        <v>5</v>
      </c>
      <c r="F379">
        <v>126.05</v>
      </c>
      <c r="I379">
        <v>131.05000000000001</v>
      </c>
    </row>
    <row r="380" spans="1:9" x14ac:dyDescent="0.25">
      <c r="A380" s="10" t="s">
        <v>1507</v>
      </c>
      <c r="E380">
        <v>12.4</v>
      </c>
      <c r="F380">
        <v>116.4</v>
      </c>
      <c r="I380">
        <v>128.80000000000001</v>
      </c>
    </row>
    <row r="381" spans="1:9" x14ac:dyDescent="0.25">
      <c r="A381" s="10" t="s">
        <v>1508</v>
      </c>
      <c r="B381">
        <v>14</v>
      </c>
      <c r="C381">
        <v>113.35</v>
      </c>
      <c r="I381">
        <v>127.35</v>
      </c>
    </row>
    <row r="382" spans="1:9" x14ac:dyDescent="0.25">
      <c r="A382" s="10" t="s">
        <v>1509</v>
      </c>
      <c r="F382">
        <v>127.25</v>
      </c>
      <c r="I382">
        <v>127.25</v>
      </c>
    </row>
    <row r="383" spans="1:9" x14ac:dyDescent="0.25">
      <c r="A383" s="10" t="s">
        <v>1510</v>
      </c>
      <c r="C383">
        <v>91.5</v>
      </c>
      <c r="G383">
        <v>33.099999999999987</v>
      </c>
      <c r="I383">
        <v>124.6</v>
      </c>
    </row>
    <row r="384" spans="1:9" x14ac:dyDescent="0.25">
      <c r="A384" s="10" t="s">
        <v>425</v>
      </c>
      <c r="B384">
        <v>7.1</v>
      </c>
      <c r="C384">
        <v>92.3</v>
      </c>
      <c r="G384">
        <v>23.5</v>
      </c>
      <c r="I384">
        <v>122.9</v>
      </c>
    </row>
    <row r="385" spans="1:9" x14ac:dyDescent="0.25">
      <c r="A385" s="10" t="s">
        <v>1511</v>
      </c>
      <c r="C385">
        <v>41</v>
      </c>
      <c r="G385">
        <v>80.849999999999994</v>
      </c>
      <c r="I385">
        <v>121.85</v>
      </c>
    </row>
    <row r="386" spans="1:9" x14ac:dyDescent="0.25">
      <c r="A386" s="10" t="s">
        <v>1512</v>
      </c>
      <c r="C386">
        <v>121.55</v>
      </c>
      <c r="I386">
        <v>121.55</v>
      </c>
    </row>
    <row r="387" spans="1:9" x14ac:dyDescent="0.25">
      <c r="A387" s="10" t="s">
        <v>905</v>
      </c>
      <c r="B387">
        <v>18</v>
      </c>
      <c r="C387">
        <v>38.1</v>
      </c>
      <c r="F387">
        <v>46.5</v>
      </c>
      <c r="G387">
        <v>16.2</v>
      </c>
      <c r="I387">
        <v>118.8</v>
      </c>
    </row>
    <row r="388" spans="1:9" x14ac:dyDescent="0.25">
      <c r="A388" s="10" t="s">
        <v>972</v>
      </c>
      <c r="B388">
        <v>11.5</v>
      </c>
      <c r="F388">
        <v>39.400000000000013</v>
      </c>
      <c r="G388">
        <v>67.599999999999994</v>
      </c>
      <c r="I388">
        <v>118.5</v>
      </c>
    </row>
    <row r="389" spans="1:9" x14ac:dyDescent="0.25">
      <c r="A389" s="10" t="s">
        <v>1513</v>
      </c>
      <c r="B389">
        <v>65.45</v>
      </c>
      <c r="C389">
        <v>52.2</v>
      </c>
      <c r="I389">
        <v>117.65</v>
      </c>
    </row>
    <row r="390" spans="1:9" x14ac:dyDescent="0.25">
      <c r="A390" s="10" t="s">
        <v>1514</v>
      </c>
      <c r="B390">
        <v>42.9</v>
      </c>
      <c r="C390">
        <v>27.87</v>
      </c>
      <c r="G390">
        <v>46.05</v>
      </c>
      <c r="I390">
        <v>116.82</v>
      </c>
    </row>
    <row r="391" spans="1:9" x14ac:dyDescent="0.25">
      <c r="A391" s="10" t="s">
        <v>1515</v>
      </c>
      <c r="C391">
        <v>88.6</v>
      </c>
      <c r="G391">
        <v>28.2</v>
      </c>
      <c r="I391">
        <v>116.8</v>
      </c>
    </row>
    <row r="392" spans="1:9" x14ac:dyDescent="0.25">
      <c r="A392" s="10" t="s">
        <v>1516</v>
      </c>
      <c r="B392">
        <v>83.25</v>
      </c>
      <c r="C392">
        <v>25.7</v>
      </c>
      <c r="G392">
        <v>7.7</v>
      </c>
      <c r="I392">
        <v>116.65</v>
      </c>
    </row>
    <row r="393" spans="1:9" x14ac:dyDescent="0.25">
      <c r="A393" s="10" t="s">
        <v>1517</v>
      </c>
      <c r="C393">
        <v>26</v>
      </c>
      <c r="G393">
        <v>89.15</v>
      </c>
      <c r="I393">
        <v>115.15</v>
      </c>
    </row>
    <row r="394" spans="1:9" x14ac:dyDescent="0.25">
      <c r="A394" s="10" t="s">
        <v>1518</v>
      </c>
      <c r="B394">
        <v>58.5</v>
      </c>
      <c r="C394">
        <v>56</v>
      </c>
      <c r="I394">
        <v>114.5</v>
      </c>
    </row>
    <row r="395" spans="1:9" x14ac:dyDescent="0.25">
      <c r="A395" s="10" t="s">
        <v>1519</v>
      </c>
      <c r="B395">
        <v>7</v>
      </c>
      <c r="C395">
        <v>107.45</v>
      </c>
      <c r="I395">
        <v>114.45</v>
      </c>
    </row>
    <row r="396" spans="1:9" x14ac:dyDescent="0.25">
      <c r="A396" s="10" t="s">
        <v>1520</v>
      </c>
      <c r="C396">
        <v>113.75</v>
      </c>
      <c r="I396">
        <v>113.75</v>
      </c>
    </row>
    <row r="397" spans="1:9" x14ac:dyDescent="0.25">
      <c r="A397" s="10" t="s">
        <v>1521</v>
      </c>
      <c r="B397">
        <v>52.85</v>
      </c>
      <c r="G397">
        <v>59.5</v>
      </c>
      <c r="I397">
        <v>112.35</v>
      </c>
    </row>
    <row r="398" spans="1:9" x14ac:dyDescent="0.25">
      <c r="A398" s="10" t="s">
        <v>1522</v>
      </c>
      <c r="C398">
        <v>54.1</v>
      </c>
      <c r="G398">
        <v>57.75</v>
      </c>
      <c r="I398">
        <v>111.85</v>
      </c>
    </row>
    <row r="399" spans="1:9" x14ac:dyDescent="0.25">
      <c r="A399" s="10" t="s">
        <v>1523</v>
      </c>
      <c r="B399">
        <v>10.4</v>
      </c>
      <c r="C399">
        <v>11</v>
      </c>
      <c r="G399">
        <v>89.05</v>
      </c>
      <c r="I399">
        <v>110.45</v>
      </c>
    </row>
    <row r="400" spans="1:9" x14ac:dyDescent="0.25">
      <c r="A400" s="10" t="s">
        <v>1524</v>
      </c>
      <c r="C400">
        <v>98.9</v>
      </c>
      <c r="G400">
        <v>10</v>
      </c>
      <c r="I400">
        <v>108.9</v>
      </c>
    </row>
    <row r="401" spans="1:9" x14ac:dyDescent="0.25">
      <c r="A401" s="10" t="s">
        <v>529</v>
      </c>
      <c r="B401">
        <v>21.2</v>
      </c>
      <c r="C401">
        <v>2</v>
      </c>
      <c r="G401">
        <v>85.2</v>
      </c>
      <c r="I401">
        <v>108.4</v>
      </c>
    </row>
    <row r="402" spans="1:9" x14ac:dyDescent="0.25">
      <c r="A402" s="10" t="s">
        <v>1525</v>
      </c>
      <c r="C402">
        <v>13.7</v>
      </c>
      <c r="F402">
        <v>94.7</v>
      </c>
      <c r="I402">
        <v>108.4</v>
      </c>
    </row>
    <row r="403" spans="1:9" x14ac:dyDescent="0.25">
      <c r="A403" s="10" t="s">
        <v>234</v>
      </c>
      <c r="B403">
        <v>25.5</v>
      </c>
      <c r="C403">
        <v>80.900000000000006</v>
      </c>
      <c r="I403">
        <v>106.4</v>
      </c>
    </row>
    <row r="404" spans="1:9" x14ac:dyDescent="0.25">
      <c r="A404" s="10" t="s">
        <v>1526</v>
      </c>
      <c r="C404">
        <v>73</v>
      </c>
      <c r="G404">
        <v>33.049999999999997</v>
      </c>
      <c r="I404">
        <v>106.05</v>
      </c>
    </row>
    <row r="405" spans="1:9" x14ac:dyDescent="0.25">
      <c r="A405" s="10" t="s">
        <v>1527</v>
      </c>
      <c r="F405">
        <v>105.8</v>
      </c>
      <c r="I405">
        <v>105.8</v>
      </c>
    </row>
    <row r="406" spans="1:9" x14ac:dyDescent="0.25">
      <c r="A406" s="10" t="s">
        <v>181</v>
      </c>
      <c r="C406">
        <v>99.65</v>
      </c>
      <c r="G406">
        <v>6</v>
      </c>
      <c r="I406">
        <v>105.65</v>
      </c>
    </row>
    <row r="407" spans="1:9" x14ac:dyDescent="0.25">
      <c r="A407" s="10" t="s">
        <v>1528</v>
      </c>
      <c r="C407">
        <v>84.7</v>
      </c>
      <c r="F407">
        <v>13</v>
      </c>
      <c r="G407">
        <v>5.5</v>
      </c>
      <c r="I407">
        <v>103.2</v>
      </c>
    </row>
    <row r="408" spans="1:9" x14ac:dyDescent="0.25">
      <c r="A408" s="10" t="s">
        <v>583</v>
      </c>
      <c r="B408">
        <v>50.05</v>
      </c>
      <c r="C408">
        <v>52.9</v>
      </c>
      <c r="I408">
        <v>102.95</v>
      </c>
    </row>
    <row r="409" spans="1:9" x14ac:dyDescent="0.25">
      <c r="A409" s="10" t="s">
        <v>1529</v>
      </c>
      <c r="C409">
        <v>97.1</v>
      </c>
      <c r="G409">
        <v>5</v>
      </c>
      <c r="I409">
        <v>102.1</v>
      </c>
    </row>
    <row r="410" spans="1:9" x14ac:dyDescent="0.25">
      <c r="A410" s="10" t="s">
        <v>82</v>
      </c>
      <c r="C410">
        <v>100.9</v>
      </c>
      <c r="I410">
        <v>100.9</v>
      </c>
    </row>
    <row r="411" spans="1:9" x14ac:dyDescent="0.25">
      <c r="A411" s="10" t="s">
        <v>1530</v>
      </c>
      <c r="C411">
        <v>3.7</v>
      </c>
      <c r="F411">
        <v>96.800000000000011</v>
      </c>
      <c r="I411">
        <v>100.5</v>
      </c>
    </row>
    <row r="412" spans="1:9" x14ac:dyDescent="0.25">
      <c r="A412" s="10" t="s">
        <v>1531</v>
      </c>
      <c r="B412">
        <v>34.65</v>
      </c>
      <c r="F412">
        <v>64.400000000000006</v>
      </c>
      <c r="I412">
        <v>99.050000000000011</v>
      </c>
    </row>
    <row r="413" spans="1:9" x14ac:dyDescent="0.25">
      <c r="A413" s="10" t="s">
        <v>1532</v>
      </c>
      <c r="C413">
        <v>53</v>
      </c>
      <c r="G413">
        <v>45.9</v>
      </c>
      <c r="I413">
        <v>98.9</v>
      </c>
    </row>
    <row r="414" spans="1:9" x14ac:dyDescent="0.25">
      <c r="A414" s="10" t="s">
        <v>1533</v>
      </c>
      <c r="B414">
        <v>13.4</v>
      </c>
      <c r="C414">
        <v>11</v>
      </c>
      <c r="G414">
        <v>73.8</v>
      </c>
      <c r="I414">
        <v>98.199999999999989</v>
      </c>
    </row>
    <row r="415" spans="1:9" x14ac:dyDescent="0.25">
      <c r="A415" s="10" t="s">
        <v>1534</v>
      </c>
      <c r="B415">
        <v>33</v>
      </c>
      <c r="C415">
        <v>64.099999999999994</v>
      </c>
      <c r="I415">
        <v>97.1</v>
      </c>
    </row>
    <row r="416" spans="1:9" x14ac:dyDescent="0.25">
      <c r="A416" s="10" t="s">
        <v>1535</v>
      </c>
      <c r="F416">
        <v>96.75</v>
      </c>
      <c r="I416">
        <v>96.75</v>
      </c>
    </row>
    <row r="417" spans="1:9" x14ac:dyDescent="0.25">
      <c r="A417" s="10" t="s">
        <v>1536</v>
      </c>
      <c r="F417">
        <v>52.6</v>
      </c>
      <c r="G417">
        <v>42.7</v>
      </c>
      <c r="I417">
        <v>95.300000000000011</v>
      </c>
    </row>
    <row r="418" spans="1:9" x14ac:dyDescent="0.25">
      <c r="A418" s="10" t="s">
        <v>98</v>
      </c>
      <c r="C418">
        <v>89.050000000000011</v>
      </c>
      <c r="G418">
        <v>6</v>
      </c>
      <c r="I418">
        <v>95.050000000000011</v>
      </c>
    </row>
    <row r="419" spans="1:9" x14ac:dyDescent="0.25">
      <c r="A419" s="10" t="s">
        <v>1537</v>
      </c>
      <c r="C419">
        <v>95</v>
      </c>
      <c r="I419">
        <v>95</v>
      </c>
    </row>
    <row r="420" spans="1:9" x14ac:dyDescent="0.25">
      <c r="A420" s="10" t="s">
        <v>80</v>
      </c>
      <c r="C420">
        <v>92.6</v>
      </c>
      <c r="I420">
        <v>92.6</v>
      </c>
    </row>
    <row r="421" spans="1:9" x14ac:dyDescent="0.25">
      <c r="A421" s="10" t="s">
        <v>1538</v>
      </c>
      <c r="B421">
        <v>71.099999999999994</v>
      </c>
      <c r="C421">
        <v>21.37</v>
      </c>
      <c r="I421">
        <v>92.47</v>
      </c>
    </row>
    <row r="422" spans="1:9" x14ac:dyDescent="0.25">
      <c r="A422" s="10" t="s">
        <v>554</v>
      </c>
      <c r="B422">
        <v>62.349999999999987</v>
      </c>
      <c r="C422">
        <v>28.1</v>
      </c>
      <c r="G422">
        <v>2</v>
      </c>
      <c r="I422">
        <v>92.449999999999989</v>
      </c>
    </row>
    <row r="423" spans="1:9" x14ac:dyDescent="0.25">
      <c r="A423" s="10" t="s">
        <v>1539</v>
      </c>
      <c r="B423">
        <v>60.85</v>
      </c>
      <c r="C423">
        <v>30.1</v>
      </c>
      <c r="I423">
        <v>90.95</v>
      </c>
    </row>
    <row r="424" spans="1:9" x14ac:dyDescent="0.25">
      <c r="A424" s="10" t="s">
        <v>125</v>
      </c>
      <c r="B424">
        <v>36.299999999999997</v>
      </c>
      <c r="C424">
        <v>18.5</v>
      </c>
      <c r="F424">
        <v>10</v>
      </c>
      <c r="G424">
        <v>26.05</v>
      </c>
      <c r="I424">
        <v>90.85</v>
      </c>
    </row>
    <row r="425" spans="1:9" x14ac:dyDescent="0.25">
      <c r="A425" s="10" t="s">
        <v>1540</v>
      </c>
      <c r="F425">
        <v>90.7</v>
      </c>
      <c r="I425">
        <v>90.7</v>
      </c>
    </row>
    <row r="426" spans="1:9" x14ac:dyDescent="0.25">
      <c r="A426" s="10" t="s">
        <v>1541</v>
      </c>
      <c r="B426">
        <v>78.95</v>
      </c>
      <c r="C426">
        <v>10.55</v>
      </c>
      <c r="I426">
        <v>89.5</v>
      </c>
    </row>
    <row r="427" spans="1:9" x14ac:dyDescent="0.25">
      <c r="A427" s="10" t="s">
        <v>1542</v>
      </c>
      <c r="C427">
        <v>79.7</v>
      </c>
      <c r="F427">
        <v>8.5</v>
      </c>
      <c r="I427">
        <v>88.2</v>
      </c>
    </row>
    <row r="428" spans="1:9" x14ac:dyDescent="0.25">
      <c r="A428" s="10" t="s">
        <v>1543</v>
      </c>
      <c r="B428">
        <v>37.4</v>
      </c>
      <c r="C428">
        <v>50.55</v>
      </c>
      <c r="I428">
        <v>87.949999999999989</v>
      </c>
    </row>
    <row r="429" spans="1:9" x14ac:dyDescent="0.25">
      <c r="A429" s="10" t="s">
        <v>1544</v>
      </c>
      <c r="B429">
        <v>36.700000000000003</v>
      </c>
      <c r="G429">
        <v>50.7</v>
      </c>
      <c r="I429">
        <v>87.4</v>
      </c>
    </row>
    <row r="430" spans="1:9" x14ac:dyDescent="0.25">
      <c r="A430" s="10" t="s">
        <v>161</v>
      </c>
      <c r="C430">
        <v>82.7</v>
      </c>
      <c r="G430">
        <v>3</v>
      </c>
      <c r="I430">
        <v>85.7</v>
      </c>
    </row>
    <row r="431" spans="1:9" x14ac:dyDescent="0.25">
      <c r="A431" s="10" t="s">
        <v>1545</v>
      </c>
      <c r="B431">
        <v>16.399999999999999</v>
      </c>
      <c r="C431">
        <v>9.25</v>
      </c>
      <c r="G431">
        <v>59.7</v>
      </c>
      <c r="I431">
        <v>85.35</v>
      </c>
    </row>
    <row r="432" spans="1:9" x14ac:dyDescent="0.25">
      <c r="A432" s="10" t="s">
        <v>1546</v>
      </c>
      <c r="B432">
        <v>85.2</v>
      </c>
      <c r="I432">
        <v>85.2</v>
      </c>
    </row>
    <row r="433" spans="1:9" x14ac:dyDescent="0.25">
      <c r="A433" s="10" t="s">
        <v>1547</v>
      </c>
      <c r="C433">
        <v>85.100000000000009</v>
      </c>
      <c r="I433">
        <v>85.100000000000009</v>
      </c>
    </row>
    <row r="434" spans="1:9" x14ac:dyDescent="0.25">
      <c r="A434" s="10" t="s">
        <v>417</v>
      </c>
      <c r="B434">
        <v>22.9</v>
      </c>
      <c r="C434">
        <v>61.900000000000013</v>
      </c>
      <c r="I434">
        <v>84.800000000000011</v>
      </c>
    </row>
    <row r="435" spans="1:9" x14ac:dyDescent="0.25">
      <c r="A435" s="10" t="s">
        <v>1548</v>
      </c>
      <c r="B435">
        <v>84.7</v>
      </c>
      <c r="I435">
        <v>84.7</v>
      </c>
    </row>
    <row r="436" spans="1:9" x14ac:dyDescent="0.25">
      <c r="A436" s="10" t="s">
        <v>1549</v>
      </c>
      <c r="C436">
        <v>84.35</v>
      </c>
      <c r="I436">
        <v>84.35</v>
      </c>
    </row>
    <row r="437" spans="1:9" x14ac:dyDescent="0.25">
      <c r="A437" s="10" t="s">
        <v>1550</v>
      </c>
      <c r="B437">
        <v>33.25</v>
      </c>
      <c r="C437">
        <v>50.5</v>
      </c>
      <c r="I437">
        <v>83.75</v>
      </c>
    </row>
    <row r="438" spans="1:9" x14ac:dyDescent="0.25">
      <c r="A438" s="10" t="s">
        <v>1551</v>
      </c>
      <c r="B438">
        <v>49.7</v>
      </c>
      <c r="C438">
        <v>33.799999999999997</v>
      </c>
      <c r="I438">
        <v>83.5</v>
      </c>
    </row>
    <row r="439" spans="1:9" x14ac:dyDescent="0.25">
      <c r="A439" s="10" t="s">
        <v>1552</v>
      </c>
      <c r="C439">
        <v>49.5</v>
      </c>
      <c r="F439">
        <v>15.7</v>
      </c>
      <c r="G439">
        <v>15.9</v>
      </c>
      <c r="I439">
        <v>81.100000000000009</v>
      </c>
    </row>
    <row r="440" spans="1:9" x14ac:dyDescent="0.25">
      <c r="A440" s="10" t="s">
        <v>1553</v>
      </c>
      <c r="F440">
        <v>80.849999999999994</v>
      </c>
      <c r="I440">
        <v>80.849999999999994</v>
      </c>
    </row>
    <row r="441" spans="1:9" x14ac:dyDescent="0.25">
      <c r="A441" s="10" t="s">
        <v>1554</v>
      </c>
      <c r="C441">
        <v>45.5</v>
      </c>
      <c r="E441">
        <v>3</v>
      </c>
      <c r="G441">
        <v>31.9</v>
      </c>
      <c r="I441">
        <v>80.400000000000006</v>
      </c>
    </row>
    <row r="442" spans="1:9" x14ac:dyDescent="0.25">
      <c r="A442" s="10" t="s">
        <v>1555</v>
      </c>
      <c r="B442">
        <v>68.75</v>
      </c>
      <c r="C442">
        <v>11.55</v>
      </c>
      <c r="I442">
        <v>80.3</v>
      </c>
    </row>
    <row r="443" spans="1:9" x14ac:dyDescent="0.25">
      <c r="A443" s="10" t="s">
        <v>1556</v>
      </c>
      <c r="C443">
        <v>79.8</v>
      </c>
      <c r="I443">
        <v>79.8</v>
      </c>
    </row>
    <row r="444" spans="1:9" x14ac:dyDescent="0.25">
      <c r="A444" s="10" t="s">
        <v>55</v>
      </c>
      <c r="B444">
        <v>12.5</v>
      </c>
      <c r="C444">
        <v>66.099999999999994</v>
      </c>
      <c r="F444">
        <v>0.7</v>
      </c>
      <c r="I444">
        <v>79.3</v>
      </c>
    </row>
    <row r="445" spans="1:9" x14ac:dyDescent="0.25">
      <c r="A445" s="10" t="s">
        <v>1557</v>
      </c>
      <c r="F445">
        <v>78</v>
      </c>
      <c r="I445">
        <v>78</v>
      </c>
    </row>
    <row r="446" spans="1:9" x14ac:dyDescent="0.25">
      <c r="A446" s="10" t="s">
        <v>1558</v>
      </c>
      <c r="B446">
        <v>10</v>
      </c>
      <c r="C446">
        <v>67.2</v>
      </c>
      <c r="I446">
        <v>77.2</v>
      </c>
    </row>
    <row r="447" spans="1:9" x14ac:dyDescent="0.25">
      <c r="A447" s="10" t="s">
        <v>1559</v>
      </c>
      <c r="C447">
        <v>76.52</v>
      </c>
      <c r="I447">
        <v>76.52</v>
      </c>
    </row>
    <row r="448" spans="1:9" x14ac:dyDescent="0.25">
      <c r="A448" s="10" t="s">
        <v>1560</v>
      </c>
      <c r="B448">
        <v>20.25</v>
      </c>
      <c r="C448">
        <v>55.85</v>
      </c>
      <c r="I448">
        <v>76.099999999999994</v>
      </c>
    </row>
    <row r="449" spans="1:9" x14ac:dyDescent="0.25">
      <c r="A449" s="10" t="s">
        <v>1561</v>
      </c>
      <c r="B449">
        <v>66.2</v>
      </c>
      <c r="C449">
        <v>9.85</v>
      </c>
      <c r="I449">
        <v>76.05</v>
      </c>
    </row>
    <row r="450" spans="1:9" x14ac:dyDescent="0.25">
      <c r="A450" s="10" t="s">
        <v>1562</v>
      </c>
      <c r="C450">
        <v>75.900000000000006</v>
      </c>
      <c r="I450">
        <v>75.900000000000006</v>
      </c>
    </row>
    <row r="451" spans="1:9" x14ac:dyDescent="0.25">
      <c r="A451" s="10" t="s">
        <v>1563</v>
      </c>
      <c r="B451">
        <v>10</v>
      </c>
      <c r="C451">
        <v>65.7</v>
      </c>
      <c r="I451">
        <v>75.7</v>
      </c>
    </row>
    <row r="452" spans="1:9" x14ac:dyDescent="0.25">
      <c r="A452" s="10" t="s">
        <v>1564</v>
      </c>
      <c r="B452">
        <v>22.5</v>
      </c>
      <c r="C452">
        <v>52.75</v>
      </c>
      <c r="I452">
        <v>75.25</v>
      </c>
    </row>
    <row r="453" spans="1:9" x14ac:dyDescent="0.25">
      <c r="A453" s="10" t="s">
        <v>1565</v>
      </c>
      <c r="B453">
        <v>2</v>
      </c>
      <c r="G453">
        <v>73</v>
      </c>
      <c r="I453">
        <v>75</v>
      </c>
    </row>
    <row r="454" spans="1:9" x14ac:dyDescent="0.25">
      <c r="A454" s="10" t="s">
        <v>1265</v>
      </c>
      <c r="C454">
        <v>34.299999999999997</v>
      </c>
      <c r="G454">
        <v>38.65</v>
      </c>
      <c r="I454">
        <v>72.949999999999989</v>
      </c>
    </row>
    <row r="455" spans="1:9" x14ac:dyDescent="0.25">
      <c r="A455" s="10" t="s">
        <v>458</v>
      </c>
      <c r="B455">
        <v>7.35</v>
      </c>
      <c r="C455">
        <v>65.550000000000011</v>
      </c>
      <c r="I455">
        <v>72.900000000000006</v>
      </c>
    </row>
    <row r="456" spans="1:9" x14ac:dyDescent="0.25">
      <c r="A456" s="10" t="s">
        <v>1566</v>
      </c>
      <c r="B456">
        <v>72.7</v>
      </c>
      <c r="I456">
        <v>72.7</v>
      </c>
    </row>
    <row r="457" spans="1:9" x14ac:dyDescent="0.25">
      <c r="A457" s="10" t="s">
        <v>1567</v>
      </c>
      <c r="G457">
        <v>72.599999999999994</v>
      </c>
      <c r="I457">
        <v>72.599999999999994</v>
      </c>
    </row>
    <row r="458" spans="1:9" x14ac:dyDescent="0.25">
      <c r="A458" s="10" t="s">
        <v>1568</v>
      </c>
      <c r="C458">
        <v>71.11</v>
      </c>
      <c r="I458">
        <v>71.11</v>
      </c>
    </row>
    <row r="459" spans="1:9" x14ac:dyDescent="0.25">
      <c r="A459" s="10" t="s">
        <v>695</v>
      </c>
      <c r="C459">
        <v>50.55</v>
      </c>
      <c r="E459">
        <v>8.6999999999999993</v>
      </c>
      <c r="G459">
        <v>11.85</v>
      </c>
      <c r="I459">
        <v>71.099999999999994</v>
      </c>
    </row>
    <row r="460" spans="1:9" x14ac:dyDescent="0.25">
      <c r="A460" s="10" t="s">
        <v>1569</v>
      </c>
      <c r="B460">
        <v>15.4</v>
      </c>
      <c r="F460">
        <v>54.6</v>
      </c>
      <c r="I460">
        <v>70</v>
      </c>
    </row>
    <row r="461" spans="1:9" x14ac:dyDescent="0.25">
      <c r="A461" s="10" t="s">
        <v>1570</v>
      </c>
      <c r="B461">
        <v>70</v>
      </c>
      <c r="I461">
        <v>70</v>
      </c>
    </row>
    <row r="462" spans="1:9" x14ac:dyDescent="0.25">
      <c r="A462" s="10" t="s">
        <v>1571</v>
      </c>
      <c r="C462">
        <v>62.75</v>
      </c>
      <c r="G462">
        <v>7</v>
      </c>
      <c r="I462">
        <v>69.75</v>
      </c>
    </row>
    <row r="463" spans="1:9" x14ac:dyDescent="0.25">
      <c r="A463" s="10" t="s">
        <v>622</v>
      </c>
      <c r="C463">
        <v>47.3</v>
      </c>
      <c r="E463">
        <v>5</v>
      </c>
      <c r="G463">
        <v>17.399999999999999</v>
      </c>
      <c r="I463">
        <v>69.699999999999989</v>
      </c>
    </row>
    <row r="464" spans="1:9" x14ac:dyDescent="0.25">
      <c r="A464" s="10" t="s">
        <v>1572</v>
      </c>
      <c r="B464">
        <v>29.5</v>
      </c>
      <c r="C464">
        <v>11.9</v>
      </c>
      <c r="G464">
        <v>27.45</v>
      </c>
      <c r="I464">
        <v>68.849999999999994</v>
      </c>
    </row>
    <row r="465" spans="1:9" x14ac:dyDescent="0.25">
      <c r="A465" s="10" t="s">
        <v>667</v>
      </c>
      <c r="C465">
        <v>63.55</v>
      </c>
      <c r="G465">
        <v>5</v>
      </c>
      <c r="I465">
        <v>68.55</v>
      </c>
    </row>
    <row r="466" spans="1:9" x14ac:dyDescent="0.25">
      <c r="A466" s="10" t="s">
        <v>1573</v>
      </c>
      <c r="B466">
        <v>13</v>
      </c>
      <c r="C466">
        <v>55.55</v>
      </c>
      <c r="I466">
        <v>68.55</v>
      </c>
    </row>
    <row r="467" spans="1:9" x14ac:dyDescent="0.25">
      <c r="A467" s="10" t="s">
        <v>1574</v>
      </c>
      <c r="F467">
        <v>4</v>
      </c>
      <c r="G467">
        <v>64.3</v>
      </c>
      <c r="I467">
        <v>68.3</v>
      </c>
    </row>
    <row r="468" spans="1:9" x14ac:dyDescent="0.25">
      <c r="A468" s="10" t="s">
        <v>167</v>
      </c>
      <c r="C468">
        <v>61.95</v>
      </c>
      <c r="G468">
        <v>5.85</v>
      </c>
      <c r="I468">
        <v>67.8</v>
      </c>
    </row>
    <row r="469" spans="1:9" x14ac:dyDescent="0.25">
      <c r="A469" s="10" t="s">
        <v>1575</v>
      </c>
      <c r="B469">
        <v>11</v>
      </c>
      <c r="C469">
        <v>55.2</v>
      </c>
      <c r="I469">
        <v>66.2</v>
      </c>
    </row>
    <row r="470" spans="1:9" x14ac:dyDescent="0.25">
      <c r="A470" s="10" t="s">
        <v>1576</v>
      </c>
      <c r="C470">
        <v>59.15</v>
      </c>
      <c r="G470">
        <v>7</v>
      </c>
      <c r="I470">
        <v>66.150000000000006</v>
      </c>
    </row>
    <row r="471" spans="1:9" x14ac:dyDescent="0.25">
      <c r="A471" s="10" t="s">
        <v>1577</v>
      </c>
      <c r="B471">
        <v>52.2</v>
      </c>
      <c r="C471">
        <v>13.7</v>
      </c>
      <c r="I471">
        <v>65.900000000000006</v>
      </c>
    </row>
    <row r="472" spans="1:9" x14ac:dyDescent="0.25">
      <c r="A472" s="10" t="s">
        <v>1578</v>
      </c>
      <c r="F472">
        <v>65.8</v>
      </c>
      <c r="I472">
        <v>65.8</v>
      </c>
    </row>
    <row r="473" spans="1:9" x14ac:dyDescent="0.25">
      <c r="A473" s="10" t="s">
        <v>1579</v>
      </c>
      <c r="C473">
        <v>20</v>
      </c>
      <c r="G473">
        <v>45.05</v>
      </c>
      <c r="I473">
        <v>65.05</v>
      </c>
    </row>
    <row r="474" spans="1:9" x14ac:dyDescent="0.25">
      <c r="A474" s="10" t="s">
        <v>1580</v>
      </c>
      <c r="C474">
        <v>65</v>
      </c>
      <c r="I474">
        <v>65</v>
      </c>
    </row>
    <row r="475" spans="1:9" x14ac:dyDescent="0.25">
      <c r="A475" s="10" t="s">
        <v>1581</v>
      </c>
      <c r="C475">
        <v>64.72</v>
      </c>
      <c r="I475">
        <v>64.72</v>
      </c>
    </row>
    <row r="476" spans="1:9" x14ac:dyDescent="0.25">
      <c r="A476" s="10" t="s">
        <v>1582</v>
      </c>
      <c r="B476">
        <v>41.25</v>
      </c>
      <c r="C476">
        <v>23.31</v>
      </c>
      <c r="I476">
        <v>64.56</v>
      </c>
    </row>
    <row r="477" spans="1:9" x14ac:dyDescent="0.25">
      <c r="A477" s="10" t="s">
        <v>1177</v>
      </c>
      <c r="B477">
        <v>13.1</v>
      </c>
      <c r="C477">
        <v>7.4</v>
      </c>
      <c r="F477">
        <v>7.7</v>
      </c>
      <c r="G477">
        <v>35</v>
      </c>
      <c r="I477">
        <v>63.2</v>
      </c>
    </row>
    <row r="478" spans="1:9" x14ac:dyDescent="0.25">
      <c r="A478" s="10" t="s">
        <v>1583</v>
      </c>
      <c r="B478">
        <v>63.1</v>
      </c>
      <c r="I478">
        <v>63.1</v>
      </c>
    </row>
    <row r="479" spans="1:9" x14ac:dyDescent="0.25">
      <c r="A479" s="10" t="s">
        <v>1584</v>
      </c>
      <c r="B479">
        <v>24.1</v>
      </c>
      <c r="C479">
        <v>38.5</v>
      </c>
      <c r="I479">
        <v>62.6</v>
      </c>
    </row>
    <row r="480" spans="1:9" x14ac:dyDescent="0.25">
      <c r="A480" s="10" t="s">
        <v>239</v>
      </c>
      <c r="B480">
        <v>22.85</v>
      </c>
      <c r="C480">
        <v>31.1</v>
      </c>
      <c r="G480">
        <v>7.85</v>
      </c>
      <c r="I480">
        <v>61.8</v>
      </c>
    </row>
    <row r="481" spans="1:9" x14ac:dyDescent="0.25">
      <c r="A481" s="10" t="s">
        <v>1585</v>
      </c>
      <c r="F481">
        <v>61.75</v>
      </c>
      <c r="I481">
        <v>61.75</v>
      </c>
    </row>
    <row r="482" spans="1:9" x14ac:dyDescent="0.25">
      <c r="A482" s="10" t="s">
        <v>1586</v>
      </c>
      <c r="C482">
        <v>60</v>
      </c>
      <c r="I482">
        <v>60</v>
      </c>
    </row>
    <row r="483" spans="1:9" x14ac:dyDescent="0.25">
      <c r="A483" s="10" t="s">
        <v>1587</v>
      </c>
      <c r="B483">
        <v>34.5</v>
      </c>
      <c r="C483">
        <v>24</v>
      </c>
      <c r="I483">
        <v>58.5</v>
      </c>
    </row>
    <row r="484" spans="1:9" x14ac:dyDescent="0.25">
      <c r="A484" s="10" t="s">
        <v>1588</v>
      </c>
      <c r="C484">
        <v>58.28</v>
      </c>
      <c r="I484">
        <v>58.28</v>
      </c>
    </row>
    <row r="485" spans="1:9" x14ac:dyDescent="0.25">
      <c r="A485" s="10" t="s">
        <v>1589</v>
      </c>
      <c r="B485">
        <v>22.4</v>
      </c>
      <c r="C485">
        <v>35.700000000000003</v>
      </c>
      <c r="I485">
        <v>58.1</v>
      </c>
    </row>
    <row r="486" spans="1:9" x14ac:dyDescent="0.25">
      <c r="A486" s="10" t="s">
        <v>550</v>
      </c>
      <c r="B486">
        <v>24.8</v>
      </c>
      <c r="C486">
        <v>32.200000000000003</v>
      </c>
      <c r="G486">
        <v>1</v>
      </c>
      <c r="I486">
        <v>58</v>
      </c>
    </row>
    <row r="487" spans="1:9" x14ac:dyDescent="0.25">
      <c r="A487" s="10" t="s">
        <v>1590</v>
      </c>
      <c r="G487">
        <v>57.75</v>
      </c>
      <c r="I487">
        <v>57.75</v>
      </c>
    </row>
    <row r="488" spans="1:9" x14ac:dyDescent="0.25">
      <c r="A488" s="10" t="s">
        <v>131</v>
      </c>
      <c r="B488">
        <v>13.6</v>
      </c>
      <c r="C488">
        <v>14</v>
      </c>
      <c r="F488">
        <v>14.4</v>
      </c>
      <c r="G488">
        <v>15.1</v>
      </c>
      <c r="I488">
        <v>57.1</v>
      </c>
    </row>
    <row r="489" spans="1:9" x14ac:dyDescent="0.25">
      <c r="A489" s="10" t="s">
        <v>1591</v>
      </c>
      <c r="B489">
        <v>2</v>
      </c>
      <c r="C489">
        <v>40.200000000000003</v>
      </c>
      <c r="G489">
        <v>14</v>
      </c>
      <c r="I489">
        <v>56.2</v>
      </c>
    </row>
    <row r="490" spans="1:9" x14ac:dyDescent="0.25">
      <c r="A490" s="10" t="s">
        <v>1592</v>
      </c>
      <c r="B490">
        <v>21</v>
      </c>
      <c r="C490">
        <v>30.7</v>
      </c>
      <c r="F490">
        <v>4</v>
      </c>
      <c r="I490">
        <v>55.7</v>
      </c>
    </row>
    <row r="491" spans="1:9" x14ac:dyDescent="0.25">
      <c r="A491" s="10" t="s">
        <v>1593</v>
      </c>
      <c r="C491">
        <v>55.7</v>
      </c>
      <c r="I491">
        <v>55.7</v>
      </c>
    </row>
    <row r="492" spans="1:9" x14ac:dyDescent="0.25">
      <c r="A492" s="10" t="s">
        <v>1594</v>
      </c>
      <c r="C492">
        <v>55.1</v>
      </c>
      <c r="I492">
        <v>55.1</v>
      </c>
    </row>
    <row r="493" spans="1:9" x14ac:dyDescent="0.25">
      <c r="A493" s="10" t="s">
        <v>1595</v>
      </c>
      <c r="C493">
        <v>46.7</v>
      </c>
      <c r="G493">
        <v>7.7</v>
      </c>
      <c r="I493">
        <v>54.400000000000013</v>
      </c>
    </row>
    <row r="494" spans="1:9" x14ac:dyDescent="0.25">
      <c r="A494" s="10" t="s">
        <v>1596</v>
      </c>
      <c r="C494">
        <v>18.100000000000001</v>
      </c>
      <c r="F494">
        <v>35.5</v>
      </c>
      <c r="I494">
        <v>53.6</v>
      </c>
    </row>
    <row r="495" spans="1:9" x14ac:dyDescent="0.25">
      <c r="A495" s="10" t="s">
        <v>1597</v>
      </c>
      <c r="F495">
        <v>53.2</v>
      </c>
      <c r="I495">
        <v>53.2</v>
      </c>
    </row>
    <row r="496" spans="1:9" x14ac:dyDescent="0.25">
      <c r="A496" s="10" t="s">
        <v>1598</v>
      </c>
      <c r="B496">
        <v>52.2</v>
      </c>
      <c r="I496">
        <v>52.2</v>
      </c>
    </row>
    <row r="497" spans="1:9" x14ac:dyDescent="0.25">
      <c r="A497" s="10" t="s">
        <v>1599</v>
      </c>
      <c r="C497">
        <v>49.85</v>
      </c>
      <c r="I497">
        <v>49.85</v>
      </c>
    </row>
    <row r="498" spans="1:9" x14ac:dyDescent="0.25">
      <c r="A498" s="10" t="s">
        <v>1600</v>
      </c>
      <c r="C498">
        <v>49.2</v>
      </c>
      <c r="I498">
        <v>49.2</v>
      </c>
    </row>
    <row r="499" spans="1:9" x14ac:dyDescent="0.25">
      <c r="A499" s="10" t="s">
        <v>1601</v>
      </c>
      <c r="C499">
        <v>37.4</v>
      </c>
      <c r="G499">
        <v>11</v>
      </c>
      <c r="I499">
        <v>48.4</v>
      </c>
    </row>
    <row r="500" spans="1:9" x14ac:dyDescent="0.25">
      <c r="A500" s="10" t="s">
        <v>1602</v>
      </c>
      <c r="C500">
        <v>48.1</v>
      </c>
      <c r="I500">
        <v>48.1</v>
      </c>
    </row>
    <row r="501" spans="1:9" x14ac:dyDescent="0.25">
      <c r="A501" s="10" t="s">
        <v>65</v>
      </c>
      <c r="B501">
        <v>20.9</v>
      </c>
      <c r="C501">
        <v>3</v>
      </c>
      <c r="F501">
        <v>5</v>
      </c>
      <c r="G501">
        <v>19.100000000000001</v>
      </c>
      <c r="I501">
        <v>48</v>
      </c>
    </row>
    <row r="502" spans="1:9" x14ac:dyDescent="0.25">
      <c r="A502" s="10" t="s">
        <v>247</v>
      </c>
      <c r="C502">
        <v>45</v>
      </c>
      <c r="G502">
        <v>3</v>
      </c>
      <c r="I502">
        <v>48</v>
      </c>
    </row>
    <row r="503" spans="1:9" x14ac:dyDescent="0.25">
      <c r="A503" s="10" t="s">
        <v>1603</v>
      </c>
      <c r="F503">
        <v>47.65</v>
      </c>
      <c r="I503">
        <v>47.65</v>
      </c>
    </row>
    <row r="504" spans="1:9" x14ac:dyDescent="0.25">
      <c r="A504" s="10" t="s">
        <v>1604</v>
      </c>
      <c r="B504">
        <v>20</v>
      </c>
      <c r="C504">
        <v>27.5</v>
      </c>
      <c r="I504">
        <v>47.5</v>
      </c>
    </row>
    <row r="505" spans="1:9" x14ac:dyDescent="0.25">
      <c r="A505" s="10" t="s">
        <v>1605</v>
      </c>
      <c r="B505">
        <v>46.2</v>
      </c>
      <c r="C505">
        <v>1</v>
      </c>
      <c r="I505">
        <v>47.2</v>
      </c>
    </row>
    <row r="506" spans="1:9" x14ac:dyDescent="0.25">
      <c r="A506" s="10" t="s">
        <v>561</v>
      </c>
      <c r="B506">
        <v>46.45</v>
      </c>
      <c r="I506">
        <v>46.45</v>
      </c>
    </row>
    <row r="507" spans="1:9" x14ac:dyDescent="0.25">
      <c r="A507" s="10" t="s">
        <v>1606</v>
      </c>
      <c r="B507">
        <v>30.7</v>
      </c>
      <c r="C507">
        <v>15.7</v>
      </c>
      <c r="I507">
        <v>46.4</v>
      </c>
    </row>
    <row r="508" spans="1:9" x14ac:dyDescent="0.25">
      <c r="A508" s="10" t="s">
        <v>280</v>
      </c>
      <c r="B508">
        <v>11.5</v>
      </c>
      <c r="G508">
        <v>34.799999999999997</v>
      </c>
      <c r="I508">
        <v>46.3</v>
      </c>
    </row>
    <row r="509" spans="1:9" x14ac:dyDescent="0.25">
      <c r="A509" s="10" t="s">
        <v>1607</v>
      </c>
      <c r="C509">
        <v>10.9</v>
      </c>
      <c r="G509">
        <v>34.25</v>
      </c>
      <c r="I509">
        <v>45.15</v>
      </c>
    </row>
    <row r="510" spans="1:9" x14ac:dyDescent="0.25">
      <c r="A510" s="10" t="s">
        <v>1608</v>
      </c>
      <c r="C510">
        <v>44.95</v>
      </c>
      <c r="I510">
        <v>44.95</v>
      </c>
    </row>
    <row r="511" spans="1:9" x14ac:dyDescent="0.25">
      <c r="A511" s="10" t="s">
        <v>1609</v>
      </c>
      <c r="F511">
        <v>44.65</v>
      </c>
      <c r="I511">
        <v>44.65</v>
      </c>
    </row>
    <row r="512" spans="1:9" x14ac:dyDescent="0.25">
      <c r="A512" s="10" t="s">
        <v>100</v>
      </c>
      <c r="C512">
        <v>38.25</v>
      </c>
      <c r="G512">
        <v>6</v>
      </c>
      <c r="I512">
        <v>44.25</v>
      </c>
    </row>
    <row r="513" spans="1:9" x14ac:dyDescent="0.25">
      <c r="A513" s="10" t="s">
        <v>1610</v>
      </c>
      <c r="B513">
        <v>38.85</v>
      </c>
      <c r="C513">
        <v>5</v>
      </c>
      <c r="I513">
        <v>43.85</v>
      </c>
    </row>
    <row r="514" spans="1:9" x14ac:dyDescent="0.25">
      <c r="A514" s="10" t="s">
        <v>1611</v>
      </c>
      <c r="B514">
        <v>43.5</v>
      </c>
      <c r="I514">
        <v>43.5</v>
      </c>
    </row>
    <row r="515" spans="1:9" x14ac:dyDescent="0.25">
      <c r="A515" s="10" t="s">
        <v>1612</v>
      </c>
      <c r="B515">
        <v>7.7</v>
      </c>
      <c r="C515">
        <v>35.299999999999997</v>
      </c>
      <c r="I515">
        <v>43</v>
      </c>
    </row>
    <row r="516" spans="1:9" x14ac:dyDescent="0.25">
      <c r="A516" s="10" t="s">
        <v>303</v>
      </c>
      <c r="B516">
        <v>38.6</v>
      </c>
      <c r="G516">
        <v>3.85</v>
      </c>
      <c r="I516">
        <v>42.45</v>
      </c>
    </row>
    <row r="517" spans="1:9" x14ac:dyDescent="0.25">
      <c r="A517" s="10" t="s">
        <v>1613</v>
      </c>
      <c r="C517">
        <v>26.7</v>
      </c>
      <c r="G517">
        <v>15.7</v>
      </c>
      <c r="I517">
        <v>42.4</v>
      </c>
    </row>
    <row r="518" spans="1:9" x14ac:dyDescent="0.25">
      <c r="A518" s="10" t="s">
        <v>1614</v>
      </c>
      <c r="C518">
        <v>16</v>
      </c>
      <c r="F518">
        <v>11.55</v>
      </c>
      <c r="G518">
        <v>14.55</v>
      </c>
      <c r="I518">
        <v>42.1</v>
      </c>
    </row>
    <row r="519" spans="1:9" x14ac:dyDescent="0.25">
      <c r="A519" s="10" t="s">
        <v>117</v>
      </c>
      <c r="C519">
        <v>35.5</v>
      </c>
      <c r="G519">
        <v>6</v>
      </c>
      <c r="I519">
        <v>41.5</v>
      </c>
    </row>
    <row r="520" spans="1:9" x14ac:dyDescent="0.25">
      <c r="A520" s="10" t="s">
        <v>1615</v>
      </c>
      <c r="B520">
        <v>9.4</v>
      </c>
      <c r="C520">
        <v>32.020000000000003</v>
      </c>
      <c r="I520">
        <v>41.42</v>
      </c>
    </row>
    <row r="521" spans="1:9" x14ac:dyDescent="0.25">
      <c r="A521" s="10" t="s">
        <v>1616</v>
      </c>
      <c r="B521">
        <v>41.2</v>
      </c>
      <c r="I521">
        <v>41.2</v>
      </c>
    </row>
    <row r="522" spans="1:9" x14ac:dyDescent="0.25">
      <c r="A522" s="10" t="s">
        <v>1617</v>
      </c>
      <c r="G522">
        <v>41</v>
      </c>
      <c r="I522">
        <v>41</v>
      </c>
    </row>
    <row r="523" spans="1:9" x14ac:dyDescent="0.25">
      <c r="A523" s="10" t="s">
        <v>1618</v>
      </c>
      <c r="B523">
        <v>10.55</v>
      </c>
      <c r="C523">
        <v>20.7</v>
      </c>
      <c r="G523">
        <v>9.6999999999999993</v>
      </c>
      <c r="I523">
        <v>40.950000000000003</v>
      </c>
    </row>
    <row r="524" spans="1:9" x14ac:dyDescent="0.25">
      <c r="A524" s="10" t="s">
        <v>1619</v>
      </c>
      <c r="C524">
        <v>40.65</v>
      </c>
      <c r="I524">
        <v>40.65</v>
      </c>
    </row>
    <row r="525" spans="1:9" x14ac:dyDescent="0.25">
      <c r="A525" s="10" t="s">
        <v>1620</v>
      </c>
      <c r="F525">
        <v>38.5</v>
      </c>
      <c r="I525">
        <v>38.5</v>
      </c>
    </row>
    <row r="526" spans="1:9" x14ac:dyDescent="0.25">
      <c r="A526" s="10" t="s">
        <v>1621</v>
      </c>
      <c r="C526">
        <v>38.5</v>
      </c>
      <c r="I526">
        <v>38.5</v>
      </c>
    </row>
    <row r="527" spans="1:9" x14ac:dyDescent="0.25">
      <c r="A527" s="10" t="s">
        <v>1622</v>
      </c>
      <c r="F527">
        <v>38.5</v>
      </c>
      <c r="I527">
        <v>38.5</v>
      </c>
    </row>
    <row r="528" spans="1:9" x14ac:dyDescent="0.25">
      <c r="A528" s="10" t="s">
        <v>1623</v>
      </c>
      <c r="C528">
        <v>29</v>
      </c>
      <c r="G528">
        <v>9</v>
      </c>
      <c r="I528">
        <v>38</v>
      </c>
    </row>
    <row r="529" spans="1:9" x14ac:dyDescent="0.25">
      <c r="A529" s="10" t="s">
        <v>1624</v>
      </c>
      <c r="C529">
        <v>38</v>
      </c>
      <c r="I529">
        <v>38</v>
      </c>
    </row>
    <row r="530" spans="1:9" x14ac:dyDescent="0.25">
      <c r="A530" s="10" t="s">
        <v>1625</v>
      </c>
      <c r="B530">
        <v>13.7</v>
      </c>
      <c r="C530">
        <v>24.1</v>
      </c>
      <c r="I530">
        <v>37.799999999999997</v>
      </c>
    </row>
    <row r="531" spans="1:9" x14ac:dyDescent="0.25">
      <c r="A531" s="10" t="s">
        <v>1626</v>
      </c>
      <c r="C531">
        <v>28.2</v>
      </c>
      <c r="G531">
        <v>9.35</v>
      </c>
      <c r="I531">
        <v>37.549999999999997</v>
      </c>
    </row>
    <row r="532" spans="1:9" x14ac:dyDescent="0.25">
      <c r="A532" s="10" t="s">
        <v>1627</v>
      </c>
      <c r="C532">
        <v>35.549999999999997</v>
      </c>
      <c r="G532">
        <v>1.5</v>
      </c>
      <c r="I532">
        <v>37.049999999999997</v>
      </c>
    </row>
    <row r="533" spans="1:9" x14ac:dyDescent="0.25">
      <c r="A533" s="10" t="s">
        <v>1628</v>
      </c>
      <c r="C533">
        <v>30</v>
      </c>
      <c r="G533">
        <v>5.7</v>
      </c>
      <c r="I533">
        <v>35.700000000000003</v>
      </c>
    </row>
    <row r="534" spans="1:9" x14ac:dyDescent="0.25">
      <c r="A534" s="10" t="s">
        <v>1629</v>
      </c>
      <c r="B534">
        <v>35.65</v>
      </c>
      <c r="I534">
        <v>35.65</v>
      </c>
    </row>
    <row r="535" spans="1:9" x14ac:dyDescent="0.25">
      <c r="A535" s="10" t="s">
        <v>663</v>
      </c>
      <c r="C535">
        <v>26</v>
      </c>
      <c r="G535">
        <v>8.8000000000000007</v>
      </c>
      <c r="I535">
        <v>34.799999999999997</v>
      </c>
    </row>
    <row r="536" spans="1:9" x14ac:dyDescent="0.25">
      <c r="A536" s="10" t="s">
        <v>1630</v>
      </c>
      <c r="C536">
        <v>34.799999999999997</v>
      </c>
      <c r="I536">
        <v>34.799999999999997</v>
      </c>
    </row>
    <row r="537" spans="1:9" x14ac:dyDescent="0.25">
      <c r="A537" s="10" t="s">
        <v>1631</v>
      </c>
      <c r="B537">
        <v>3</v>
      </c>
      <c r="C537">
        <v>31.7</v>
      </c>
      <c r="I537">
        <v>34.700000000000003</v>
      </c>
    </row>
    <row r="538" spans="1:9" x14ac:dyDescent="0.25">
      <c r="A538" s="10" t="s">
        <v>1632</v>
      </c>
      <c r="C538">
        <v>34.5</v>
      </c>
      <c r="I538">
        <v>34.5</v>
      </c>
    </row>
    <row r="539" spans="1:9" x14ac:dyDescent="0.25">
      <c r="A539" s="10" t="s">
        <v>1633</v>
      </c>
      <c r="C539">
        <v>34.31</v>
      </c>
      <c r="I539">
        <v>34.31</v>
      </c>
    </row>
    <row r="540" spans="1:9" x14ac:dyDescent="0.25">
      <c r="A540" s="10" t="s">
        <v>1634</v>
      </c>
      <c r="C540">
        <v>34.299999999999997</v>
      </c>
      <c r="I540">
        <v>34.299999999999997</v>
      </c>
    </row>
    <row r="541" spans="1:9" x14ac:dyDescent="0.25">
      <c r="A541" s="10" t="s">
        <v>1635</v>
      </c>
      <c r="B541">
        <v>16.2</v>
      </c>
      <c r="C541">
        <v>1</v>
      </c>
      <c r="G541">
        <v>17</v>
      </c>
      <c r="I541">
        <v>34.200000000000003</v>
      </c>
    </row>
    <row r="542" spans="1:9" x14ac:dyDescent="0.25">
      <c r="A542" s="10" t="s">
        <v>522</v>
      </c>
      <c r="B542">
        <v>16.7</v>
      </c>
      <c r="C542">
        <v>16.399999999999999</v>
      </c>
      <c r="I542">
        <v>33.099999999999987</v>
      </c>
    </row>
    <row r="543" spans="1:9" x14ac:dyDescent="0.25">
      <c r="A543" s="10" t="s">
        <v>1636</v>
      </c>
      <c r="B543">
        <v>23.4</v>
      </c>
      <c r="G543">
        <v>9.6999999999999993</v>
      </c>
      <c r="I543">
        <v>33.099999999999987</v>
      </c>
    </row>
    <row r="544" spans="1:9" x14ac:dyDescent="0.25">
      <c r="A544" s="10" t="s">
        <v>1637</v>
      </c>
      <c r="C544">
        <v>32.35</v>
      </c>
      <c r="I544">
        <v>32.35</v>
      </c>
    </row>
    <row r="545" spans="1:9" x14ac:dyDescent="0.25">
      <c r="A545" s="10" t="s">
        <v>1638</v>
      </c>
      <c r="C545">
        <v>31.7</v>
      </c>
      <c r="I545">
        <v>31.7</v>
      </c>
    </row>
    <row r="546" spans="1:9" x14ac:dyDescent="0.25">
      <c r="A546" s="10" t="s">
        <v>1639</v>
      </c>
      <c r="C546">
        <v>15.4</v>
      </c>
      <c r="G546">
        <v>15.7</v>
      </c>
      <c r="I546">
        <v>31.1</v>
      </c>
    </row>
    <row r="547" spans="1:9" x14ac:dyDescent="0.25">
      <c r="A547" s="10" t="s">
        <v>1640</v>
      </c>
      <c r="F547">
        <v>30.9</v>
      </c>
      <c r="I547">
        <v>30.9</v>
      </c>
    </row>
    <row r="548" spans="1:9" x14ac:dyDescent="0.25">
      <c r="A548" s="10" t="s">
        <v>1641</v>
      </c>
      <c r="C548">
        <v>23.1</v>
      </c>
      <c r="F548">
        <v>7.7</v>
      </c>
      <c r="I548">
        <v>30.8</v>
      </c>
    </row>
    <row r="549" spans="1:9" x14ac:dyDescent="0.25">
      <c r="A549" s="10" t="s">
        <v>1642</v>
      </c>
      <c r="F549">
        <v>30.8</v>
      </c>
      <c r="I549">
        <v>30.8</v>
      </c>
    </row>
    <row r="550" spans="1:9" x14ac:dyDescent="0.25">
      <c r="A550" s="10" t="s">
        <v>1643</v>
      </c>
      <c r="B550">
        <v>6</v>
      </c>
      <c r="C550">
        <v>24.7</v>
      </c>
      <c r="I550">
        <v>30.7</v>
      </c>
    </row>
    <row r="551" spans="1:9" x14ac:dyDescent="0.25">
      <c r="A551" s="10" t="s">
        <v>1644</v>
      </c>
      <c r="C551">
        <v>30.49</v>
      </c>
      <c r="I551">
        <v>30.49</v>
      </c>
    </row>
    <row r="552" spans="1:9" x14ac:dyDescent="0.25">
      <c r="A552" s="10" t="s">
        <v>1645</v>
      </c>
      <c r="B552">
        <v>5</v>
      </c>
      <c r="C552">
        <v>25.45</v>
      </c>
      <c r="I552">
        <v>30.45</v>
      </c>
    </row>
    <row r="553" spans="1:9" x14ac:dyDescent="0.25">
      <c r="A553" s="10" t="s">
        <v>1646</v>
      </c>
      <c r="B553">
        <v>3</v>
      </c>
      <c r="C553">
        <v>1</v>
      </c>
      <c r="G553">
        <v>26</v>
      </c>
      <c r="I553">
        <v>30</v>
      </c>
    </row>
    <row r="554" spans="1:9" x14ac:dyDescent="0.25">
      <c r="A554" s="10" t="s">
        <v>1647</v>
      </c>
      <c r="C554">
        <v>6.7</v>
      </c>
      <c r="G554">
        <v>23.1</v>
      </c>
      <c r="I554">
        <v>29.8</v>
      </c>
    </row>
    <row r="555" spans="1:9" x14ac:dyDescent="0.25">
      <c r="A555" s="10" t="s">
        <v>1648</v>
      </c>
      <c r="C555">
        <v>29</v>
      </c>
      <c r="G555">
        <v>0.75</v>
      </c>
      <c r="I555">
        <v>29.75</v>
      </c>
    </row>
    <row r="556" spans="1:9" x14ac:dyDescent="0.25">
      <c r="A556" s="10" t="s">
        <v>1649</v>
      </c>
      <c r="C556">
        <v>16.5</v>
      </c>
      <c r="G556">
        <v>13.15</v>
      </c>
      <c r="I556">
        <v>29.65</v>
      </c>
    </row>
    <row r="557" spans="1:9" x14ac:dyDescent="0.25">
      <c r="A557" s="10" t="s">
        <v>1650</v>
      </c>
      <c r="C557">
        <v>29.5</v>
      </c>
      <c r="I557">
        <v>29.5</v>
      </c>
    </row>
    <row r="558" spans="1:9" x14ac:dyDescent="0.25">
      <c r="A558" s="10" t="s">
        <v>1651</v>
      </c>
      <c r="F558">
        <v>15.4</v>
      </c>
      <c r="G558">
        <v>14</v>
      </c>
      <c r="I558">
        <v>29.4</v>
      </c>
    </row>
    <row r="559" spans="1:9" x14ac:dyDescent="0.25">
      <c r="A559" s="10" t="s">
        <v>1652</v>
      </c>
      <c r="C559">
        <v>14.05</v>
      </c>
      <c r="E559">
        <v>15.25</v>
      </c>
      <c r="I559">
        <v>29.3</v>
      </c>
    </row>
    <row r="560" spans="1:9" x14ac:dyDescent="0.25">
      <c r="A560" s="10" t="s">
        <v>1653</v>
      </c>
      <c r="C560">
        <v>20.07</v>
      </c>
      <c r="G560">
        <v>9.1999999999999993</v>
      </c>
      <c r="I560">
        <v>29.27</v>
      </c>
    </row>
    <row r="561" spans="1:9" x14ac:dyDescent="0.25">
      <c r="A561" s="10" t="s">
        <v>1654</v>
      </c>
      <c r="B561">
        <v>2</v>
      </c>
      <c r="C561">
        <v>27.05</v>
      </c>
      <c r="I561">
        <v>29.05</v>
      </c>
    </row>
    <row r="562" spans="1:9" x14ac:dyDescent="0.25">
      <c r="A562" s="10" t="s">
        <v>1655</v>
      </c>
      <c r="B562">
        <v>11</v>
      </c>
      <c r="C562">
        <v>1</v>
      </c>
      <c r="G562">
        <v>16.850000000000001</v>
      </c>
      <c r="I562">
        <v>28.85</v>
      </c>
    </row>
    <row r="563" spans="1:9" x14ac:dyDescent="0.25">
      <c r="A563" s="10" t="s">
        <v>1656</v>
      </c>
      <c r="B563">
        <v>14.4</v>
      </c>
      <c r="C563">
        <v>14.09</v>
      </c>
      <c r="I563">
        <v>28.49</v>
      </c>
    </row>
    <row r="564" spans="1:9" x14ac:dyDescent="0.25">
      <c r="A564" s="10" t="s">
        <v>1657</v>
      </c>
      <c r="B564">
        <v>0.7</v>
      </c>
      <c r="C564">
        <v>27.55</v>
      </c>
      <c r="I564">
        <v>28.25</v>
      </c>
    </row>
    <row r="565" spans="1:9" x14ac:dyDescent="0.25">
      <c r="A565" s="10" t="s">
        <v>1658</v>
      </c>
      <c r="B565">
        <v>3.85</v>
      </c>
      <c r="C565">
        <v>24.4</v>
      </c>
      <c r="I565">
        <v>28.25</v>
      </c>
    </row>
    <row r="566" spans="1:9" x14ac:dyDescent="0.25">
      <c r="A566" s="10" t="s">
        <v>1659</v>
      </c>
      <c r="B566">
        <v>13</v>
      </c>
      <c r="C566">
        <v>14.9</v>
      </c>
      <c r="I566">
        <v>27.9</v>
      </c>
    </row>
    <row r="567" spans="1:9" x14ac:dyDescent="0.25">
      <c r="A567" s="10" t="s">
        <v>291</v>
      </c>
      <c r="B567">
        <v>12.1</v>
      </c>
      <c r="G567">
        <v>15.55</v>
      </c>
      <c r="I567">
        <v>27.65</v>
      </c>
    </row>
    <row r="568" spans="1:9" x14ac:dyDescent="0.25">
      <c r="A568" s="10" t="s">
        <v>1660</v>
      </c>
      <c r="F568">
        <v>27.6</v>
      </c>
      <c r="I568">
        <v>27.6</v>
      </c>
    </row>
    <row r="569" spans="1:9" x14ac:dyDescent="0.25">
      <c r="A569" s="10" t="s">
        <v>1661</v>
      </c>
      <c r="C569">
        <v>27.07</v>
      </c>
      <c r="I569">
        <v>27.07</v>
      </c>
    </row>
    <row r="570" spans="1:9" x14ac:dyDescent="0.25">
      <c r="A570" s="10" t="s">
        <v>1662</v>
      </c>
      <c r="C570">
        <v>6</v>
      </c>
      <c r="G570">
        <v>21</v>
      </c>
      <c r="I570">
        <v>27</v>
      </c>
    </row>
    <row r="571" spans="1:9" x14ac:dyDescent="0.25">
      <c r="A571" s="10" t="s">
        <v>1663</v>
      </c>
      <c r="C571">
        <v>27</v>
      </c>
      <c r="I571">
        <v>27</v>
      </c>
    </row>
    <row r="572" spans="1:9" x14ac:dyDescent="0.25">
      <c r="A572" s="10" t="s">
        <v>1664</v>
      </c>
      <c r="C572">
        <v>27</v>
      </c>
      <c r="I572">
        <v>27</v>
      </c>
    </row>
    <row r="573" spans="1:9" x14ac:dyDescent="0.25">
      <c r="A573" s="10" t="s">
        <v>1665</v>
      </c>
      <c r="F573">
        <v>26.95</v>
      </c>
      <c r="I573">
        <v>26.95</v>
      </c>
    </row>
    <row r="574" spans="1:9" x14ac:dyDescent="0.25">
      <c r="A574" s="10" t="s">
        <v>1666</v>
      </c>
      <c r="F574">
        <v>26.8</v>
      </c>
      <c r="I574">
        <v>26.8</v>
      </c>
    </row>
    <row r="575" spans="1:9" x14ac:dyDescent="0.25">
      <c r="A575" s="10" t="s">
        <v>1667</v>
      </c>
      <c r="B575">
        <v>8.25</v>
      </c>
      <c r="C575">
        <v>18.25</v>
      </c>
      <c r="I575">
        <v>26.5</v>
      </c>
    </row>
    <row r="576" spans="1:9" x14ac:dyDescent="0.25">
      <c r="A576" s="10" t="s">
        <v>1668</v>
      </c>
      <c r="C576">
        <v>26</v>
      </c>
      <c r="I576">
        <v>26</v>
      </c>
    </row>
    <row r="577" spans="1:9" x14ac:dyDescent="0.25">
      <c r="A577" s="10" t="s">
        <v>1669</v>
      </c>
      <c r="B577">
        <v>26</v>
      </c>
      <c r="I577">
        <v>26</v>
      </c>
    </row>
    <row r="578" spans="1:9" x14ac:dyDescent="0.25">
      <c r="A578" s="10" t="s">
        <v>1670</v>
      </c>
      <c r="B578">
        <v>26</v>
      </c>
      <c r="I578">
        <v>26</v>
      </c>
    </row>
    <row r="579" spans="1:9" x14ac:dyDescent="0.25">
      <c r="A579" s="10" t="s">
        <v>1671</v>
      </c>
      <c r="B579">
        <v>25.7</v>
      </c>
      <c r="I579">
        <v>25.7</v>
      </c>
    </row>
    <row r="580" spans="1:9" x14ac:dyDescent="0.25">
      <c r="A580" s="10" t="s">
        <v>1672</v>
      </c>
      <c r="B580">
        <v>22.1</v>
      </c>
      <c r="C580">
        <v>3</v>
      </c>
      <c r="I580">
        <v>25.1</v>
      </c>
    </row>
    <row r="581" spans="1:9" x14ac:dyDescent="0.25">
      <c r="A581" s="10" t="s">
        <v>1673</v>
      </c>
      <c r="C581">
        <v>25</v>
      </c>
      <c r="I581">
        <v>25</v>
      </c>
    </row>
    <row r="582" spans="1:9" x14ac:dyDescent="0.25">
      <c r="A582" s="10" t="s">
        <v>369</v>
      </c>
      <c r="B582">
        <v>24.85</v>
      </c>
      <c r="I582">
        <v>24.85</v>
      </c>
    </row>
    <row r="583" spans="1:9" x14ac:dyDescent="0.25">
      <c r="A583" s="10" t="s">
        <v>1674</v>
      </c>
      <c r="B583">
        <v>24.8</v>
      </c>
      <c r="I583">
        <v>24.8</v>
      </c>
    </row>
    <row r="584" spans="1:9" x14ac:dyDescent="0.25">
      <c r="A584" s="10" t="s">
        <v>1675</v>
      </c>
      <c r="C584">
        <v>4.0199999999999996</v>
      </c>
      <c r="G584">
        <v>20.399999999999999</v>
      </c>
      <c r="I584">
        <v>24.42</v>
      </c>
    </row>
    <row r="585" spans="1:9" x14ac:dyDescent="0.25">
      <c r="A585" s="10" t="s">
        <v>1676</v>
      </c>
      <c r="C585">
        <v>24.4</v>
      </c>
      <c r="I585">
        <v>24.4</v>
      </c>
    </row>
    <row r="586" spans="1:9" x14ac:dyDescent="0.25">
      <c r="A586" s="10" t="s">
        <v>1677</v>
      </c>
      <c r="C586">
        <v>23.8</v>
      </c>
      <c r="I586">
        <v>23.8</v>
      </c>
    </row>
    <row r="587" spans="1:9" x14ac:dyDescent="0.25">
      <c r="A587" s="10" t="s">
        <v>1678</v>
      </c>
      <c r="B587">
        <v>23.4</v>
      </c>
      <c r="I587">
        <v>23.4</v>
      </c>
    </row>
    <row r="588" spans="1:9" x14ac:dyDescent="0.25">
      <c r="A588" s="10" t="s">
        <v>1679</v>
      </c>
      <c r="B588">
        <v>2</v>
      </c>
      <c r="C588">
        <v>21.1</v>
      </c>
      <c r="I588">
        <v>23.1</v>
      </c>
    </row>
    <row r="589" spans="1:9" x14ac:dyDescent="0.25">
      <c r="A589" s="10" t="s">
        <v>1680</v>
      </c>
      <c r="F589">
        <v>23.1</v>
      </c>
      <c r="I589">
        <v>23.1</v>
      </c>
    </row>
    <row r="590" spans="1:9" x14ac:dyDescent="0.25">
      <c r="A590" s="10" t="s">
        <v>1681</v>
      </c>
      <c r="B590">
        <v>0</v>
      </c>
      <c r="C590">
        <v>23.1</v>
      </c>
      <c r="I590">
        <v>23.1</v>
      </c>
    </row>
    <row r="591" spans="1:9" x14ac:dyDescent="0.25">
      <c r="A591" s="10" t="s">
        <v>1682</v>
      </c>
      <c r="B591">
        <v>23</v>
      </c>
      <c r="I591">
        <v>23</v>
      </c>
    </row>
    <row r="592" spans="1:9" x14ac:dyDescent="0.25">
      <c r="A592" s="10" t="s">
        <v>1683</v>
      </c>
      <c r="G592">
        <v>23</v>
      </c>
      <c r="I592">
        <v>23</v>
      </c>
    </row>
    <row r="593" spans="1:9" x14ac:dyDescent="0.25">
      <c r="A593" s="10" t="s">
        <v>1684</v>
      </c>
      <c r="C593">
        <v>5</v>
      </c>
      <c r="G593">
        <v>18</v>
      </c>
      <c r="I593">
        <v>23</v>
      </c>
    </row>
    <row r="594" spans="1:9" x14ac:dyDescent="0.25">
      <c r="A594" s="10" t="s">
        <v>1685</v>
      </c>
      <c r="C594">
        <v>23</v>
      </c>
      <c r="I594">
        <v>23</v>
      </c>
    </row>
    <row r="595" spans="1:9" x14ac:dyDescent="0.25">
      <c r="A595" s="10" t="s">
        <v>1686</v>
      </c>
      <c r="F595">
        <v>22.9</v>
      </c>
      <c r="I595">
        <v>22.9</v>
      </c>
    </row>
    <row r="596" spans="1:9" x14ac:dyDescent="0.25">
      <c r="A596" s="10" t="s">
        <v>1687</v>
      </c>
      <c r="B596">
        <v>21.7</v>
      </c>
      <c r="C596">
        <v>1</v>
      </c>
      <c r="I596">
        <v>22.7</v>
      </c>
    </row>
    <row r="597" spans="1:9" x14ac:dyDescent="0.25">
      <c r="A597" s="10" t="s">
        <v>1688</v>
      </c>
      <c r="G597">
        <v>22.7</v>
      </c>
      <c r="I597">
        <v>22.7</v>
      </c>
    </row>
    <row r="598" spans="1:9" x14ac:dyDescent="0.25">
      <c r="A598" s="10" t="s">
        <v>254</v>
      </c>
      <c r="B598">
        <v>18.3</v>
      </c>
      <c r="C598">
        <v>2</v>
      </c>
      <c r="F598">
        <v>2</v>
      </c>
      <c r="I598">
        <v>22.3</v>
      </c>
    </row>
    <row r="599" spans="1:9" x14ac:dyDescent="0.25">
      <c r="A599" s="10" t="s">
        <v>1689</v>
      </c>
      <c r="B599">
        <v>20</v>
      </c>
      <c r="C599">
        <v>2</v>
      </c>
      <c r="I599">
        <v>22</v>
      </c>
    </row>
    <row r="600" spans="1:9" x14ac:dyDescent="0.25">
      <c r="A600" s="10" t="s">
        <v>1690</v>
      </c>
      <c r="B600">
        <v>15.85</v>
      </c>
      <c r="C600">
        <v>6</v>
      </c>
      <c r="I600">
        <v>21.85</v>
      </c>
    </row>
    <row r="601" spans="1:9" x14ac:dyDescent="0.25">
      <c r="A601" s="10" t="s">
        <v>1691</v>
      </c>
      <c r="B601">
        <v>7</v>
      </c>
      <c r="C601">
        <v>14.85</v>
      </c>
      <c r="I601">
        <v>21.85</v>
      </c>
    </row>
    <row r="602" spans="1:9" x14ac:dyDescent="0.25">
      <c r="A602" s="10" t="s">
        <v>1692</v>
      </c>
      <c r="C602">
        <v>21.85</v>
      </c>
      <c r="I602">
        <v>21.85</v>
      </c>
    </row>
    <row r="603" spans="1:9" x14ac:dyDescent="0.25">
      <c r="A603" s="10" t="s">
        <v>1693</v>
      </c>
      <c r="C603">
        <v>15.7</v>
      </c>
      <c r="G603">
        <v>6</v>
      </c>
      <c r="I603">
        <v>21.7</v>
      </c>
    </row>
    <row r="604" spans="1:9" x14ac:dyDescent="0.25">
      <c r="A604" s="10" t="s">
        <v>1694</v>
      </c>
      <c r="C604">
        <v>21.1</v>
      </c>
      <c r="I604">
        <v>21.1</v>
      </c>
    </row>
    <row r="605" spans="1:9" x14ac:dyDescent="0.25">
      <c r="A605" s="10" t="s">
        <v>354</v>
      </c>
      <c r="B605">
        <v>14.65</v>
      </c>
      <c r="G605">
        <v>6.2</v>
      </c>
      <c r="I605">
        <v>20.85</v>
      </c>
    </row>
    <row r="606" spans="1:9" x14ac:dyDescent="0.25">
      <c r="A606" s="10" t="s">
        <v>1695</v>
      </c>
      <c r="F606">
        <v>20.7</v>
      </c>
      <c r="I606">
        <v>20.7</v>
      </c>
    </row>
    <row r="607" spans="1:9" x14ac:dyDescent="0.25">
      <c r="A607" s="10" t="s">
        <v>1696</v>
      </c>
      <c r="B607">
        <v>20.55</v>
      </c>
      <c r="I607">
        <v>20.55</v>
      </c>
    </row>
    <row r="608" spans="1:9" x14ac:dyDescent="0.25">
      <c r="A608" s="10" t="s">
        <v>1697</v>
      </c>
      <c r="C608">
        <v>20.329999999999998</v>
      </c>
      <c r="I608">
        <v>20.329999999999998</v>
      </c>
    </row>
    <row r="609" spans="1:9" x14ac:dyDescent="0.25">
      <c r="A609" s="10" t="s">
        <v>392</v>
      </c>
      <c r="B609">
        <v>20.25</v>
      </c>
      <c r="I609">
        <v>20.25</v>
      </c>
    </row>
    <row r="610" spans="1:9" x14ac:dyDescent="0.25">
      <c r="A610" s="10" t="s">
        <v>1698</v>
      </c>
      <c r="F610">
        <v>20.100000000000001</v>
      </c>
      <c r="I610">
        <v>20.100000000000001</v>
      </c>
    </row>
    <row r="611" spans="1:9" x14ac:dyDescent="0.25">
      <c r="A611" s="10" t="s">
        <v>1699</v>
      </c>
      <c r="G611">
        <v>19.850000000000001</v>
      </c>
      <c r="I611">
        <v>19.850000000000001</v>
      </c>
    </row>
    <row r="612" spans="1:9" x14ac:dyDescent="0.25">
      <c r="A612" s="10" t="s">
        <v>1700</v>
      </c>
      <c r="B612">
        <v>19.399999999999999</v>
      </c>
      <c r="I612">
        <v>19.399999999999999</v>
      </c>
    </row>
    <row r="613" spans="1:9" x14ac:dyDescent="0.25">
      <c r="A613" s="10" t="s">
        <v>1701</v>
      </c>
      <c r="F613">
        <v>19.399999999999999</v>
      </c>
      <c r="I613">
        <v>19.399999999999999</v>
      </c>
    </row>
    <row r="614" spans="1:9" x14ac:dyDescent="0.25">
      <c r="A614" s="10" t="s">
        <v>1702</v>
      </c>
      <c r="C614">
        <v>19.399999999999999</v>
      </c>
      <c r="I614">
        <v>19.399999999999999</v>
      </c>
    </row>
    <row r="615" spans="1:9" x14ac:dyDescent="0.25">
      <c r="A615" s="10" t="s">
        <v>1703</v>
      </c>
      <c r="C615">
        <v>7.7</v>
      </c>
      <c r="G615">
        <v>11.55</v>
      </c>
      <c r="I615">
        <v>19.25</v>
      </c>
    </row>
    <row r="616" spans="1:9" x14ac:dyDescent="0.25">
      <c r="A616" s="10" t="s">
        <v>315</v>
      </c>
      <c r="B616">
        <v>18.649999999999999</v>
      </c>
      <c r="I616">
        <v>18.649999999999999</v>
      </c>
    </row>
    <row r="617" spans="1:9" x14ac:dyDescent="0.25">
      <c r="A617" s="10" t="s">
        <v>1704</v>
      </c>
      <c r="C617">
        <v>18.600000000000001</v>
      </c>
      <c r="I617">
        <v>18.600000000000001</v>
      </c>
    </row>
    <row r="618" spans="1:9" x14ac:dyDescent="0.25">
      <c r="A618" s="10" t="s">
        <v>1705</v>
      </c>
      <c r="G618">
        <v>18.399999999999999</v>
      </c>
      <c r="I618">
        <v>18.399999999999999</v>
      </c>
    </row>
    <row r="619" spans="1:9" x14ac:dyDescent="0.25">
      <c r="A619" s="10" t="s">
        <v>536</v>
      </c>
      <c r="B619">
        <v>10</v>
      </c>
      <c r="C619">
        <v>6</v>
      </c>
      <c r="E619">
        <v>2</v>
      </c>
      <c r="I619">
        <v>18</v>
      </c>
    </row>
    <row r="620" spans="1:9" x14ac:dyDescent="0.25">
      <c r="A620" s="10" t="s">
        <v>1706</v>
      </c>
      <c r="C620">
        <v>17.7</v>
      </c>
      <c r="I620">
        <v>17.7</v>
      </c>
    </row>
    <row r="621" spans="1:9" x14ac:dyDescent="0.25">
      <c r="A621" s="10" t="s">
        <v>1707</v>
      </c>
      <c r="B621">
        <v>6.5</v>
      </c>
      <c r="G621">
        <v>11</v>
      </c>
      <c r="I621">
        <v>17.5</v>
      </c>
    </row>
    <row r="622" spans="1:9" x14ac:dyDescent="0.25">
      <c r="A622" s="10" t="s">
        <v>590</v>
      </c>
      <c r="B622">
        <v>15.4</v>
      </c>
      <c r="C622">
        <v>1.7</v>
      </c>
      <c r="I622">
        <v>17.100000000000001</v>
      </c>
    </row>
    <row r="623" spans="1:9" x14ac:dyDescent="0.25">
      <c r="A623" s="10" t="s">
        <v>1708</v>
      </c>
      <c r="B623">
        <v>17.05</v>
      </c>
      <c r="I623">
        <v>17.05</v>
      </c>
    </row>
    <row r="624" spans="1:9" x14ac:dyDescent="0.25">
      <c r="A624" s="10" t="s">
        <v>1709</v>
      </c>
      <c r="C624">
        <v>17</v>
      </c>
      <c r="I624">
        <v>17</v>
      </c>
    </row>
    <row r="625" spans="1:9" x14ac:dyDescent="0.25">
      <c r="A625" s="10" t="s">
        <v>1710</v>
      </c>
      <c r="C625">
        <v>16.71</v>
      </c>
      <c r="I625">
        <v>16.71</v>
      </c>
    </row>
    <row r="626" spans="1:9" x14ac:dyDescent="0.25">
      <c r="A626" s="10" t="s">
        <v>1711</v>
      </c>
      <c r="B626">
        <v>2</v>
      </c>
      <c r="C626">
        <v>14.5</v>
      </c>
      <c r="I626">
        <v>16.5</v>
      </c>
    </row>
    <row r="627" spans="1:9" x14ac:dyDescent="0.25">
      <c r="A627" s="10" t="s">
        <v>1712</v>
      </c>
      <c r="C627">
        <v>16.399999999999999</v>
      </c>
      <c r="I627">
        <v>16.399999999999999</v>
      </c>
    </row>
    <row r="628" spans="1:9" x14ac:dyDescent="0.25">
      <c r="A628" s="10" t="s">
        <v>1713</v>
      </c>
      <c r="B628">
        <v>16</v>
      </c>
      <c r="I628">
        <v>16</v>
      </c>
    </row>
    <row r="629" spans="1:9" x14ac:dyDescent="0.25">
      <c r="A629" s="10" t="s">
        <v>1714</v>
      </c>
      <c r="B629">
        <v>16</v>
      </c>
      <c r="I629">
        <v>16</v>
      </c>
    </row>
    <row r="630" spans="1:9" x14ac:dyDescent="0.25">
      <c r="A630" s="10" t="s">
        <v>1715</v>
      </c>
      <c r="F630">
        <v>15.9</v>
      </c>
      <c r="I630">
        <v>15.9</v>
      </c>
    </row>
    <row r="631" spans="1:9" x14ac:dyDescent="0.25">
      <c r="A631" s="10" t="s">
        <v>1716</v>
      </c>
      <c r="C631">
        <v>3</v>
      </c>
      <c r="G631">
        <v>12.7</v>
      </c>
      <c r="I631">
        <v>15.7</v>
      </c>
    </row>
    <row r="632" spans="1:9" x14ac:dyDescent="0.25">
      <c r="A632" s="10" t="s">
        <v>709</v>
      </c>
      <c r="C632">
        <v>15.55</v>
      </c>
      <c r="I632">
        <v>15.55</v>
      </c>
    </row>
    <row r="633" spans="1:9" x14ac:dyDescent="0.25">
      <c r="A633" s="10" t="s">
        <v>587</v>
      </c>
      <c r="B633">
        <v>15.4</v>
      </c>
      <c r="I633">
        <v>15.4</v>
      </c>
    </row>
    <row r="634" spans="1:9" x14ac:dyDescent="0.25">
      <c r="A634" s="10" t="s">
        <v>1717</v>
      </c>
      <c r="C634">
        <v>15.4</v>
      </c>
      <c r="I634">
        <v>15.4</v>
      </c>
    </row>
    <row r="635" spans="1:9" x14ac:dyDescent="0.25">
      <c r="A635" s="10" t="s">
        <v>1718</v>
      </c>
      <c r="G635">
        <v>15.4</v>
      </c>
      <c r="I635">
        <v>15.4</v>
      </c>
    </row>
    <row r="636" spans="1:9" x14ac:dyDescent="0.25">
      <c r="A636" s="10" t="s">
        <v>1719</v>
      </c>
      <c r="B636">
        <v>11.85</v>
      </c>
      <c r="C636">
        <v>3.25</v>
      </c>
      <c r="I636">
        <v>15.1</v>
      </c>
    </row>
    <row r="637" spans="1:9" x14ac:dyDescent="0.25">
      <c r="A637" s="10" t="s">
        <v>361</v>
      </c>
      <c r="B637">
        <v>2</v>
      </c>
      <c r="C637">
        <v>13</v>
      </c>
      <c r="I637">
        <v>15</v>
      </c>
    </row>
    <row r="638" spans="1:9" x14ac:dyDescent="0.25">
      <c r="A638" s="10" t="s">
        <v>1720</v>
      </c>
      <c r="C638">
        <v>14.6</v>
      </c>
      <c r="I638">
        <v>14.6</v>
      </c>
    </row>
    <row r="639" spans="1:9" x14ac:dyDescent="0.25">
      <c r="A639" s="10" t="s">
        <v>1721</v>
      </c>
      <c r="B639">
        <v>11</v>
      </c>
      <c r="C639">
        <v>3.5</v>
      </c>
      <c r="I639">
        <v>14.5</v>
      </c>
    </row>
    <row r="640" spans="1:9" x14ac:dyDescent="0.25">
      <c r="A640" s="10" t="s">
        <v>356</v>
      </c>
      <c r="B640">
        <v>14.2</v>
      </c>
      <c r="I640">
        <v>14.2</v>
      </c>
    </row>
    <row r="641" spans="1:9" x14ac:dyDescent="0.25">
      <c r="A641" s="10" t="s">
        <v>568</v>
      </c>
      <c r="G641">
        <v>14.2</v>
      </c>
      <c r="I641">
        <v>14.2</v>
      </c>
    </row>
    <row r="642" spans="1:9" x14ac:dyDescent="0.25">
      <c r="A642" s="10" t="s">
        <v>573</v>
      </c>
      <c r="G642">
        <v>14.2</v>
      </c>
      <c r="I642">
        <v>14.2</v>
      </c>
    </row>
    <row r="643" spans="1:9" x14ac:dyDescent="0.25">
      <c r="A643" s="10" t="s">
        <v>1722</v>
      </c>
      <c r="C643">
        <v>14.2</v>
      </c>
      <c r="I643">
        <v>14.2</v>
      </c>
    </row>
    <row r="644" spans="1:9" x14ac:dyDescent="0.25">
      <c r="A644" s="10" t="s">
        <v>1723</v>
      </c>
      <c r="G644">
        <v>14</v>
      </c>
      <c r="I644">
        <v>14</v>
      </c>
    </row>
    <row r="645" spans="1:9" x14ac:dyDescent="0.25">
      <c r="A645" s="10" t="s">
        <v>1724</v>
      </c>
      <c r="C645">
        <v>14</v>
      </c>
      <c r="I645">
        <v>14</v>
      </c>
    </row>
    <row r="646" spans="1:9" x14ac:dyDescent="0.25">
      <c r="A646" s="10" t="s">
        <v>1725</v>
      </c>
      <c r="C646">
        <v>13.9</v>
      </c>
      <c r="I646">
        <v>13.9</v>
      </c>
    </row>
    <row r="647" spans="1:9" x14ac:dyDescent="0.25">
      <c r="A647" s="10" t="s">
        <v>1726</v>
      </c>
      <c r="C647">
        <v>6.71</v>
      </c>
      <c r="G647">
        <v>7</v>
      </c>
      <c r="I647">
        <v>13.71</v>
      </c>
    </row>
    <row r="648" spans="1:9" x14ac:dyDescent="0.25">
      <c r="A648" s="10" t="s">
        <v>1727</v>
      </c>
      <c r="B648">
        <v>13.7</v>
      </c>
      <c r="I648">
        <v>13.7</v>
      </c>
    </row>
    <row r="649" spans="1:9" x14ac:dyDescent="0.25">
      <c r="A649" s="10" t="s">
        <v>1728</v>
      </c>
      <c r="F649">
        <v>13.7</v>
      </c>
      <c r="I649">
        <v>13.7</v>
      </c>
    </row>
    <row r="650" spans="1:9" x14ac:dyDescent="0.25">
      <c r="A650" s="10" t="s">
        <v>1729</v>
      </c>
      <c r="C650">
        <v>13.5</v>
      </c>
      <c r="I650">
        <v>13.5</v>
      </c>
    </row>
    <row r="651" spans="1:9" x14ac:dyDescent="0.25">
      <c r="A651" s="10" t="s">
        <v>1730</v>
      </c>
      <c r="C651">
        <v>13.5</v>
      </c>
      <c r="I651">
        <v>13.5</v>
      </c>
    </row>
    <row r="652" spans="1:9" x14ac:dyDescent="0.25">
      <c r="A652" s="10" t="s">
        <v>1731</v>
      </c>
      <c r="C652">
        <v>13.5</v>
      </c>
      <c r="I652">
        <v>13.5</v>
      </c>
    </row>
    <row r="653" spans="1:9" x14ac:dyDescent="0.25">
      <c r="A653" s="10" t="s">
        <v>285</v>
      </c>
      <c r="B653">
        <v>13.1</v>
      </c>
      <c r="I653">
        <v>13.1</v>
      </c>
    </row>
    <row r="654" spans="1:9" x14ac:dyDescent="0.25">
      <c r="A654" s="10" t="s">
        <v>1732</v>
      </c>
      <c r="B654">
        <v>13</v>
      </c>
      <c r="I654">
        <v>13</v>
      </c>
    </row>
    <row r="655" spans="1:9" x14ac:dyDescent="0.25">
      <c r="A655" s="10" t="s">
        <v>1733</v>
      </c>
      <c r="C655">
        <v>7</v>
      </c>
      <c r="F655">
        <v>6</v>
      </c>
      <c r="I655">
        <v>13</v>
      </c>
    </row>
    <row r="656" spans="1:9" x14ac:dyDescent="0.25">
      <c r="A656" s="10" t="s">
        <v>1734</v>
      </c>
      <c r="C656">
        <v>12.9</v>
      </c>
      <c r="I656">
        <v>12.9</v>
      </c>
    </row>
    <row r="657" spans="1:9" x14ac:dyDescent="0.25">
      <c r="A657" s="10" t="s">
        <v>1735</v>
      </c>
      <c r="B657">
        <v>12.7</v>
      </c>
      <c r="I657">
        <v>12.7</v>
      </c>
    </row>
    <row r="658" spans="1:9" x14ac:dyDescent="0.25">
      <c r="A658" s="10" t="s">
        <v>1736</v>
      </c>
      <c r="B658">
        <v>12.7</v>
      </c>
      <c r="I658">
        <v>12.7</v>
      </c>
    </row>
    <row r="659" spans="1:9" x14ac:dyDescent="0.25">
      <c r="A659" s="10" t="s">
        <v>1737</v>
      </c>
      <c r="C659">
        <v>12.4</v>
      </c>
      <c r="I659">
        <v>12.4</v>
      </c>
    </row>
    <row r="660" spans="1:9" x14ac:dyDescent="0.25">
      <c r="A660" s="10" t="s">
        <v>1738</v>
      </c>
      <c r="C660">
        <v>12.25</v>
      </c>
      <c r="I660">
        <v>12.25</v>
      </c>
    </row>
    <row r="661" spans="1:9" x14ac:dyDescent="0.25">
      <c r="A661" s="10" t="s">
        <v>1739</v>
      </c>
      <c r="C661">
        <v>6</v>
      </c>
      <c r="E661">
        <v>3</v>
      </c>
      <c r="G661">
        <v>2.7</v>
      </c>
      <c r="I661">
        <v>11.7</v>
      </c>
    </row>
    <row r="662" spans="1:9" x14ac:dyDescent="0.25">
      <c r="A662" s="10" t="s">
        <v>1740</v>
      </c>
      <c r="C662">
        <v>11.7</v>
      </c>
      <c r="I662">
        <v>11.7</v>
      </c>
    </row>
    <row r="663" spans="1:9" x14ac:dyDescent="0.25">
      <c r="A663" s="10" t="s">
        <v>1741</v>
      </c>
      <c r="G663">
        <v>11.55</v>
      </c>
      <c r="I663">
        <v>11.55</v>
      </c>
    </row>
    <row r="664" spans="1:9" x14ac:dyDescent="0.25">
      <c r="A664" s="10" t="s">
        <v>1742</v>
      </c>
      <c r="G664">
        <v>11.55</v>
      </c>
      <c r="I664">
        <v>11.55</v>
      </c>
    </row>
    <row r="665" spans="1:9" x14ac:dyDescent="0.25">
      <c r="A665" s="10" t="s">
        <v>1743</v>
      </c>
      <c r="F665">
        <v>11.55</v>
      </c>
      <c r="I665">
        <v>11.55</v>
      </c>
    </row>
    <row r="666" spans="1:9" x14ac:dyDescent="0.25">
      <c r="A666" s="10" t="s">
        <v>1744</v>
      </c>
      <c r="B666">
        <v>11</v>
      </c>
      <c r="I666">
        <v>11</v>
      </c>
    </row>
    <row r="667" spans="1:9" x14ac:dyDescent="0.25">
      <c r="A667" s="10" t="s">
        <v>1745</v>
      </c>
      <c r="B667">
        <v>11</v>
      </c>
      <c r="I667">
        <v>11</v>
      </c>
    </row>
    <row r="668" spans="1:9" x14ac:dyDescent="0.25">
      <c r="A668" s="10" t="s">
        <v>1746</v>
      </c>
      <c r="C668">
        <v>11</v>
      </c>
      <c r="I668">
        <v>11</v>
      </c>
    </row>
    <row r="669" spans="1:9" x14ac:dyDescent="0.25">
      <c r="A669" s="10" t="s">
        <v>308</v>
      </c>
      <c r="B669">
        <v>10.65</v>
      </c>
      <c r="I669">
        <v>10.65</v>
      </c>
    </row>
    <row r="670" spans="1:9" x14ac:dyDescent="0.25">
      <c r="A670" s="10" t="s">
        <v>1747</v>
      </c>
      <c r="C670">
        <v>10.55</v>
      </c>
      <c r="I670">
        <v>10.55</v>
      </c>
    </row>
    <row r="671" spans="1:9" x14ac:dyDescent="0.25">
      <c r="A671" s="10" t="s">
        <v>1748</v>
      </c>
      <c r="B671">
        <v>10.55</v>
      </c>
      <c r="I671">
        <v>10.55</v>
      </c>
    </row>
    <row r="672" spans="1:9" x14ac:dyDescent="0.25">
      <c r="A672" s="10" t="s">
        <v>1749</v>
      </c>
      <c r="C672">
        <v>10.5</v>
      </c>
      <c r="I672">
        <v>10.5</v>
      </c>
    </row>
    <row r="673" spans="1:9" x14ac:dyDescent="0.25">
      <c r="A673" s="10" t="s">
        <v>1750</v>
      </c>
      <c r="F673">
        <v>10.199999999999999</v>
      </c>
      <c r="I673">
        <v>10.199999999999999</v>
      </c>
    </row>
    <row r="674" spans="1:9" x14ac:dyDescent="0.25">
      <c r="A674" s="10" t="s">
        <v>1751</v>
      </c>
      <c r="C674">
        <v>10.1</v>
      </c>
      <c r="I674">
        <v>10.1</v>
      </c>
    </row>
    <row r="675" spans="1:9" x14ac:dyDescent="0.25">
      <c r="A675" s="10" t="s">
        <v>1752</v>
      </c>
      <c r="C675">
        <v>1</v>
      </c>
      <c r="G675">
        <v>9</v>
      </c>
      <c r="I675">
        <v>10</v>
      </c>
    </row>
    <row r="676" spans="1:9" x14ac:dyDescent="0.25">
      <c r="A676" s="10" t="s">
        <v>1753</v>
      </c>
      <c r="G676">
        <v>10</v>
      </c>
      <c r="I676">
        <v>10</v>
      </c>
    </row>
    <row r="677" spans="1:9" x14ac:dyDescent="0.25">
      <c r="A677" s="10" t="s">
        <v>1754</v>
      </c>
      <c r="C677">
        <v>10</v>
      </c>
      <c r="I677">
        <v>10</v>
      </c>
    </row>
    <row r="678" spans="1:9" x14ac:dyDescent="0.25">
      <c r="A678" s="10" t="s">
        <v>1755</v>
      </c>
      <c r="F678">
        <v>10</v>
      </c>
      <c r="I678">
        <v>10</v>
      </c>
    </row>
    <row r="679" spans="1:9" x14ac:dyDescent="0.25">
      <c r="A679" s="10" t="s">
        <v>1756</v>
      </c>
      <c r="C679">
        <v>10</v>
      </c>
      <c r="I679">
        <v>10</v>
      </c>
    </row>
    <row r="680" spans="1:9" x14ac:dyDescent="0.25">
      <c r="A680" s="10" t="s">
        <v>1757</v>
      </c>
      <c r="C680">
        <v>10</v>
      </c>
      <c r="I680">
        <v>10</v>
      </c>
    </row>
    <row r="681" spans="1:9" x14ac:dyDescent="0.25">
      <c r="A681" s="10" t="s">
        <v>1758</v>
      </c>
      <c r="C681">
        <v>6</v>
      </c>
      <c r="G681">
        <v>3.85</v>
      </c>
      <c r="I681">
        <v>9.85</v>
      </c>
    </row>
    <row r="682" spans="1:9" x14ac:dyDescent="0.25">
      <c r="A682" s="10" t="s">
        <v>1759</v>
      </c>
      <c r="B682">
        <v>9.6999999999999993</v>
      </c>
      <c r="I682">
        <v>9.6999999999999993</v>
      </c>
    </row>
    <row r="683" spans="1:9" x14ac:dyDescent="0.25">
      <c r="A683" s="10" t="s">
        <v>1760</v>
      </c>
      <c r="F683">
        <v>9.6999999999999993</v>
      </c>
      <c r="I683">
        <v>9.6999999999999993</v>
      </c>
    </row>
    <row r="684" spans="1:9" x14ac:dyDescent="0.25">
      <c r="A684" s="10" t="s">
        <v>1761</v>
      </c>
      <c r="C684">
        <v>9.5</v>
      </c>
      <c r="I684">
        <v>9.5</v>
      </c>
    </row>
    <row r="685" spans="1:9" x14ac:dyDescent="0.25">
      <c r="A685" s="10" t="s">
        <v>1762</v>
      </c>
      <c r="C685">
        <v>9.3000000000000007</v>
      </c>
      <c r="I685">
        <v>9.3000000000000007</v>
      </c>
    </row>
    <row r="686" spans="1:9" x14ac:dyDescent="0.25">
      <c r="A686" s="10" t="s">
        <v>1763</v>
      </c>
      <c r="C686">
        <v>9.1999999999999993</v>
      </c>
      <c r="I686">
        <v>9.1999999999999993</v>
      </c>
    </row>
    <row r="687" spans="1:9" x14ac:dyDescent="0.25">
      <c r="A687" s="10" t="s">
        <v>1764</v>
      </c>
      <c r="C687">
        <v>9.1999999999999993</v>
      </c>
      <c r="I687">
        <v>9.1999999999999993</v>
      </c>
    </row>
    <row r="688" spans="1:9" x14ac:dyDescent="0.25">
      <c r="A688" s="10" t="s">
        <v>1765</v>
      </c>
      <c r="B688">
        <v>9</v>
      </c>
      <c r="I688">
        <v>9</v>
      </c>
    </row>
    <row r="689" spans="1:9" x14ac:dyDescent="0.25">
      <c r="A689" s="10" t="s">
        <v>1766</v>
      </c>
      <c r="C689">
        <v>9</v>
      </c>
      <c r="I689">
        <v>9</v>
      </c>
    </row>
    <row r="690" spans="1:9" x14ac:dyDescent="0.25">
      <c r="A690" s="10" t="s">
        <v>1767</v>
      </c>
      <c r="G690">
        <v>9</v>
      </c>
      <c r="I690">
        <v>9</v>
      </c>
    </row>
    <row r="691" spans="1:9" x14ac:dyDescent="0.25">
      <c r="A691" s="10" t="s">
        <v>1768</v>
      </c>
      <c r="G691">
        <v>9</v>
      </c>
      <c r="I691">
        <v>9</v>
      </c>
    </row>
    <row r="692" spans="1:9" x14ac:dyDescent="0.25">
      <c r="A692" s="10" t="s">
        <v>1769</v>
      </c>
      <c r="C692">
        <v>8.6999999999999993</v>
      </c>
      <c r="I692">
        <v>8.6999999999999993</v>
      </c>
    </row>
    <row r="693" spans="1:9" x14ac:dyDescent="0.25">
      <c r="A693" s="10" t="s">
        <v>1770</v>
      </c>
      <c r="C693">
        <v>8.6999999999999993</v>
      </c>
      <c r="I693">
        <v>8.6999999999999993</v>
      </c>
    </row>
    <row r="694" spans="1:9" x14ac:dyDescent="0.25">
      <c r="A694" s="10" t="s">
        <v>1771</v>
      </c>
      <c r="C694">
        <v>8.6999999999999993</v>
      </c>
      <c r="I694">
        <v>8.6999999999999993</v>
      </c>
    </row>
    <row r="695" spans="1:9" x14ac:dyDescent="0.25">
      <c r="A695" s="10" t="s">
        <v>1772</v>
      </c>
      <c r="F695">
        <v>8.6999999999999993</v>
      </c>
      <c r="I695">
        <v>8.6999999999999993</v>
      </c>
    </row>
    <row r="696" spans="1:9" x14ac:dyDescent="0.25">
      <c r="A696" s="10" t="s">
        <v>1773</v>
      </c>
      <c r="F696">
        <v>8.6999999999999993</v>
      </c>
      <c r="I696">
        <v>8.6999999999999993</v>
      </c>
    </row>
    <row r="697" spans="1:9" x14ac:dyDescent="0.25">
      <c r="A697" s="10" t="s">
        <v>1774</v>
      </c>
      <c r="B697">
        <v>5</v>
      </c>
      <c r="C697">
        <v>3.5</v>
      </c>
      <c r="I697">
        <v>8.5</v>
      </c>
    </row>
    <row r="698" spans="1:9" x14ac:dyDescent="0.25">
      <c r="A698" s="10" t="s">
        <v>319</v>
      </c>
      <c r="G698">
        <v>8.4</v>
      </c>
      <c r="I698">
        <v>8.4</v>
      </c>
    </row>
    <row r="699" spans="1:9" x14ac:dyDescent="0.25">
      <c r="A699" s="10" t="s">
        <v>1775</v>
      </c>
      <c r="C699">
        <v>8</v>
      </c>
      <c r="I699">
        <v>8</v>
      </c>
    </row>
    <row r="700" spans="1:9" x14ac:dyDescent="0.25">
      <c r="A700" s="10" t="s">
        <v>1776</v>
      </c>
      <c r="C700">
        <v>8</v>
      </c>
      <c r="I700">
        <v>8</v>
      </c>
    </row>
    <row r="701" spans="1:9" x14ac:dyDescent="0.25">
      <c r="A701" s="10" t="s">
        <v>512</v>
      </c>
      <c r="B701">
        <v>3</v>
      </c>
      <c r="C701">
        <v>3.7</v>
      </c>
      <c r="E701">
        <v>1</v>
      </c>
      <c r="I701">
        <v>7.7</v>
      </c>
    </row>
    <row r="702" spans="1:9" x14ac:dyDescent="0.25">
      <c r="A702" s="10" t="s">
        <v>1777</v>
      </c>
      <c r="B702">
        <v>7.7</v>
      </c>
      <c r="I702">
        <v>7.7</v>
      </c>
    </row>
    <row r="703" spans="1:9" x14ac:dyDescent="0.25">
      <c r="A703" s="10" t="s">
        <v>1778</v>
      </c>
      <c r="F703">
        <v>7.7</v>
      </c>
      <c r="I703">
        <v>7.7</v>
      </c>
    </row>
    <row r="704" spans="1:9" x14ac:dyDescent="0.25">
      <c r="A704" s="10" t="s">
        <v>1779</v>
      </c>
      <c r="B704">
        <v>7.7</v>
      </c>
      <c r="I704">
        <v>7.7</v>
      </c>
    </row>
    <row r="705" spans="1:9" x14ac:dyDescent="0.25">
      <c r="A705" s="10" t="s">
        <v>1780</v>
      </c>
      <c r="B705">
        <v>7.7</v>
      </c>
      <c r="I705">
        <v>7.7</v>
      </c>
    </row>
    <row r="706" spans="1:9" x14ac:dyDescent="0.25">
      <c r="A706" s="10" t="s">
        <v>1781</v>
      </c>
      <c r="C706">
        <v>7.7</v>
      </c>
      <c r="I706">
        <v>7.7</v>
      </c>
    </row>
    <row r="707" spans="1:9" x14ac:dyDescent="0.25">
      <c r="A707" s="10" t="s">
        <v>1782</v>
      </c>
      <c r="C707">
        <v>7.7</v>
      </c>
      <c r="I707">
        <v>7.7</v>
      </c>
    </row>
    <row r="708" spans="1:9" x14ac:dyDescent="0.25">
      <c r="A708" s="10" t="s">
        <v>1783</v>
      </c>
      <c r="F708">
        <v>7.7</v>
      </c>
      <c r="I708">
        <v>7.7</v>
      </c>
    </row>
    <row r="709" spans="1:9" x14ac:dyDescent="0.25">
      <c r="A709" s="10" t="s">
        <v>1784</v>
      </c>
      <c r="F709">
        <v>7.7</v>
      </c>
      <c r="I709">
        <v>7.7</v>
      </c>
    </row>
    <row r="710" spans="1:9" x14ac:dyDescent="0.25">
      <c r="A710" s="10" t="s">
        <v>359</v>
      </c>
      <c r="B710">
        <v>7.55</v>
      </c>
      <c r="I710">
        <v>7.55</v>
      </c>
    </row>
    <row r="711" spans="1:9" x14ac:dyDescent="0.25">
      <c r="A711" s="10" t="s">
        <v>1785</v>
      </c>
      <c r="C711">
        <v>7.5</v>
      </c>
      <c r="I711">
        <v>7.5</v>
      </c>
    </row>
    <row r="712" spans="1:9" x14ac:dyDescent="0.25">
      <c r="A712" s="10" t="s">
        <v>1786</v>
      </c>
      <c r="C712">
        <v>7</v>
      </c>
      <c r="I712">
        <v>7</v>
      </c>
    </row>
    <row r="713" spans="1:9" x14ac:dyDescent="0.25">
      <c r="A713" s="10" t="s">
        <v>1787</v>
      </c>
      <c r="B713">
        <v>4</v>
      </c>
      <c r="C713">
        <v>3</v>
      </c>
      <c r="I713">
        <v>7</v>
      </c>
    </row>
    <row r="714" spans="1:9" x14ac:dyDescent="0.25">
      <c r="A714" s="10" t="s">
        <v>1788</v>
      </c>
      <c r="F714">
        <v>7</v>
      </c>
      <c r="I714">
        <v>7</v>
      </c>
    </row>
    <row r="715" spans="1:9" x14ac:dyDescent="0.25">
      <c r="A715" s="10" t="s">
        <v>1789</v>
      </c>
      <c r="C715">
        <v>7</v>
      </c>
      <c r="I715">
        <v>7</v>
      </c>
    </row>
    <row r="716" spans="1:9" x14ac:dyDescent="0.25">
      <c r="A716" s="10" t="s">
        <v>1790</v>
      </c>
      <c r="G716">
        <v>7</v>
      </c>
      <c r="I716">
        <v>7</v>
      </c>
    </row>
    <row r="717" spans="1:9" x14ac:dyDescent="0.25">
      <c r="A717" s="10" t="s">
        <v>275</v>
      </c>
      <c r="B717">
        <v>3.55</v>
      </c>
      <c r="F717">
        <v>3.4</v>
      </c>
      <c r="I717">
        <v>6.9499999999999993</v>
      </c>
    </row>
    <row r="718" spans="1:9" x14ac:dyDescent="0.25">
      <c r="A718" s="10" t="s">
        <v>1791</v>
      </c>
      <c r="F718">
        <v>6.7</v>
      </c>
      <c r="I718">
        <v>6.7</v>
      </c>
    </row>
    <row r="719" spans="1:9" x14ac:dyDescent="0.25">
      <c r="A719" s="10" t="s">
        <v>1792</v>
      </c>
      <c r="C719">
        <v>6.7</v>
      </c>
      <c r="I719">
        <v>6.7</v>
      </c>
    </row>
    <row r="720" spans="1:9" x14ac:dyDescent="0.25">
      <c r="A720" s="10" t="s">
        <v>1793</v>
      </c>
      <c r="G720">
        <v>6.7</v>
      </c>
      <c r="I720">
        <v>6.7</v>
      </c>
    </row>
    <row r="721" spans="1:9" x14ac:dyDescent="0.25">
      <c r="A721" s="10" t="s">
        <v>1794</v>
      </c>
      <c r="C721">
        <v>6.4</v>
      </c>
      <c r="I721">
        <v>6.4</v>
      </c>
    </row>
    <row r="722" spans="1:9" x14ac:dyDescent="0.25">
      <c r="A722" s="10" t="s">
        <v>1795</v>
      </c>
      <c r="B722">
        <v>6.1</v>
      </c>
      <c r="I722">
        <v>6.1</v>
      </c>
    </row>
    <row r="723" spans="1:9" x14ac:dyDescent="0.25">
      <c r="A723" s="10" t="s">
        <v>198</v>
      </c>
      <c r="C723">
        <v>6</v>
      </c>
      <c r="I723">
        <v>6</v>
      </c>
    </row>
    <row r="724" spans="1:9" x14ac:dyDescent="0.25">
      <c r="A724" s="10" t="s">
        <v>1796</v>
      </c>
      <c r="C724">
        <v>6</v>
      </c>
      <c r="I724">
        <v>6</v>
      </c>
    </row>
    <row r="725" spans="1:9" x14ac:dyDescent="0.25">
      <c r="A725" s="10" t="s">
        <v>1797</v>
      </c>
      <c r="B725">
        <v>6</v>
      </c>
      <c r="I725">
        <v>6</v>
      </c>
    </row>
    <row r="726" spans="1:9" x14ac:dyDescent="0.25">
      <c r="A726" s="10" t="s">
        <v>1798</v>
      </c>
      <c r="C726">
        <v>6</v>
      </c>
      <c r="I726">
        <v>6</v>
      </c>
    </row>
    <row r="727" spans="1:9" x14ac:dyDescent="0.25">
      <c r="A727" s="10" t="s">
        <v>1799</v>
      </c>
      <c r="B727">
        <v>6</v>
      </c>
      <c r="I727">
        <v>6</v>
      </c>
    </row>
    <row r="728" spans="1:9" x14ac:dyDescent="0.25">
      <c r="A728" s="10" t="s">
        <v>1800</v>
      </c>
      <c r="G728">
        <v>6</v>
      </c>
      <c r="I728">
        <v>6</v>
      </c>
    </row>
    <row r="729" spans="1:9" x14ac:dyDescent="0.25">
      <c r="A729" s="10" t="s">
        <v>1801</v>
      </c>
      <c r="C729">
        <v>6</v>
      </c>
      <c r="I729">
        <v>6</v>
      </c>
    </row>
    <row r="730" spans="1:9" x14ac:dyDescent="0.25">
      <c r="A730" s="10" t="s">
        <v>1802</v>
      </c>
      <c r="G730">
        <v>6</v>
      </c>
      <c r="I730">
        <v>6</v>
      </c>
    </row>
    <row r="731" spans="1:9" x14ac:dyDescent="0.25">
      <c r="A731" s="10" t="s">
        <v>1803</v>
      </c>
      <c r="C731">
        <v>5.75</v>
      </c>
      <c r="I731">
        <v>5.75</v>
      </c>
    </row>
    <row r="732" spans="1:9" x14ac:dyDescent="0.25">
      <c r="A732" s="10" t="s">
        <v>1804</v>
      </c>
      <c r="B732">
        <v>3</v>
      </c>
      <c r="C732">
        <v>2.5</v>
      </c>
      <c r="I732">
        <v>5.5</v>
      </c>
    </row>
    <row r="733" spans="1:9" x14ac:dyDescent="0.25">
      <c r="A733" s="10" t="s">
        <v>1805</v>
      </c>
      <c r="C733">
        <v>5.5</v>
      </c>
      <c r="I733">
        <v>5.5</v>
      </c>
    </row>
    <row r="734" spans="1:9" x14ac:dyDescent="0.25">
      <c r="A734" s="10" t="s">
        <v>1806</v>
      </c>
      <c r="C734">
        <v>5.5</v>
      </c>
      <c r="I734">
        <v>5.5</v>
      </c>
    </row>
    <row r="735" spans="1:9" x14ac:dyDescent="0.25">
      <c r="A735" s="10" t="s">
        <v>1807</v>
      </c>
      <c r="C735">
        <v>5.15</v>
      </c>
      <c r="I735">
        <v>5.15</v>
      </c>
    </row>
    <row r="736" spans="1:9" x14ac:dyDescent="0.25">
      <c r="A736" s="10" t="s">
        <v>1808</v>
      </c>
      <c r="G736">
        <v>5.0999999999999996</v>
      </c>
      <c r="I736">
        <v>5.0999999999999996</v>
      </c>
    </row>
    <row r="737" spans="1:9" x14ac:dyDescent="0.25">
      <c r="A737" s="10" t="s">
        <v>1809</v>
      </c>
      <c r="C737">
        <v>5.0199999999999996</v>
      </c>
      <c r="I737">
        <v>5.0199999999999996</v>
      </c>
    </row>
    <row r="738" spans="1:9" x14ac:dyDescent="0.25">
      <c r="A738" s="10" t="s">
        <v>1810</v>
      </c>
      <c r="C738">
        <v>5</v>
      </c>
      <c r="I738">
        <v>5</v>
      </c>
    </row>
    <row r="739" spans="1:9" x14ac:dyDescent="0.25">
      <c r="A739" s="10" t="s">
        <v>1811</v>
      </c>
      <c r="F739">
        <v>5</v>
      </c>
      <c r="I739">
        <v>5</v>
      </c>
    </row>
    <row r="740" spans="1:9" x14ac:dyDescent="0.25">
      <c r="A740" s="10" t="s">
        <v>1812</v>
      </c>
      <c r="C740">
        <v>5</v>
      </c>
      <c r="I740">
        <v>5</v>
      </c>
    </row>
    <row r="741" spans="1:9" x14ac:dyDescent="0.25">
      <c r="A741" s="10" t="s">
        <v>1813</v>
      </c>
      <c r="C741">
        <v>5</v>
      </c>
      <c r="I741">
        <v>5</v>
      </c>
    </row>
    <row r="742" spans="1:9" x14ac:dyDescent="0.25">
      <c r="A742" s="10" t="s">
        <v>1814</v>
      </c>
      <c r="C742">
        <v>5</v>
      </c>
      <c r="I742">
        <v>5</v>
      </c>
    </row>
    <row r="743" spans="1:9" x14ac:dyDescent="0.25">
      <c r="A743" s="10" t="s">
        <v>1815</v>
      </c>
      <c r="B743">
        <v>4.7</v>
      </c>
      <c r="I743">
        <v>4.7</v>
      </c>
    </row>
    <row r="744" spans="1:9" x14ac:dyDescent="0.25">
      <c r="A744" s="10" t="s">
        <v>1277</v>
      </c>
      <c r="B744">
        <v>4.5</v>
      </c>
      <c r="I744">
        <v>4.5</v>
      </c>
    </row>
    <row r="745" spans="1:9" x14ac:dyDescent="0.25">
      <c r="A745" s="10" t="s">
        <v>1816</v>
      </c>
      <c r="C745">
        <v>4.5</v>
      </c>
      <c r="I745">
        <v>4.5</v>
      </c>
    </row>
    <row r="746" spans="1:9" x14ac:dyDescent="0.25">
      <c r="A746" s="10" t="s">
        <v>544</v>
      </c>
      <c r="C746">
        <v>4.4000000000000004</v>
      </c>
      <c r="I746">
        <v>4.4000000000000004</v>
      </c>
    </row>
    <row r="747" spans="1:9" x14ac:dyDescent="0.25">
      <c r="A747" s="10" t="s">
        <v>1817</v>
      </c>
      <c r="C747">
        <v>4.2</v>
      </c>
      <c r="I747">
        <v>4.2</v>
      </c>
    </row>
    <row r="748" spans="1:9" x14ac:dyDescent="0.25">
      <c r="A748" s="10" t="s">
        <v>1818</v>
      </c>
      <c r="B748">
        <v>4.05</v>
      </c>
      <c r="I748">
        <v>4.05</v>
      </c>
    </row>
    <row r="749" spans="1:9" x14ac:dyDescent="0.25">
      <c r="A749" s="10" t="s">
        <v>1819</v>
      </c>
      <c r="C749">
        <v>4</v>
      </c>
      <c r="I749">
        <v>4</v>
      </c>
    </row>
    <row r="750" spans="1:9" x14ac:dyDescent="0.25">
      <c r="A750" s="10" t="s">
        <v>1820</v>
      </c>
      <c r="B750">
        <v>4</v>
      </c>
      <c r="I750">
        <v>4</v>
      </c>
    </row>
    <row r="751" spans="1:9" x14ac:dyDescent="0.25">
      <c r="A751" s="10" t="s">
        <v>1821</v>
      </c>
      <c r="B751">
        <v>2</v>
      </c>
      <c r="C751">
        <v>2</v>
      </c>
      <c r="I751">
        <v>4</v>
      </c>
    </row>
    <row r="752" spans="1:9" x14ac:dyDescent="0.25">
      <c r="A752" s="10" t="s">
        <v>1822</v>
      </c>
      <c r="B752">
        <v>4</v>
      </c>
      <c r="I752">
        <v>4</v>
      </c>
    </row>
    <row r="753" spans="1:9" x14ac:dyDescent="0.25">
      <c r="A753" s="10" t="s">
        <v>1823</v>
      </c>
      <c r="B753">
        <v>4</v>
      </c>
      <c r="I753">
        <v>4</v>
      </c>
    </row>
    <row r="754" spans="1:9" x14ac:dyDescent="0.25">
      <c r="A754" s="10" t="s">
        <v>1824</v>
      </c>
      <c r="C754">
        <v>4</v>
      </c>
      <c r="I754">
        <v>4</v>
      </c>
    </row>
    <row r="755" spans="1:9" x14ac:dyDescent="0.25">
      <c r="A755" s="10" t="s">
        <v>1825</v>
      </c>
      <c r="C755">
        <v>4</v>
      </c>
      <c r="I755">
        <v>4</v>
      </c>
    </row>
    <row r="756" spans="1:9" x14ac:dyDescent="0.25">
      <c r="A756" s="10" t="s">
        <v>1826</v>
      </c>
      <c r="C756">
        <v>3.85</v>
      </c>
      <c r="I756">
        <v>3.85</v>
      </c>
    </row>
    <row r="757" spans="1:9" x14ac:dyDescent="0.25">
      <c r="A757" s="10" t="s">
        <v>1827</v>
      </c>
      <c r="C757">
        <v>3.79</v>
      </c>
      <c r="I757">
        <v>3.79</v>
      </c>
    </row>
    <row r="758" spans="1:9" x14ac:dyDescent="0.25">
      <c r="A758" s="10" t="s">
        <v>1828</v>
      </c>
      <c r="B758">
        <v>3</v>
      </c>
      <c r="C758">
        <v>0.75</v>
      </c>
      <c r="I758">
        <v>3.75</v>
      </c>
    </row>
    <row r="759" spans="1:9" x14ac:dyDescent="0.25">
      <c r="A759" s="10" t="s">
        <v>1829</v>
      </c>
      <c r="F759">
        <v>3.7</v>
      </c>
      <c r="I759">
        <v>3.7</v>
      </c>
    </row>
    <row r="760" spans="1:9" x14ac:dyDescent="0.25">
      <c r="A760" s="10" t="s">
        <v>1830</v>
      </c>
      <c r="C760">
        <v>3.25</v>
      </c>
      <c r="I760">
        <v>3.25</v>
      </c>
    </row>
    <row r="761" spans="1:9" x14ac:dyDescent="0.25">
      <c r="A761" s="10" t="s">
        <v>1831</v>
      </c>
      <c r="B761">
        <v>3</v>
      </c>
      <c r="I761">
        <v>3</v>
      </c>
    </row>
    <row r="762" spans="1:9" x14ac:dyDescent="0.25">
      <c r="A762" s="10" t="s">
        <v>1832</v>
      </c>
      <c r="C762">
        <v>3</v>
      </c>
      <c r="I762">
        <v>3</v>
      </c>
    </row>
    <row r="763" spans="1:9" x14ac:dyDescent="0.25">
      <c r="A763" s="10" t="s">
        <v>1833</v>
      </c>
      <c r="C763">
        <v>3</v>
      </c>
      <c r="I763">
        <v>3</v>
      </c>
    </row>
    <row r="764" spans="1:9" x14ac:dyDescent="0.25">
      <c r="A764" s="10" t="s">
        <v>1834</v>
      </c>
      <c r="C764">
        <v>3</v>
      </c>
      <c r="I764">
        <v>3</v>
      </c>
    </row>
    <row r="765" spans="1:9" x14ac:dyDescent="0.25">
      <c r="A765" s="10" t="s">
        <v>1835</v>
      </c>
      <c r="C765">
        <v>3</v>
      </c>
      <c r="I765">
        <v>3</v>
      </c>
    </row>
    <row r="766" spans="1:9" x14ac:dyDescent="0.25">
      <c r="A766" s="10" t="s">
        <v>1836</v>
      </c>
      <c r="C766">
        <v>3</v>
      </c>
      <c r="I766">
        <v>3</v>
      </c>
    </row>
    <row r="767" spans="1:9" x14ac:dyDescent="0.25">
      <c r="A767" s="10" t="s">
        <v>1837</v>
      </c>
      <c r="F767">
        <v>3</v>
      </c>
      <c r="I767">
        <v>3</v>
      </c>
    </row>
    <row r="768" spans="1:9" x14ac:dyDescent="0.25">
      <c r="A768" s="10" t="s">
        <v>1838</v>
      </c>
      <c r="F768">
        <v>3</v>
      </c>
      <c r="I768">
        <v>3</v>
      </c>
    </row>
    <row r="769" spans="1:9" x14ac:dyDescent="0.25">
      <c r="A769" s="10" t="s">
        <v>1839</v>
      </c>
      <c r="C769">
        <v>3</v>
      </c>
      <c r="I769">
        <v>3</v>
      </c>
    </row>
    <row r="770" spans="1:9" x14ac:dyDescent="0.25">
      <c r="A770" s="10" t="s">
        <v>1840</v>
      </c>
      <c r="C770">
        <v>2.7</v>
      </c>
      <c r="I770">
        <v>2.7</v>
      </c>
    </row>
    <row r="771" spans="1:9" x14ac:dyDescent="0.25">
      <c r="A771" s="10" t="s">
        <v>1841</v>
      </c>
      <c r="C771">
        <v>2.7</v>
      </c>
      <c r="I771">
        <v>2.7</v>
      </c>
    </row>
    <row r="772" spans="1:9" x14ac:dyDescent="0.25">
      <c r="A772" s="10" t="s">
        <v>1842</v>
      </c>
      <c r="B772">
        <v>2.7</v>
      </c>
      <c r="I772">
        <v>2.7</v>
      </c>
    </row>
    <row r="773" spans="1:9" x14ac:dyDescent="0.25">
      <c r="A773" s="10" t="s">
        <v>1843</v>
      </c>
      <c r="F773">
        <v>2.7</v>
      </c>
      <c r="I773">
        <v>2.7</v>
      </c>
    </row>
    <row r="774" spans="1:9" x14ac:dyDescent="0.25">
      <c r="A774" s="10" t="s">
        <v>1844</v>
      </c>
      <c r="C774">
        <v>2.2000000000000002</v>
      </c>
      <c r="I774">
        <v>2.2000000000000002</v>
      </c>
    </row>
    <row r="775" spans="1:9" x14ac:dyDescent="0.25">
      <c r="A775" s="10" t="s">
        <v>263</v>
      </c>
      <c r="B775">
        <v>2</v>
      </c>
      <c r="I775">
        <v>2</v>
      </c>
    </row>
    <row r="776" spans="1:9" x14ac:dyDescent="0.25">
      <c r="A776" s="10" t="s">
        <v>1845</v>
      </c>
      <c r="C776">
        <v>2</v>
      </c>
      <c r="I776">
        <v>2</v>
      </c>
    </row>
    <row r="777" spans="1:9" x14ac:dyDescent="0.25">
      <c r="A777" s="10" t="s">
        <v>1846</v>
      </c>
      <c r="C777">
        <v>2</v>
      </c>
      <c r="I777">
        <v>2</v>
      </c>
    </row>
    <row r="778" spans="1:9" x14ac:dyDescent="0.25">
      <c r="A778" s="10" t="s">
        <v>1847</v>
      </c>
      <c r="C778">
        <v>2</v>
      </c>
      <c r="I778">
        <v>2</v>
      </c>
    </row>
    <row r="779" spans="1:9" x14ac:dyDescent="0.25">
      <c r="A779" s="10" t="s">
        <v>1848</v>
      </c>
      <c r="C779">
        <v>2</v>
      </c>
      <c r="I779">
        <v>2</v>
      </c>
    </row>
    <row r="780" spans="1:9" x14ac:dyDescent="0.25">
      <c r="A780" s="10" t="s">
        <v>1849</v>
      </c>
      <c r="B780">
        <v>2</v>
      </c>
      <c r="I780">
        <v>2</v>
      </c>
    </row>
    <row r="781" spans="1:9" x14ac:dyDescent="0.25">
      <c r="A781" s="10" t="s">
        <v>1850</v>
      </c>
      <c r="B781">
        <v>2</v>
      </c>
      <c r="I781">
        <v>2</v>
      </c>
    </row>
    <row r="782" spans="1:9" x14ac:dyDescent="0.25">
      <c r="A782" s="10" t="s">
        <v>1851</v>
      </c>
      <c r="C782">
        <v>2</v>
      </c>
      <c r="I782">
        <v>2</v>
      </c>
    </row>
    <row r="783" spans="1:9" x14ac:dyDescent="0.25">
      <c r="A783" s="10" t="s">
        <v>1852</v>
      </c>
      <c r="F783">
        <v>2</v>
      </c>
      <c r="I783">
        <v>2</v>
      </c>
    </row>
    <row r="784" spans="1:9" x14ac:dyDescent="0.25">
      <c r="A784" s="10" t="s">
        <v>1853</v>
      </c>
      <c r="B784">
        <v>2</v>
      </c>
      <c r="I784">
        <v>2</v>
      </c>
    </row>
    <row r="785" spans="1:9" x14ac:dyDescent="0.25">
      <c r="A785" s="10" t="s">
        <v>1854</v>
      </c>
      <c r="C785">
        <v>2</v>
      </c>
      <c r="I785">
        <v>2</v>
      </c>
    </row>
    <row r="786" spans="1:9" x14ac:dyDescent="0.25">
      <c r="A786" s="10" t="s">
        <v>1855</v>
      </c>
      <c r="C786">
        <v>2</v>
      </c>
      <c r="I786">
        <v>2</v>
      </c>
    </row>
    <row r="787" spans="1:9" x14ac:dyDescent="0.25">
      <c r="A787" s="10" t="s">
        <v>1856</v>
      </c>
      <c r="C787">
        <v>2</v>
      </c>
      <c r="I787">
        <v>2</v>
      </c>
    </row>
    <row r="788" spans="1:9" x14ac:dyDescent="0.25">
      <c r="A788" s="10" t="s">
        <v>1857</v>
      </c>
      <c r="C788">
        <v>2</v>
      </c>
      <c r="I788">
        <v>2</v>
      </c>
    </row>
    <row r="789" spans="1:9" x14ac:dyDescent="0.25">
      <c r="A789" s="10" t="s">
        <v>1858</v>
      </c>
      <c r="F789">
        <v>2</v>
      </c>
      <c r="I789">
        <v>2</v>
      </c>
    </row>
    <row r="790" spans="1:9" x14ac:dyDescent="0.25">
      <c r="A790" s="10" t="s">
        <v>1859</v>
      </c>
      <c r="C790">
        <v>2</v>
      </c>
      <c r="I790">
        <v>2</v>
      </c>
    </row>
    <row r="791" spans="1:9" x14ac:dyDescent="0.25">
      <c r="A791" s="10" t="s">
        <v>1860</v>
      </c>
      <c r="C791">
        <v>2</v>
      </c>
      <c r="I791">
        <v>2</v>
      </c>
    </row>
    <row r="792" spans="1:9" x14ac:dyDescent="0.25">
      <c r="A792" s="10" t="s">
        <v>1861</v>
      </c>
      <c r="C792">
        <v>2</v>
      </c>
      <c r="I792">
        <v>2</v>
      </c>
    </row>
    <row r="793" spans="1:9" x14ac:dyDescent="0.25">
      <c r="A793" s="10" t="s">
        <v>1862</v>
      </c>
      <c r="C793">
        <v>2</v>
      </c>
      <c r="I793">
        <v>2</v>
      </c>
    </row>
    <row r="794" spans="1:9" x14ac:dyDescent="0.25">
      <c r="A794" s="10" t="s">
        <v>1863</v>
      </c>
      <c r="C794">
        <v>2</v>
      </c>
      <c r="I794">
        <v>2</v>
      </c>
    </row>
    <row r="795" spans="1:9" x14ac:dyDescent="0.25">
      <c r="A795" s="10" t="s">
        <v>1864</v>
      </c>
      <c r="C795">
        <v>1.7</v>
      </c>
      <c r="I795">
        <v>1.7</v>
      </c>
    </row>
    <row r="796" spans="1:9" x14ac:dyDescent="0.25">
      <c r="A796" s="10" t="s">
        <v>1865</v>
      </c>
      <c r="C796">
        <v>1.7</v>
      </c>
      <c r="I796">
        <v>1.7</v>
      </c>
    </row>
    <row r="797" spans="1:9" x14ac:dyDescent="0.25">
      <c r="A797" s="10" t="s">
        <v>1866</v>
      </c>
      <c r="C797">
        <v>1.5</v>
      </c>
      <c r="I797">
        <v>1.5</v>
      </c>
    </row>
    <row r="798" spans="1:9" x14ac:dyDescent="0.25">
      <c r="A798" s="10" t="s">
        <v>1867</v>
      </c>
      <c r="C798">
        <v>1.5</v>
      </c>
      <c r="I798">
        <v>1.5</v>
      </c>
    </row>
    <row r="799" spans="1:9" x14ac:dyDescent="0.25">
      <c r="A799" s="10" t="s">
        <v>1868</v>
      </c>
      <c r="F799">
        <v>1.5</v>
      </c>
      <c r="I799">
        <v>1.5</v>
      </c>
    </row>
    <row r="800" spans="1:9" x14ac:dyDescent="0.25">
      <c r="A800" s="10" t="s">
        <v>1869</v>
      </c>
      <c r="C800">
        <v>1.48</v>
      </c>
      <c r="I800">
        <v>1.48</v>
      </c>
    </row>
    <row r="801" spans="1:9" x14ac:dyDescent="0.25">
      <c r="A801" s="10" t="s">
        <v>565</v>
      </c>
      <c r="E801">
        <v>1</v>
      </c>
      <c r="I801">
        <v>1</v>
      </c>
    </row>
    <row r="802" spans="1:9" x14ac:dyDescent="0.25">
      <c r="A802" s="10" t="s">
        <v>1870</v>
      </c>
      <c r="C802">
        <v>1</v>
      </c>
      <c r="I802">
        <v>1</v>
      </c>
    </row>
    <row r="803" spans="1:9" x14ac:dyDescent="0.25">
      <c r="A803" s="10" t="s">
        <v>1871</v>
      </c>
      <c r="C803">
        <v>1</v>
      </c>
      <c r="I803">
        <v>1</v>
      </c>
    </row>
    <row r="804" spans="1:9" x14ac:dyDescent="0.25">
      <c r="A804" s="10" t="s">
        <v>1872</v>
      </c>
      <c r="F804">
        <v>1</v>
      </c>
      <c r="I804">
        <v>1</v>
      </c>
    </row>
    <row r="805" spans="1:9" x14ac:dyDescent="0.25">
      <c r="A805" s="10" t="s">
        <v>1873</v>
      </c>
      <c r="C805">
        <v>1</v>
      </c>
      <c r="I805">
        <v>1</v>
      </c>
    </row>
    <row r="806" spans="1:9" x14ac:dyDescent="0.25">
      <c r="A806" s="10" t="s">
        <v>1874</v>
      </c>
      <c r="C806">
        <v>1</v>
      </c>
      <c r="I806">
        <v>1</v>
      </c>
    </row>
    <row r="807" spans="1:9" x14ac:dyDescent="0.25">
      <c r="A807" s="10" t="s">
        <v>1875</v>
      </c>
      <c r="G807">
        <v>1</v>
      </c>
      <c r="I807">
        <v>1</v>
      </c>
    </row>
    <row r="808" spans="1:9" x14ac:dyDescent="0.25">
      <c r="A808" s="10" t="s">
        <v>1876</v>
      </c>
      <c r="C808">
        <v>1</v>
      </c>
      <c r="I808">
        <v>1</v>
      </c>
    </row>
    <row r="809" spans="1:9" x14ac:dyDescent="0.25">
      <c r="A809" s="10" t="s">
        <v>1877</v>
      </c>
      <c r="C809">
        <v>1</v>
      </c>
      <c r="I809">
        <v>1</v>
      </c>
    </row>
    <row r="810" spans="1:9" x14ac:dyDescent="0.25">
      <c r="A810" s="10" t="s">
        <v>1878</v>
      </c>
      <c r="C810">
        <v>1</v>
      </c>
      <c r="I810">
        <v>1</v>
      </c>
    </row>
    <row r="811" spans="1:9" x14ac:dyDescent="0.25">
      <c r="A811" s="10" t="s">
        <v>1879</v>
      </c>
      <c r="C811">
        <v>1</v>
      </c>
      <c r="I811">
        <v>1</v>
      </c>
    </row>
    <row r="812" spans="1:9" x14ac:dyDescent="0.25">
      <c r="A812" s="10" t="s">
        <v>1880</v>
      </c>
      <c r="C812">
        <v>1</v>
      </c>
      <c r="I812">
        <v>1</v>
      </c>
    </row>
    <row r="813" spans="1:9" x14ac:dyDescent="0.25">
      <c r="A813" s="10" t="s">
        <v>1881</v>
      </c>
      <c r="C813">
        <v>1</v>
      </c>
      <c r="I813">
        <v>1</v>
      </c>
    </row>
    <row r="814" spans="1:9" x14ac:dyDescent="0.25">
      <c r="A814" s="10" t="s">
        <v>1882</v>
      </c>
      <c r="C814">
        <v>1</v>
      </c>
      <c r="I814">
        <v>1</v>
      </c>
    </row>
    <row r="815" spans="1:9" x14ac:dyDescent="0.25">
      <c r="A815" s="10" t="s">
        <v>1883</v>
      </c>
      <c r="C815">
        <v>1</v>
      </c>
      <c r="I815">
        <v>1</v>
      </c>
    </row>
    <row r="816" spans="1:9" x14ac:dyDescent="0.25">
      <c r="A816" s="10" t="s">
        <v>1884</v>
      </c>
      <c r="F816">
        <v>1</v>
      </c>
      <c r="I816">
        <v>1</v>
      </c>
    </row>
    <row r="817" spans="1:9" x14ac:dyDescent="0.25">
      <c r="A817" s="10" t="s">
        <v>1885</v>
      </c>
      <c r="F817">
        <v>1</v>
      </c>
      <c r="I817">
        <v>1</v>
      </c>
    </row>
    <row r="818" spans="1:9" x14ac:dyDescent="0.25">
      <c r="A818" s="10" t="s">
        <v>1886</v>
      </c>
      <c r="F818">
        <v>1</v>
      </c>
      <c r="I818">
        <v>1</v>
      </c>
    </row>
    <row r="819" spans="1:9" x14ac:dyDescent="0.25">
      <c r="A819" s="10" t="s">
        <v>1887</v>
      </c>
      <c r="C819">
        <v>1</v>
      </c>
      <c r="I819">
        <v>1</v>
      </c>
    </row>
    <row r="820" spans="1:9" x14ac:dyDescent="0.25">
      <c r="A820" s="10" t="s">
        <v>1888</v>
      </c>
      <c r="C820">
        <v>1</v>
      </c>
      <c r="I820">
        <v>1</v>
      </c>
    </row>
    <row r="821" spans="1:9" x14ac:dyDescent="0.25">
      <c r="A821" s="10" t="s">
        <v>1889</v>
      </c>
      <c r="C821">
        <v>0.5</v>
      </c>
      <c r="I821">
        <v>0.5</v>
      </c>
    </row>
    <row r="822" spans="1:9" x14ac:dyDescent="0.25">
      <c r="A822" s="10" t="s">
        <v>1890</v>
      </c>
      <c r="C822">
        <v>0.37</v>
      </c>
      <c r="I822">
        <v>0.37</v>
      </c>
    </row>
    <row r="823" spans="1:9" x14ac:dyDescent="0.25">
      <c r="A823" s="10" t="s">
        <v>1891</v>
      </c>
      <c r="F823">
        <v>0</v>
      </c>
      <c r="I823">
        <v>0</v>
      </c>
    </row>
  </sheetData>
  <autoFilter ref="A1:I831" xr:uid="{00000000-0009-0000-0000-000000000000}">
    <sortState xmlns:xlrd2="http://schemas.microsoft.com/office/spreadsheetml/2017/richdata2" ref="A2:I831">
      <sortCondition descending="1" ref="I1:I831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workbookViewId="0">
      <selection activeCell="G11" sqref="G11"/>
    </sheetView>
  </sheetViews>
  <sheetFormatPr baseColWidth="10" defaultRowHeight="15" x14ac:dyDescent="0.25"/>
  <cols>
    <col min="1" max="1" width="15.85546875" bestFit="1" customWidth="1"/>
    <col min="2" max="2" width="11.42578125" style="2" customWidth="1"/>
    <col min="3" max="3" width="29.42578125" bestFit="1" customWidth="1"/>
    <col min="4" max="4" width="15.85546875" bestFit="1" customWidth="1"/>
    <col min="5" max="5" width="29" bestFit="1" customWidth="1"/>
    <col min="6" max="6" width="31" bestFit="1" customWidth="1"/>
    <col min="7" max="7" width="45.42578125" bestFit="1" customWidth="1"/>
    <col min="18" max="18" width="13.42578125" bestFit="1" customWidth="1"/>
    <col min="23" max="23" width="14.140625" bestFit="1" customWidth="1"/>
    <col min="24" max="24" width="15.7109375" bestFit="1" customWidth="1"/>
    <col min="25" max="25" width="13.42578125" bestFit="1" customWidth="1"/>
    <col min="26" max="26" width="6.7109375" bestFit="1" customWidth="1"/>
    <col min="27" max="27" width="9.7109375" bestFit="1" customWidth="1"/>
    <col min="28" max="28" width="15" bestFit="1" customWidth="1"/>
  </cols>
  <sheetData>
    <row r="1" spans="1:28" x14ac:dyDescent="0.25">
      <c r="A1" s="6" t="s">
        <v>0</v>
      </c>
      <c r="B1" s="4" t="s">
        <v>1</v>
      </c>
      <c r="C1" s="5" t="s">
        <v>2</v>
      </c>
      <c r="D1" s="3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1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7" t="s">
        <v>21</v>
      </c>
      <c r="W1" s="15" t="s">
        <v>22</v>
      </c>
      <c r="X1" s="15" t="s">
        <v>23</v>
      </c>
      <c r="Y1" s="15" t="s">
        <v>24</v>
      </c>
      <c r="Z1" s="15" t="s">
        <v>25</v>
      </c>
      <c r="AA1" s="16" t="s">
        <v>26</v>
      </c>
      <c r="AB1" s="5" t="s">
        <v>27</v>
      </c>
    </row>
    <row r="2" spans="1:28" x14ac:dyDescent="0.25">
      <c r="A2" s="1" t="s">
        <v>28</v>
      </c>
      <c r="B2" s="2">
        <v>40164</v>
      </c>
      <c r="C2" t="s">
        <v>29</v>
      </c>
      <c r="D2" s="1" t="s">
        <v>30</v>
      </c>
      <c r="E2" t="s">
        <v>31</v>
      </c>
      <c r="F2" t="s">
        <v>32</v>
      </c>
      <c r="I2">
        <v>1</v>
      </c>
      <c r="J2">
        <v>1</v>
      </c>
      <c r="K2">
        <v>4</v>
      </c>
      <c r="L2">
        <v>1</v>
      </c>
      <c r="M2">
        <v>60</v>
      </c>
      <c r="N2">
        <v>300</v>
      </c>
      <c r="O2">
        <v>137</v>
      </c>
      <c r="P2">
        <v>63</v>
      </c>
      <c r="Q2">
        <v>24</v>
      </c>
      <c r="R2">
        <v>234</v>
      </c>
      <c r="S2">
        <v>0</v>
      </c>
      <c r="T2">
        <v>1000</v>
      </c>
      <c r="U2">
        <v>23</v>
      </c>
      <c r="V2" s="8" t="s">
        <v>33</v>
      </c>
      <c r="W2" t="s">
        <v>34</v>
      </c>
      <c r="Z2" t="str">
        <f t="shared" ref="Z2:Z65" si="0">IF(MID(A2, 2, 1)="M", "MIL", IF(MID(A2, 2, 1)="N", "NUC", "MS"))</f>
        <v>MS</v>
      </c>
      <c r="AA2" s="8"/>
      <c r="AB2">
        <f t="array" ref="AB2">_xlfn._xlws.FILTER(Projets!I$2:I$823,(Projets!A$2:A$823=A2), "")</f>
        <v>1617</v>
      </c>
    </row>
    <row r="3" spans="1:28" x14ac:dyDescent="0.25">
      <c r="A3" s="1" t="s">
        <v>35</v>
      </c>
      <c r="B3" s="2">
        <v>40049</v>
      </c>
      <c r="C3" t="s">
        <v>36</v>
      </c>
      <c r="D3" s="1" t="s">
        <v>30</v>
      </c>
      <c r="E3" t="s">
        <v>37</v>
      </c>
      <c r="F3" t="s">
        <v>38</v>
      </c>
      <c r="G3" t="s">
        <v>39</v>
      </c>
      <c r="H3" t="s">
        <v>40</v>
      </c>
      <c r="I3">
        <v>2</v>
      </c>
      <c r="J3">
        <v>1</v>
      </c>
      <c r="K3">
        <v>6</v>
      </c>
      <c r="L3">
        <v>0.9</v>
      </c>
      <c r="M3">
        <v>50</v>
      </c>
      <c r="N3">
        <v>1500</v>
      </c>
      <c r="O3">
        <v>52</v>
      </c>
      <c r="P3">
        <v>35</v>
      </c>
      <c r="Q3">
        <v>4</v>
      </c>
      <c r="R3">
        <v>72</v>
      </c>
      <c r="S3">
        <v>0</v>
      </c>
      <c r="T3">
        <v>1001</v>
      </c>
      <c r="U3">
        <v>54</v>
      </c>
      <c r="V3" s="8" t="s">
        <v>33</v>
      </c>
      <c r="W3" t="s">
        <v>34</v>
      </c>
      <c r="X3" t="s">
        <v>41</v>
      </c>
      <c r="Z3" t="str">
        <f t="shared" si="0"/>
        <v>MS</v>
      </c>
      <c r="AA3" s="8"/>
      <c r="AB3">
        <f t="array" ref="AB3">_xlfn._xlws.FILTER(Projets!I$2:I$823,(Projets!A$2:A$823=A3), "")</f>
        <v>257.2</v>
      </c>
    </row>
    <row r="4" spans="1:28" x14ac:dyDescent="0.25">
      <c r="A4" s="1" t="s">
        <v>42</v>
      </c>
      <c r="B4" s="2">
        <v>40217</v>
      </c>
      <c r="C4" t="s">
        <v>43</v>
      </c>
      <c r="D4" s="1" t="s">
        <v>30</v>
      </c>
      <c r="E4" t="s">
        <v>37</v>
      </c>
      <c r="F4" t="s">
        <v>38</v>
      </c>
      <c r="G4" t="s">
        <v>39</v>
      </c>
      <c r="H4" t="s">
        <v>35</v>
      </c>
      <c r="I4">
        <v>2</v>
      </c>
      <c r="J4">
        <v>1</v>
      </c>
      <c r="K4">
        <v>6</v>
      </c>
      <c r="L4">
        <v>0.9</v>
      </c>
      <c r="M4">
        <v>50</v>
      </c>
      <c r="N4">
        <v>1500</v>
      </c>
      <c r="O4">
        <v>52</v>
      </c>
      <c r="P4">
        <v>35</v>
      </c>
      <c r="Q4">
        <v>4</v>
      </c>
      <c r="R4">
        <v>72</v>
      </c>
      <c r="S4">
        <v>0</v>
      </c>
      <c r="T4">
        <v>1001</v>
      </c>
      <c r="U4">
        <v>54</v>
      </c>
      <c r="V4" s="8" t="s">
        <v>33</v>
      </c>
      <c r="W4" t="s">
        <v>34</v>
      </c>
      <c r="X4" t="s">
        <v>41</v>
      </c>
      <c r="Z4" t="str">
        <f t="shared" si="0"/>
        <v>MS</v>
      </c>
      <c r="AA4" s="8"/>
      <c r="AB4">
        <f t="array" ref="AB4">_xlfn._xlws.FILTER(Projets!I$2:I$823,(Projets!A$2:A$823=A4), "")</f>
        <v>231.45</v>
      </c>
    </row>
    <row r="5" spans="1:28" x14ac:dyDescent="0.25">
      <c r="A5" s="1" t="s">
        <v>44</v>
      </c>
      <c r="B5" s="2">
        <v>40297</v>
      </c>
      <c r="C5" t="s">
        <v>45</v>
      </c>
      <c r="D5" s="1" t="s">
        <v>30</v>
      </c>
      <c r="E5" t="s">
        <v>46</v>
      </c>
      <c r="F5" t="s">
        <v>47</v>
      </c>
      <c r="G5" t="s">
        <v>48</v>
      </c>
      <c r="I5">
        <v>4</v>
      </c>
      <c r="J5">
        <v>3.9</v>
      </c>
      <c r="K5">
        <v>11</v>
      </c>
      <c r="L5">
        <v>0.92</v>
      </c>
      <c r="M5">
        <v>50</v>
      </c>
      <c r="N5">
        <v>3000</v>
      </c>
      <c r="O5">
        <v>62</v>
      </c>
      <c r="P5">
        <v>89</v>
      </c>
      <c r="Q5">
        <v>2</v>
      </c>
      <c r="R5">
        <v>66</v>
      </c>
      <c r="S5" t="s">
        <v>49</v>
      </c>
      <c r="T5">
        <v>1001</v>
      </c>
      <c r="U5">
        <v>55</v>
      </c>
      <c r="V5" s="8" t="s">
        <v>33</v>
      </c>
      <c r="W5" t="s">
        <v>34</v>
      </c>
      <c r="X5" t="s">
        <v>41</v>
      </c>
      <c r="Z5" t="str">
        <f t="shared" si="0"/>
        <v>MS</v>
      </c>
      <c r="AA5" s="8"/>
      <c r="AB5">
        <f t="array" ref="AB5">_xlfn._xlws.FILTER(Projets!I$2:I$823,(Projets!A$2:A$823=A5), "")</f>
        <v>735.15000000000009</v>
      </c>
    </row>
    <row r="6" spans="1:28" x14ac:dyDescent="0.25">
      <c r="A6" s="1" t="s">
        <v>50</v>
      </c>
      <c r="B6" s="2">
        <v>40287</v>
      </c>
      <c r="C6" t="s">
        <v>51</v>
      </c>
      <c r="D6" s="1" t="s">
        <v>30</v>
      </c>
      <c r="E6" t="s">
        <v>52</v>
      </c>
      <c r="F6" t="s">
        <v>53</v>
      </c>
      <c r="G6" t="s">
        <v>54</v>
      </c>
      <c r="I6">
        <v>1</v>
      </c>
      <c r="J6">
        <v>0.53</v>
      </c>
      <c r="K6">
        <v>3.15</v>
      </c>
      <c r="L6">
        <v>0.92</v>
      </c>
      <c r="M6">
        <v>50</v>
      </c>
      <c r="N6">
        <v>3000</v>
      </c>
      <c r="O6">
        <v>39</v>
      </c>
      <c r="P6">
        <v>48</v>
      </c>
      <c r="Q6">
        <v>2</v>
      </c>
      <c r="R6">
        <v>42</v>
      </c>
      <c r="S6" t="s">
        <v>49</v>
      </c>
      <c r="T6">
        <v>1001</v>
      </c>
      <c r="U6">
        <v>55</v>
      </c>
      <c r="V6" s="8" t="s">
        <v>33</v>
      </c>
      <c r="W6" t="s">
        <v>34</v>
      </c>
      <c r="X6" t="s">
        <v>41</v>
      </c>
      <c r="Z6" t="str">
        <f t="shared" si="0"/>
        <v>MS</v>
      </c>
      <c r="AA6" s="8"/>
      <c r="AB6">
        <f t="array" ref="AB6">_xlfn._xlws.FILTER(Projets!I$2:I$823,(Projets!A$2:A$823=A6), "")</f>
        <v>295.5</v>
      </c>
    </row>
    <row r="7" spans="1:28" x14ac:dyDescent="0.25">
      <c r="A7" s="1" t="s">
        <v>55</v>
      </c>
      <c r="B7" s="2">
        <v>40332</v>
      </c>
      <c r="C7" t="s">
        <v>56</v>
      </c>
      <c r="D7" s="1" t="s">
        <v>30</v>
      </c>
      <c r="E7" t="s">
        <v>57</v>
      </c>
      <c r="F7" t="s">
        <v>58</v>
      </c>
      <c r="G7" t="s">
        <v>39</v>
      </c>
      <c r="H7" t="s">
        <v>59</v>
      </c>
      <c r="I7">
        <v>4</v>
      </c>
      <c r="J7">
        <v>1</v>
      </c>
      <c r="K7">
        <v>6</v>
      </c>
      <c r="L7">
        <v>0.7</v>
      </c>
      <c r="M7">
        <v>50</v>
      </c>
      <c r="N7">
        <v>1500</v>
      </c>
      <c r="O7">
        <v>52</v>
      </c>
      <c r="P7">
        <v>35</v>
      </c>
      <c r="Q7">
        <v>4</v>
      </c>
      <c r="R7">
        <v>72</v>
      </c>
      <c r="S7">
        <v>0</v>
      </c>
      <c r="T7">
        <v>1001</v>
      </c>
      <c r="U7">
        <v>54</v>
      </c>
      <c r="V7" s="8" t="s">
        <v>33</v>
      </c>
      <c r="W7" t="s">
        <v>34</v>
      </c>
      <c r="X7" t="s">
        <v>41</v>
      </c>
      <c r="Z7" t="str">
        <f t="shared" si="0"/>
        <v>MS</v>
      </c>
      <c r="AA7" s="8"/>
      <c r="AB7">
        <f t="array" ref="AB7">_xlfn._xlws.FILTER(Projets!I$2:I$823,(Projets!A$2:A$823=A7), "")</f>
        <v>79.3</v>
      </c>
    </row>
    <row r="8" spans="1:28" x14ac:dyDescent="0.25">
      <c r="A8" s="1" t="s">
        <v>60</v>
      </c>
      <c r="B8" s="2">
        <v>40400</v>
      </c>
      <c r="C8" t="s">
        <v>61</v>
      </c>
      <c r="D8" s="1" t="s">
        <v>30</v>
      </c>
      <c r="E8" t="s">
        <v>62</v>
      </c>
      <c r="F8" t="s">
        <v>63</v>
      </c>
      <c r="G8" t="s">
        <v>64</v>
      </c>
      <c r="I8">
        <v>8</v>
      </c>
      <c r="J8">
        <v>0.94</v>
      </c>
      <c r="K8">
        <v>10</v>
      </c>
      <c r="L8">
        <v>0.86</v>
      </c>
      <c r="M8">
        <v>50</v>
      </c>
      <c r="N8">
        <v>1000</v>
      </c>
      <c r="O8">
        <v>63</v>
      </c>
      <c r="P8">
        <v>74</v>
      </c>
      <c r="Q8">
        <v>6</v>
      </c>
      <c r="R8">
        <v>72</v>
      </c>
      <c r="S8" t="s">
        <v>49</v>
      </c>
      <c r="T8">
        <v>1001</v>
      </c>
      <c r="U8">
        <v>55</v>
      </c>
      <c r="V8" s="8" t="s">
        <v>33</v>
      </c>
      <c r="W8" t="s">
        <v>34</v>
      </c>
      <c r="X8" t="s">
        <v>41</v>
      </c>
      <c r="Z8" t="str">
        <f t="shared" si="0"/>
        <v>MS</v>
      </c>
      <c r="AA8" s="8"/>
      <c r="AB8">
        <f t="array" ref="AB8">_xlfn._xlws.FILTER(Projets!I$2:I$823,(Projets!A$2:A$823=A8), "")</f>
        <v>631.75</v>
      </c>
    </row>
    <row r="9" spans="1:28" x14ac:dyDescent="0.25">
      <c r="A9" s="1" t="s">
        <v>65</v>
      </c>
      <c r="B9" s="2">
        <v>40609</v>
      </c>
      <c r="C9" t="s">
        <v>66</v>
      </c>
      <c r="D9" s="1" t="s">
        <v>30</v>
      </c>
      <c r="E9" t="s">
        <v>67</v>
      </c>
      <c r="F9" t="s">
        <v>67</v>
      </c>
      <c r="G9" t="s">
        <v>68</v>
      </c>
      <c r="I9">
        <v>1</v>
      </c>
      <c r="J9">
        <v>1</v>
      </c>
      <c r="K9">
        <v>5</v>
      </c>
      <c r="L9">
        <v>0.87</v>
      </c>
      <c r="M9">
        <v>50</v>
      </c>
      <c r="N9">
        <v>1500</v>
      </c>
      <c r="O9">
        <v>50</v>
      </c>
      <c r="P9">
        <v>72</v>
      </c>
      <c r="Q9">
        <v>4</v>
      </c>
      <c r="R9">
        <v>60</v>
      </c>
      <c r="S9" t="s">
        <v>69</v>
      </c>
      <c r="T9">
        <v>1001</v>
      </c>
      <c r="U9">
        <v>23</v>
      </c>
      <c r="V9" s="8" t="s">
        <v>33</v>
      </c>
      <c r="W9" t="s">
        <v>34</v>
      </c>
      <c r="X9" t="s">
        <v>41</v>
      </c>
      <c r="Z9" t="str">
        <f t="shared" si="0"/>
        <v>MS</v>
      </c>
      <c r="AA9" s="8"/>
      <c r="AB9">
        <f t="array" ref="AB9">_xlfn._xlws.FILTER(Projets!I$2:I$823,(Projets!A$2:A$823=A9), "")</f>
        <v>48</v>
      </c>
    </row>
    <row r="10" spans="1:28" x14ac:dyDescent="0.25">
      <c r="A10" s="1" t="s">
        <v>70</v>
      </c>
      <c r="B10" s="2">
        <v>40507</v>
      </c>
      <c r="C10" t="s">
        <v>71</v>
      </c>
      <c r="D10" s="1" t="s">
        <v>72</v>
      </c>
      <c r="E10" t="s">
        <v>73</v>
      </c>
      <c r="F10" t="s">
        <v>74</v>
      </c>
      <c r="I10">
        <v>3</v>
      </c>
      <c r="J10">
        <v>1</v>
      </c>
      <c r="K10">
        <v>4</v>
      </c>
      <c r="L10">
        <v>0.81</v>
      </c>
      <c r="M10">
        <v>60</v>
      </c>
      <c r="N10">
        <v>900</v>
      </c>
      <c r="O10">
        <v>64</v>
      </c>
      <c r="P10">
        <v>114</v>
      </c>
      <c r="Q10">
        <v>8</v>
      </c>
      <c r="R10">
        <v>96</v>
      </c>
      <c r="S10" t="s">
        <v>49</v>
      </c>
      <c r="T10">
        <v>3011</v>
      </c>
      <c r="U10">
        <v>55</v>
      </c>
      <c r="V10" s="8" t="s">
        <v>33</v>
      </c>
      <c r="W10" t="s">
        <v>34</v>
      </c>
      <c r="Z10" t="str">
        <f t="shared" si="0"/>
        <v>MS</v>
      </c>
      <c r="AA10" s="8"/>
      <c r="AB10">
        <f t="array" ref="AB10">_xlfn._xlws.FILTER(Projets!I$2:I$823,(Projets!A$2:A$823=A10), "")</f>
        <v>596.5</v>
      </c>
    </row>
    <row r="11" spans="1:28" x14ac:dyDescent="0.25">
      <c r="A11" s="1" t="s">
        <v>70</v>
      </c>
      <c r="B11" s="2">
        <v>40507</v>
      </c>
      <c r="C11" t="s">
        <v>71</v>
      </c>
      <c r="D11" s="1" t="s">
        <v>75</v>
      </c>
      <c r="E11" t="s">
        <v>73</v>
      </c>
      <c r="F11" t="s">
        <v>71</v>
      </c>
      <c r="I11">
        <v>3</v>
      </c>
      <c r="J11">
        <v>1</v>
      </c>
      <c r="K11">
        <v>4</v>
      </c>
      <c r="L11">
        <v>0.78</v>
      </c>
      <c r="M11">
        <v>60</v>
      </c>
      <c r="N11">
        <v>720</v>
      </c>
      <c r="O11">
        <v>65</v>
      </c>
      <c r="P11">
        <v>79</v>
      </c>
      <c r="Q11">
        <v>10</v>
      </c>
      <c r="R11">
        <v>120</v>
      </c>
      <c r="S11" t="s">
        <v>49</v>
      </c>
      <c r="T11">
        <v>3011</v>
      </c>
      <c r="U11">
        <v>55</v>
      </c>
      <c r="V11" s="8" t="s">
        <v>33</v>
      </c>
      <c r="W11" t="s">
        <v>34</v>
      </c>
      <c r="Z11" t="str">
        <f t="shared" si="0"/>
        <v>MS</v>
      </c>
      <c r="AA11" s="8"/>
      <c r="AB11">
        <f t="array" ref="AB11">_xlfn._xlws.FILTER(Projets!I$2:I$823,(Projets!A$2:A$823=A11), "")</f>
        <v>596.5</v>
      </c>
    </row>
    <row r="12" spans="1:28" x14ac:dyDescent="0.25">
      <c r="A12" s="1" t="s">
        <v>70</v>
      </c>
      <c r="B12" s="2">
        <v>40506</v>
      </c>
      <c r="C12" t="s">
        <v>76</v>
      </c>
      <c r="D12" s="1" t="s">
        <v>77</v>
      </c>
      <c r="E12" t="s">
        <v>74</v>
      </c>
      <c r="F12" t="s">
        <v>78</v>
      </c>
      <c r="G12" t="s">
        <v>79</v>
      </c>
      <c r="I12">
        <v>3</v>
      </c>
      <c r="J12">
        <v>0.315</v>
      </c>
      <c r="K12">
        <v>4</v>
      </c>
      <c r="L12">
        <v>0.88</v>
      </c>
      <c r="M12">
        <v>60</v>
      </c>
      <c r="N12">
        <v>1800</v>
      </c>
      <c r="O12">
        <v>40</v>
      </c>
      <c r="P12">
        <v>46</v>
      </c>
      <c r="Q12">
        <v>4</v>
      </c>
      <c r="R12">
        <v>48</v>
      </c>
      <c r="S12" t="s">
        <v>49</v>
      </c>
      <c r="T12">
        <v>1001</v>
      </c>
      <c r="U12">
        <v>55</v>
      </c>
      <c r="V12" s="8" t="s">
        <v>33</v>
      </c>
      <c r="W12" t="s">
        <v>34</v>
      </c>
      <c r="X12" t="s">
        <v>41</v>
      </c>
      <c r="Z12" t="str">
        <f t="shared" si="0"/>
        <v>MS</v>
      </c>
      <c r="AA12" s="8"/>
      <c r="AB12">
        <f t="array" ref="AB12">_xlfn._xlws.FILTER(Projets!I$2:I$823,(Projets!A$2:A$823=A12), "")</f>
        <v>596.5</v>
      </c>
    </row>
    <row r="13" spans="1:28" x14ac:dyDescent="0.25">
      <c r="A13" s="1" t="s">
        <v>80</v>
      </c>
      <c r="B13" s="2">
        <v>40511</v>
      </c>
      <c r="C13" t="s">
        <v>81</v>
      </c>
      <c r="D13" s="1" t="s">
        <v>30</v>
      </c>
      <c r="E13" t="s">
        <v>37</v>
      </c>
      <c r="F13" t="s">
        <v>38</v>
      </c>
      <c r="G13" t="s">
        <v>39</v>
      </c>
      <c r="H13" t="s">
        <v>42</v>
      </c>
      <c r="I13">
        <v>2</v>
      </c>
      <c r="J13">
        <v>1</v>
      </c>
      <c r="K13">
        <v>6</v>
      </c>
      <c r="L13">
        <v>0.9</v>
      </c>
      <c r="M13">
        <v>50</v>
      </c>
      <c r="N13">
        <v>1500</v>
      </c>
      <c r="O13">
        <v>52</v>
      </c>
      <c r="P13">
        <v>35</v>
      </c>
      <c r="Q13">
        <v>4</v>
      </c>
      <c r="R13">
        <v>72</v>
      </c>
      <c r="S13">
        <v>0</v>
      </c>
      <c r="T13">
        <v>1001</v>
      </c>
      <c r="U13">
        <v>54</v>
      </c>
      <c r="V13" s="8" t="s">
        <v>33</v>
      </c>
      <c r="W13" t="s">
        <v>34</v>
      </c>
      <c r="X13" t="s">
        <v>41</v>
      </c>
      <c r="Z13" t="str">
        <f t="shared" si="0"/>
        <v>MS</v>
      </c>
      <c r="AA13" s="8"/>
      <c r="AB13">
        <f t="array" ref="AB13">_xlfn._xlws.FILTER(Projets!I$2:I$823,(Projets!A$2:A$823=A13), "")</f>
        <v>92.6</v>
      </c>
    </row>
    <row r="14" spans="1:28" x14ac:dyDescent="0.25">
      <c r="A14" s="1" t="s">
        <v>82</v>
      </c>
      <c r="B14" s="2">
        <v>40511</v>
      </c>
      <c r="C14" t="s">
        <v>83</v>
      </c>
      <c r="D14" s="1" t="s">
        <v>30</v>
      </c>
      <c r="E14" t="s">
        <v>37</v>
      </c>
      <c r="F14" t="s">
        <v>38</v>
      </c>
      <c r="G14" t="s">
        <v>39</v>
      </c>
      <c r="H14" t="s">
        <v>42</v>
      </c>
      <c r="I14">
        <v>2</v>
      </c>
      <c r="J14">
        <v>1</v>
      </c>
      <c r="K14">
        <v>6</v>
      </c>
      <c r="L14">
        <v>0.9</v>
      </c>
      <c r="M14">
        <v>50</v>
      </c>
      <c r="N14">
        <v>1500</v>
      </c>
      <c r="O14">
        <v>52</v>
      </c>
      <c r="P14">
        <v>35</v>
      </c>
      <c r="Q14">
        <v>4</v>
      </c>
      <c r="R14">
        <v>72</v>
      </c>
      <c r="S14">
        <v>0</v>
      </c>
      <c r="T14">
        <v>1001</v>
      </c>
      <c r="U14">
        <v>54</v>
      </c>
      <c r="V14" s="8" t="s">
        <v>33</v>
      </c>
      <c r="W14" t="s">
        <v>34</v>
      </c>
      <c r="X14" t="s">
        <v>41</v>
      </c>
      <c r="Z14" t="str">
        <f t="shared" si="0"/>
        <v>MS</v>
      </c>
      <c r="AA14" s="8"/>
      <c r="AB14">
        <f t="array" ref="AB14">_xlfn._xlws.FILTER(Projets!I$2:I$823,(Projets!A$2:A$823=A14), "")</f>
        <v>100.9</v>
      </c>
    </row>
    <row r="15" spans="1:28" x14ac:dyDescent="0.25">
      <c r="A15" s="1" t="s">
        <v>84</v>
      </c>
      <c r="B15" s="2">
        <v>40560</v>
      </c>
      <c r="C15" t="s">
        <v>85</v>
      </c>
      <c r="D15" s="1" t="s">
        <v>30</v>
      </c>
      <c r="E15" t="s">
        <v>86</v>
      </c>
      <c r="F15" t="s">
        <v>87</v>
      </c>
      <c r="G15" t="s">
        <v>88</v>
      </c>
      <c r="I15">
        <v>2</v>
      </c>
      <c r="J15">
        <v>1.5</v>
      </c>
      <c r="K15">
        <v>6.6</v>
      </c>
      <c r="L15">
        <v>0.85</v>
      </c>
      <c r="M15">
        <v>60</v>
      </c>
      <c r="N15">
        <v>1200</v>
      </c>
      <c r="O15">
        <v>64</v>
      </c>
      <c r="P15">
        <v>64</v>
      </c>
      <c r="Q15">
        <v>6</v>
      </c>
      <c r="R15">
        <v>71</v>
      </c>
      <c r="S15" t="s">
        <v>49</v>
      </c>
      <c r="T15">
        <v>3011</v>
      </c>
      <c r="U15">
        <v>44</v>
      </c>
      <c r="V15" s="8" t="s">
        <v>33</v>
      </c>
      <c r="W15" t="s">
        <v>34</v>
      </c>
      <c r="X15" t="s">
        <v>41</v>
      </c>
      <c r="Z15" t="str">
        <f t="shared" si="0"/>
        <v>MS</v>
      </c>
      <c r="AA15" s="8"/>
      <c r="AB15">
        <f t="array" ref="AB15">_xlfn._xlws.FILTER(Projets!I$2:I$823,(Projets!A$2:A$823=A15), "")</f>
        <v>162.6</v>
      </c>
    </row>
    <row r="16" spans="1:28" x14ac:dyDescent="0.25">
      <c r="A16" s="1" t="s">
        <v>89</v>
      </c>
      <c r="B16" s="2">
        <v>40570</v>
      </c>
      <c r="C16" t="s">
        <v>90</v>
      </c>
      <c r="D16" s="1" t="s">
        <v>30</v>
      </c>
      <c r="E16" t="s">
        <v>52</v>
      </c>
      <c r="F16" t="s">
        <v>91</v>
      </c>
      <c r="G16" t="s">
        <v>92</v>
      </c>
      <c r="H16" t="s">
        <v>50</v>
      </c>
      <c r="I16">
        <v>1</v>
      </c>
      <c r="J16">
        <v>0.53</v>
      </c>
      <c r="K16">
        <v>3.15</v>
      </c>
      <c r="L16">
        <v>0.92</v>
      </c>
      <c r="M16">
        <v>50</v>
      </c>
      <c r="N16">
        <v>3000</v>
      </c>
      <c r="O16">
        <v>39</v>
      </c>
      <c r="P16">
        <v>48</v>
      </c>
      <c r="Q16">
        <v>2</v>
      </c>
      <c r="R16">
        <v>42</v>
      </c>
      <c r="S16" t="s">
        <v>49</v>
      </c>
      <c r="T16">
        <v>1001</v>
      </c>
      <c r="U16">
        <v>55</v>
      </c>
      <c r="V16" s="8" t="s">
        <v>33</v>
      </c>
      <c r="W16" t="s">
        <v>34</v>
      </c>
      <c r="X16" t="s">
        <v>41</v>
      </c>
      <c r="Z16" t="str">
        <f t="shared" si="0"/>
        <v>MS</v>
      </c>
      <c r="AA16" s="8"/>
      <c r="AB16" t="str">
        <f t="array" ref="AB16">_xlfn._xlws.FILTER(Projets!I$2:I$823,(Projets!A$2:A$823=A16), "")</f>
        <v/>
      </c>
    </row>
    <row r="17" spans="1:28" x14ac:dyDescent="0.25">
      <c r="A17" s="1" t="s">
        <v>93</v>
      </c>
      <c r="B17" s="2">
        <v>40599</v>
      </c>
      <c r="C17" t="s">
        <v>94</v>
      </c>
      <c r="D17" s="1" t="s">
        <v>30</v>
      </c>
      <c r="E17" t="s">
        <v>95</v>
      </c>
      <c r="F17" t="s">
        <v>96</v>
      </c>
      <c r="G17" t="s">
        <v>97</v>
      </c>
      <c r="I17">
        <v>5</v>
      </c>
      <c r="J17">
        <v>1</v>
      </c>
      <c r="K17">
        <v>6.6</v>
      </c>
      <c r="L17">
        <v>0.7</v>
      </c>
      <c r="M17">
        <v>50</v>
      </c>
      <c r="N17">
        <v>500</v>
      </c>
      <c r="O17">
        <v>656</v>
      </c>
      <c r="P17">
        <v>109</v>
      </c>
      <c r="Q17">
        <v>12</v>
      </c>
      <c r="R17">
        <v>108</v>
      </c>
      <c r="S17" t="s">
        <v>49</v>
      </c>
      <c r="T17">
        <v>1001</v>
      </c>
      <c r="U17">
        <v>55</v>
      </c>
      <c r="V17" s="8" t="s">
        <v>33</v>
      </c>
      <c r="W17" t="s">
        <v>34</v>
      </c>
      <c r="X17" t="s">
        <v>41</v>
      </c>
      <c r="Z17" t="str">
        <f t="shared" si="0"/>
        <v>MS</v>
      </c>
      <c r="AA17" s="8"/>
      <c r="AB17">
        <f t="array" ref="AB17">_xlfn._xlws.FILTER(Projets!I$2:I$823,(Projets!A$2:A$823=A17), "")</f>
        <v>168.85</v>
      </c>
    </row>
    <row r="18" spans="1:28" x14ac:dyDescent="0.25">
      <c r="A18" s="1" t="s">
        <v>98</v>
      </c>
      <c r="B18" s="2">
        <v>40976</v>
      </c>
      <c r="C18" t="s">
        <v>99</v>
      </c>
      <c r="D18" s="1" t="s">
        <v>30</v>
      </c>
      <c r="E18" t="s">
        <v>37</v>
      </c>
      <c r="F18" t="s">
        <v>38</v>
      </c>
      <c r="G18" t="s">
        <v>39</v>
      </c>
      <c r="H18" t="s">
        <v>82</v>
      </c>
      <c r="I18">
        <v>2</v>
      </c>
      <c r="J18">
        <v>1</v>
      </c>
      <c r="K18">
        <v>6</v>
      </c>
      <c r="L18">
        <v>0.9</v>
      </c>
      <c r="M18">
        <v>50</v>
      </c>
      <c r="N18">
        <v>1500</v>
      </c>
      <c r="O18">
        <v>52</v>
      </c>
      <c r="P18">
        <v>35</v>
      </c>
      <c r="Q18">
        <v>4</v>
      </c>
      <c r="R18">
        <v>72</v>
      </c>
      <c r="S18">
        <v>0</v>
      </c>
      <c r="T18">
        <v>1001</v>
      </c>
      <c r="U18">
        <v>54</v>
      </c>
      <c r="V18" s="8" t="s">
        <v>33</v>
      </c>
      <c r="W18" t="s">
        <v>34</v>
      </c>
      <c r="X18" t="s">
        <v>41</v>
      </c>
      <c r="Z18" t="str">
        <f t="shared" si="0"/>
        <v>MS</v>
      </c>
      <c r="AA18" s="8"/>
      <c r="AB18">
        <f t="array" ref="AB18">_xlfn._xlws.FILTER(Projets!I$2:I$823,(Projets!A$2:A$823=A18), "")</f>
        <v>95.050000000000011</v>
      </c>
    </row>
    <row r="19" spans="1:28" x14ac:dyDescent="0.25">
      <c r="A19" s="1" t="s">
        <v>100</v>
      </c>
      <c r="B19" s="2">
        <v>40976</v>
      </c>
      <c r="C19" t="s">
        <v>101</v>
      </c>
      <c r="D19" s="1" t="s">
        <v>30</v>
      </c>
      <c r="E19" t="s">
        <v>37</v>
      </c>
      <c r="F19" t="s">
        <v>38</v>
      </c>
      <c r="G19" t="s">
        <v>39</v>
      </c>
      <c r="H19" t="s">
        <v>80</v>
      </c>
      <c r="I19">
        <v>2</v>
      </c>
      <c r="J19">
        <v>1</v>
      </c>
      <c r="K19">
        <v>6</v>
      </c>
      <c r="L19">
        <v>0.9</v>
      </c>
      <c r="M19">
        <v>50</v>
      </c>
      <c r="N19">
        <v>1500</v>
      </c>
      <c r="O19">
        <v>52</v>
      </c>
      <c r="P19">
        <v>35</v>
      </c>
      <c r="Q19">
        <v>4</v>
      </c>
      <c r="R19">
        <v>72</v>
      </c>
      <c r="S19">
        <v>0</v>
      </c>
      <c r="T19">
        <v>1001</v>
      </c>
      <c r="U19">
        <v>54</v>
      </c>
      <c r="V19" s="8" t="s">
        <v>33</v>
      </c>
      <c r="W19" t="s">
        <v>34</v>
      </c>
      <c r="X19" t="s">
        <v>41</v>
      </c>
      <c r="Z19" t="str">
        <f t="shared" si="0"/>
        <v>MS</v>
      </c>
      <c r="AA19" s="8"/>
      <c r="AB19">
        <f t="array" ref="AB19">_xlfn._xlws.FILTER(Projets!I$2:I$823,(Projets!A$2:A$823=A19), "")</f>
        <v>44.25</v>
      </c>
    </row>
    <row r="20" spans="1:28" x14ac:dyDescent="0.25">
      <c r="A20" s="1" t="s">
        <v>102</v>
      </c>
      <c r="B20" s="2">
        <v>40841</v>
      </c>
      <c r="C20" t="s">
        <v>103</v>
      </c>
      <c r="D20" s="1" t="s">
        <v>30</v>
      </c>
      <c r="E20" t="s">
        <v>104</v>
      </c>
      <c r="F20" t="s">
        <v>104</v>
      </c>
      <c r="G20" t="s">
        <v>105</v>
      </c>
      <c r="I20">
        <v>1</v>
      </c>
      <c r="J20">
        <v>2.2000000000000002</v>
      </c>
      <c r="K20">
        <v>10</v>
      </c>
      <c r="L20">
        <v>0.82</v>
      </c>
      <c r="M20">
        <v>50</v>
      </c>
      <c r="N20">
        <v>375</v>
      </c>
      <c r="O20">
        <v>80</v>
      </c>
      <c r="P20">
        <v>100</v>
      </c>
      <c r="Q20">
        <v>16</v>
      </c>
      <c r="R20">
        <v>72</v>
      </c>
      <c r="S20" t="s">
        <v>49</v>
      </c>
      <c r="T20">
        <v>1005</v>
      </c>
      <c r="U20">
        <v>55</v>
      </c>
      <c r="V20" s="8" t="s">
        <v>106</v>
      </c>
      <c r="W20" t="s">
        <v>34</v>
      </c>
      <c r="X20" t="s">
        <v>41</v>
      </c>
      <c r="Z20" t="str">
        <f t="shared" si="0"/>
        <v>MS</v>
      </c>
      <c r="AA20" s="8"/>
      <c r="AB20">
        <f t="array" ref="AB20">_xlfn._xlws.FILTER(Projets!I$2:I$823,(Projets!A$2:A$823=A20), "")</f>
        <v>569.70000000000005</v>
      </c>
    </row>
    <row r="21" spans="1:28" x14ac:dyDescent="0.25">
      <c r="A21" s="1" t="s">
        <v>107</v>
      </c>
      <c r="B21" s="2">
        <v>40854</v>
      </c>
      <c r="C21" t="s">
        <v>108</v>
      </c>
      <c r="D21" s="1" t="s">
        <v>30</v>
      </c>
      <c r="E21" t="s">
        <v>109</v>
      </c>
      <c r="F21" t="s">
        <v>110</v>
      </c>
      <c r="G21" t="s">
        <v>111</v>
      </c>
      <c r="I21">
        <v>2</v>
      </c>
      <c r="J21">
        <v>1.5</v>
      </c>
      <c r="K21">
        <v>6</v>
      </c>
      <c r="L21">
        <v>0.86</v>
      </c>
      <c r="M21">
        <v>50</v>
      </c>
      <c r="N21">
        <v>1000</v>
      </c>
      <c r="O21">
        <v>63</v>
      </c>
      <c r="P21">
        <v>64</v>
      </c>
      <c r="Q21">
        <v>6</v>
      </c>
      <c r="R21">
        <v>90</v>
      </c>
      <c r="S21" t="s">
        <v>69</v>
      </c>
      <c r="T21">
        <v>3011</v>
      </c>
      <c r="U21">
        <v>23</v>
      </c>
      <c r="V21" s="8" t="s">
        <v>33</v>
      </c>
      <c r="W21" t="s">
        <v>34</v>
      </c>
      <c r="X21" t="s">
        <v>41</v>
      </c>
      <c r="Z21" t="str">
        <f t="shared" si="0"/>
        <v>MS</v>
      </c>
      <c r="AA21" s="8"/>
      <c r="AB21">
        <f t="array" ref="AB21">_xlfn._xlws.FILTER(Projets!I$2:I$823,(Projets!A$2:A$823=A21), "")</f>
        <v>238.65</v>
      </c>
    </row>
    <row r="22" spans="1:28" x14ac:dyDescent="0.25">
      <c r="A22" s="1" t="s">
        <v>112</v>
      </c>
      <c r="B22" s="2">
        <v>40961</v>
      </c>
      <c r="C22" t="s">
        <v>113</v>
      </c>
      <c r="D22" s="1" t="s">
        <v>30</v>
      </c>
      <c r="E22" t="s">
        <v>114</v>
      </c>
      <c r="F22" t="s">
        <v>114</v>
      </c>
      <c r="G22" t="s">
        <v>115</v>
      </c>
      <c r="I22">
        <v>1</v>
      </c>
      <c r="J22">
        <v>0.99</v>
      </c>
      <c r="K22">
        <v>6.6</v>
      </c>
      <c r="L22">
        <v>0.79</v>
      </c>
      <c r="M22">
        <v>50</v>
      </c>
      <c r="N22">
        <v>500</v>
      </c>
      <c r="O22">
        <v>75</v>
      </c>
      <c r="P22">
        <v>114</v>
      </c>
      <c r="Q22">
        <v>12</v>
      </c>
      <c r="R22">
        <v>108</v>
      </c>
      <c r="S22" t="s">
        <v>116</v>
      </c>
      <c r="T22">
        <v>3011</v>
      </c>
      <c r="U22">
        <v>55</v>
      </c>
      <c r="V22" s="8" t="s">
        <v>33</v>
      </c>
      <c r="W22" t="s">
        <v>34</v>
      </c>
      <c r="X22" t="s">
        <v>41</v>
      </c>
      <c r="Z22" t="str">
        <f t="shared" si="0"/>
        <v>MS</v>
      </c>
      <c r="AA22" s="8"/>
      <c r="AB22">
        <f t="array" ref="AB22">_xlfn._xlws.FILTER(Projets!I$2:I$823,(Projets!A$2:A$823=A22), "")</f>
        <v>818.5</v>
      </c>
    </row>
    <row r="23" spans="1:28" x14ac:dyDescent="0.25">
      <c r="A23" s="1" t="s">
        <v>117</v>
      </c>
      <c r="B23" s="2">
        <v>40976</v>
      </c>
      <c r="C23" t="s">
        <v>118</v>
      </c>
      <c r="D23" s="1" t="s">
        <v>30</v>
      </c>
      <c r="E23" t="s">
        <v>119</v>
      </c>
      <c r="F23" t="s">
        <v>58</v>
      </c>
      <c r="G23" t="s">
        <v>39</v>
      </c>
      <c r="H23" t="s">
        <v>120</v>
      </c>
      <c r="I23">
        <v>4</v>
      </c>
      <c r="J23">
        <v>1</v>
      </c>
      <c r="K23">
        <v>6</v>
      </c>
      <c r="L23">
        <v>0.9</v>
      </c>
      <c r="M23">
        <v>50</v>
      </c>
      <c r="N23">
        <v>1500</v>
      </c>
      <c r="O23">
        <v>52</v>
      </c>
      <c r="P23">
        <v>35</v>
      </c>
      <c r="Q23">
        <v>4</v>
      </c>
      <c r="R23">
        <v>72</v>
      </c>
      <c r="S23">
        <v>0</v>
      </c>
      <c r="T23">
        <v>1001</v>
      </c>
      <c r="U23">
        <v>54</v>
      </c>
      <c r="V23" s="8" t="s">
        <v>33</v>
      </c>
      <c r="W23" t="s">
        <v>34</v>
      </c>
      <c r="X23" t="s">
        <v>41</v>
      </c>
      <c r="Z23" t="str">
        <f t="shared" si="0"/>
        <v>MS</v>
      </c>
      <c r="AA23" s="8"/>
      <c r="AB23">
        <f t="array" ref="AB23">_xlfn._xlws.FILTER(Projets!I$2:I$823,(Projets!A$2:A$823=A23), "")</f>
        <v>41.5</v>
      </c>
    </row>
    <row r="24" spans="1:28" x14ac:dyDescent="0.25">
      <c r="A24" s="1" t="s">
        <v>121</v>
      </c>
      <c r="B24" s="2">
        <v>41053</v>
      </c>
      <c r="C24" t="s">
        <v>122</v>
      </c>
      <c r="D24" s="1" t="s">
        <v>30</v>
      </c>
      <c r="E24" t="s">
        <v>123</v>
      </c>
      <c r="F24" t="s">
        <v>124</v>
      </c>
      <c r="I24">
        <v>5</v>
      </c>
      <c r="J24">
        <v>2.0499999999999998</v>
      </c>
      <c r="K24">
        <v>6.6</v>
      </c>
      <c r="L24">
        <v>0.78</v>
      </c>
      <c r="M24">
        <v>50</v>
      </c>
      <c r="N24">
        <v>428</v>
      </c>
      <c r="O24">
        <v>96</v>
      </c>
      <c r="P24">
        <v>139</v>
      </c>
      <c r="Q24">
        <v>14</v>
      </c>
      <c r="R24">
        <v>126</v>
      </c>
      <c r="S24" t="s">
        <v>49</v>
      </c>
      <c r="T24">
        <v>1001</v>
      </c>
      <c r="U24">
        <v>55</v>
      </c>
      <c r="V24" s="8" t="s">
        <v>33</v>
      </c>
      <c r="W24" t="s">
        <v>34</v>
      </c>
      <c r="Z24" t="str">
        <f t="shared" si="0"/>
        <v>MS</v>
      </c>
      <c r="AA24" s="8"/>
      <c r="AB24">
        <f t="array" ref="AB24">_xlfn._xlws.FILTER(Projets!I$2:I$823,(Projets!A$2:A$823=A24), "")</f>
        <v>360.85</v>
      </c>
    </row>
    <row r="25" spans="1:28" x14ac:dyDescent="0.25">
      <c r="A25" s="1" t="s">
        <v>125</v>
      </c>
      <c r="B25" s="2">
        <v>41092</v>
      </c>
      <c r="C25" t="s">
        <v>126</v>
      </c>
      <c r="D25" s="1" t="s">
        <v>30</v>
      </c>
      <c r="E25" t="s">
        <v>127</v>
      </c>
      <c r="F25" t="s">
        <v>128</v>
      </c>
      <c r="G25" t="s">
        <v>129</v>
      </c>
      <c r="I25">
        <v>6</v>
      </c>
      <c r="J25">
        <v>1</v>
      </c>
      <c r="K25">
        <v>6</v>
      </c>
      <c r="L25">
        <v>0.88</v>
      </c>
      <c r="M25">
        <v>50</v>
      </c>
      <c r="N25">
        <v>1500</v>
      </c>
      <c r="O25">
        <v>46</v>
      </c>
      <c r="P25">
        <v>78</v>
      </c>
      <c r="Q25">
        <v>4</v>
      </c>
      <c r="R25">
        <v>60</v>
      </c>
      <c r="S25" t="s">
        <v>49</v>
      </c>
      <c r="T25">
        <v>1001</v>
      </c>
      <c r="U25">
        <v>55</v>
      </c>
      <c r="V25" s="8" t="s">
        <v>130</v>
      </c>
      <c r="W25" t="s">
        <v>34</v>
      </c>
      <c r="X25" t="s">
        <v>41</v>
      </c>
      <c r="Z25" t="str">
        <f t="shared" si="0"/>
        <v>MS</v>
      </c>
      <c r="AA25" s="8"/>
      <c r="AB25">
        <f t="array" ref="AB25">_xlfn._xlws.FILTER(Projets!I$2:I$823,(Projets!A$2:A$823=A25), "")</f>
        <v>90.85</v>
      </c>
    </row>
    <row r="26" spans="1:28" x14ac:dyDescent="0.25">
      <c r="A26" s="1" t="s">
        <v>131</v>
      </c>
      <c r="B26" s="2">
        <v>41082</v>
      </c>
      <c r="C26" t="s">
        <v>132</v>
      </c>
      <c r="D26" s="1" t="s">
        <v>30</v>
      </c>
      <c r="E26" t="s">
        <v>133</v>
      </c>
      <c r="F26" t="s">
        <v>133</v>
      </c>
      <c r="G26" t="s">
        <v>134</v>
      </c>
      <c r="I26">
        <v>1</v>
      </c>
      <c r="J26">
        <v>0.4</v>
      </c>
      <c r="K26">
        <v>2</v>
      </c>
      <c r="L26">
        <v>0.8</v>
      </c>
      <c r="M26">
        <v>60</v>
      </c>
      <c r="N26">
        <v>1200</v>
      </c>
      <c r="O26">
        <v>46</v>
      </c>
      <c r="P26">
        <v>57</v>
      </c>
      <c r="Q26">
        <v>6</v>
      </c>
      <c r="R26">
        <v>57</v>
      </c>
      <c r="S26" t="s">
        <v>69</v>
      </c>
      <c r="T26">
        <v>1001</v>
      </c>
      <c r="U26">
        <v>23</v>
      </c>
      <c r="V26" s="8" t="s">
        <v>33</v>
      </c>
      <c r="W26" t="s">
        <v>34</v>
      </c>
      <c r="Z26" t="str">
        <f t="shared" si="0"/>
        <v>MS</v>
      </c>
      <c r="AA26" s="8"/>
      <c r="AB26">
        <f t="array" ref="AB26">_xlfn._xlws.FILTER(Projets!I$2:I$823,(Projets!A$2:A$823=A26), "")</f>
        <v>57.1</v>
      </c>
    </row>
    <row r="27" spans="1:28" x14ac:dyDescent="0.25">
      <c r="A27" s="1" t="s">
        <v>135</v>
      </c>
      <c r="B27" s="2">
        <v>42431</v>
      </c>
      <c r="C27" t="s">
        <v>136</v>
      </c>
      <c r="D27" s="1" t="s">
        <v>30</v>
      </c>
      <c r="E27" t="s">
        <v>137</v>
      </c>
      <c r="F27" t="s">
        <v>137</v>
      </c>
      <c r="G27" t="s">
        <v>136</v>
      </c>
      <c r="I27">
        <v>3</v>
      </c>
      <c r="J27">
        <v>4</v>
      </c>
      <c r="K27">
        <v>11</v>
      </c>
      <c r="L27">
        <v>0.89</v>
      </c>
      <c r="M27">
        <v>50</v>
      </c>
      <c r="N27">
        <v>1500</v>
      </c>
      <c r="O27">
        <v>87</v>
      </c>
      <c r="P27">
        <v>114</v>
      </c>
      <c r="Q27">
        <v>4</v>
      </c>
      <c r="R27">
        <v>72</v>
      </c>
      <c r="S27" t="s">
        <v>49</v>
      </c>
      <c r="T27">
        <v>1001</v>
      </c>
      <c r="U27">
        <v>55</v>
      </c>
      <c r="V27" s="8" t="s">
        <v>130</v>
      </c>
      <c r="W27" t="s">
        <v>34</v>
      </c>
      <c r="X27" t="s">
        <v>41</v>
      </c>
      <c r="Z27" t="str">
        <f t="shared" si="0"/>
        <v>MS</v>
      </c>
      <c r="AA27" s="8"/>
      <c r="AB27">
        <f t="array" ref="AB27">_xlfn._xlws.FILTER(Projets!I$2:I$823,(Projets!A$2:A$823=A27), "")</f>
        <v>1123.5</v>
      </c>
    </row>
    <row r="28" spans="1:28" x14ac:dyDescent="0.25">
      <c r="A28" s="1" t="s">
        <v>138</v>
      </c>
      <c r="B28" s="2">
        <v>41479</v>
      </c>
      <c r="C28" t="s">
        <v>139</v>
      </c>
      <c r="D28" s="1" t="s">
        <v>30</v>
      </c>
      <c r="E28" t="s">
        <v>140</v>
      </c>
      <c r="F28" t="s">
        <v>141</v>
      </c>
      <c r="G28" t="s">
        <v>142</v>
      </c>
      <c r="I28">
        <v>4</v>
      </c>
      <c r="J28">
        <v>0.22500000000000001</v>
      </c>
      <c r="K28">
        <v>6</v>
      </c>
      <c r="L28">
        <v>0.87</v>
      </c>
      <c r="M28">
        <v>50</v>
      </c>
      <c r="N28">
        <v>1500</v>
      </c>
      <c r="O28">
        <v>45</v>
      </c>
      <c r="P28">
        <v>41</v>
      </c>
      <c r="Q28">
        <v>4</v>
      </c>
      <c r="R28">
        <v>66</v>
      </c>
      <c r="S28" t="s">
        <v>116</v>
      </c>
      <c r="T28">
        <v>1001</v>
      </c>
      <c r="U28">
        <v>55</v>
      </c>
      <c r="V28" s="8" t="s">
        <v>33</v>
      </c>
      <c r="W28" t="s">
        <v>34</v>
      </c>
      <c r="X28" t="s">
        <v>41</v>
      </c>
      <c r="Z28" t="str">
        <f t="shared" si="0"/>
        <v>MS</v>
      </c>
      <c r="AA28" s="8"/>
      <c r="AB28">
        <f t="array" ref="AB28">_xlfn._xlws.FILTER(Projets!I$2:I$823,(Projets!A$2:A$823=A28), "")</f>
        <v>908.65</v>
      </c>
    </row>
    <row r="29" spans="1:28" x14ac:dyDescent="0.25">
      <c r="A29" s="1" t="s">
        <v>143</v>
      </c>
      <c r="B29" s="2">
        <v>41536</v>
      </c>
      <c r="C29" t="s">
        <v>144</v>
      </c>
      <c r="D29" s="1" t="s">
        <v>145</v>
      </c>
      <c r="E29" t="s">
        <v>146</v>
      </c>
      <c r="F29" t="s">
        <v>146</v>
      </c>
      <c r="G29" t="s">
        <v>147</v>
      </c>
      <c r="H29" t="s">
        <v>148</v>
      </c>
      <c r="I29">
        <v>1</v>
      </c>
      <c r="J29">
        <v>0.61499999999999999</v>
      </c>
      <c r="K29">
        <v>6.6</v>
      </c>
      <c r="L29">
        <v>0.74</v>
      </c>
      <c r="M29">
        <v>50</v>
      </c>
      <c r="N29">
        <v>428</v>
      </c>
      <c r="O29">
        <v>69</v>
      </c>
      <c r="P29">
        <v>114</v>
      </c>
      <c r="Q29">
        <v>14</v>
      </c>
      <c r="R29">
        <v>126</v>
      </c>
      <c r="S29" t="s">
        <v>49</v>
      </c>
      <c r="T29">
        <v>3011</v>
      </c>
      <c r="U29">
        <v>55</v>
      </c>
      <c r="V29" s="8" t="s">
        <v>33</v>
      </c>
      <c r="W29" t="s">
        <v>34</v>
      </c>
      <c r="X29" t="s">
        <v>41</v>
      </c>
      <c r="Z29" t="str">
        <f t="shared" si="0"/>
        <v>MS</v>
      </c>
      <c r="AA29" s="8"/>
      <c r="AB29">
        <f t="array" ref="AB29">_xlfn._xlws.FILTER(Projets!I$2:I$823,(Projets!A$2:A$823=A29), "")</f>
        <v>181</v>
      </c>
    </row>
    <row r="30" spans="1:28" x14ac:dyDescent="0.25">
      <c r="A30" s="1" t="s">
        <v>143</v>
      </c>
      <c r="B30" s="2">
        <v>41536</v>
      </c>
      <c r="C30" t="s">
        <v>149</v>
      </c>
      <c r="D30" s="1" t="s">
        <v>30</v>
      </c>
      <c r="E30" t="s">
        <v>146</v>
      </c>
      <c r="F30" t="s">
        <v>146</v>
      </c>
      <c r="G30" t="s">
        <v>150</v>
      </c>
      <c r="H30" t="s">
        <v>151</v>
      </c>
      <c r="I30">
        <v>1</v>
      </c>
      <c r="J30">
        <v>0.8</v>
      </c>
      <c r="K30">
        <v>6.6</v>
      </c>
      <c r="L30">
        <v>0.74</v>
      </c>
      <c r="M30">
        <v>50</v>
      </c>
      <c r="N30">
        <v>500</v>
      </c>
      <c r="O30">
        <v>67</v>
      </c>
      <c r="P30">
        <v>114</v>
      </c>
      <c r="Q30">
        <v>12</v>
      </c>
      <c r="R30">
        <v>108</v>
      </c>
      <c r="S30" t="s">
        <v>49</v>
      </c>
      <c r="T30">
        <v>3011</v>
      </c>
      <c r="U30">
        <v>55</v>
      </c>
      <c r="V30" s="8" t="s">
        <v>33</v>
      </c>
      <c r="W30" t="s">
        <v>34</v>
      </c>
      <c r="X30" t="s">
        <v>41</v>
      </c>
      <c r="Z30" t="str">
        <f t="shared" si="0"/>
        <v>MS</v>
      </c>
      <c r="AA30" s="8"/>
      <c r="AB30">
        <f t="array" ref="AB30">_xlfn._xlws.FILTER(Projets!I$2:I$823,(Projets!A$2:A$823=A30), "")</f>
        <v>181</v>
      </c>
    </row>
    <row r="31" spans="1:28" x14ac:dyDescent="0.25">
      <c r="A31" s="1" t="s">
        <v>152</v>
      </c>
      <c r="B31" s="2">
        <v>41529</v>
      </c>
      <c r="C31" t="s">
        <v>153</v>
      </c>
      <c r="D31" s="1" t="s">
        <v>30</v>
      </c>
      <c r="E31" t="s">
        <v>154</v>
      </c>
      <c r="F31" t="s">
        <v>154</v>
      </c>
      <c r="G31" t="s">
        <v>155</v>
      </c>
      <c r="I31">
        <v>1</v>
      </c>
      <c r="J31">
        <v>3</v>
      </c>
      <c r="K31">
        <v>11</v>
      </c>
      <c r="L31">
        <v>0.9</v>
      </c>
      <c r="M31">
        <v>50</v>
      </c>
      <c r="N31">
        <v>3000</v>
      </c>
      <c r="O31">
        <v>56</v>
      </c>
      <c r="P31">
        <v>74</v>
      </c>
      <c r="Q31">
        <v>2</v>
      </c>
      <c r="R31">
        <v>60</v>
      </c>
      <c r="S31" t="s">
        <v>156</v>
      </c>
      <c r="T31">
        <v>1001</v>
      </c>
      <c r="U31">
        <v>54</v>
      </c>
      <c r="V31" s="8" t="s">
        <v>33</v>
      </c>
      <c r="W31" t="s">
        <v>34</v>
      </c>
      <c r="X31" t="s">
        <v>41</v>
      </c>
      <c r="Z31" t="str">
        <f t="shared" si="0"/>
        <v>MS</v>
      </c>
      <c r="AA31" s="8"/>
      <c r="AB31">
        <f t="array" ref="AB31">_xlfn._xlws.FILTER(Projets!I$2:I$823,(Projets!A$2:A$823=A31), "")</f>
        <v>284.89999999999998</v>
      </c>
    </row>
    <row r="32" spans="1:28" x14ac:dyDescent="0.25">
      <c r="A32" s="1" t="s">
        <v>157</v>
      </c>
      <c r="B32" s="2">
        <v>41787</v>
      </c>
      <c r="C32" t="s">
        <v>158</v>
      </c>
      <c r="D32" s="1" t="s">
        <v>30</v>
      </c>
      <c r="E32" t="s">
        <v>74</v>
      </c>
      <c r="F32" t="s">
        <v>74</v>
      </c>
      <c r="G32" t="s">
        <v>159</v>
      </c>
      <c r="H32" t="s">
        <v>160</v>
      </c>
      <c r="I32">
        <v>1</v>
      </c>
      <c r="J32">
        <v>0.85</v>
      </c>
      <c r="K32">
        <v>5.5</v>
      </c>
      <c r="L32">
        <v>0.79</v>
      </c>
      <c r="M32">
        <v>50</v>
      </c>
      <c r="N32">
        <v>375</v>
      </c>
      <c r="O32">
        <v>86</v>
      </c>
      <c r="P32">
        <v>114</v>
      </c>
      <c r="Q32">
        <v>16</v>
      </c>
      <c r="R32">
        <v>144</v>
      </c>
      <c r="S32" t="s">
        <v>49</v>
      </c>
      <c r="T32">
        <v>3011</v>
      </c>
      <c r="U32">
        <v>54</v>
      </c>
      <c r="V32" s="8" t="s">
        <v>33</v>
      </c>
      <c r="W32" t="s">
        <v>34</v>
      </c>
      <c r="X32" t="s">
        <v>41</v>
      </c>
      <c r="Z32" t="str">
        <f t="shared" si="0"/>
        <v>MS</v>
      </c>
      <c r="AA32" s="8"/>
      <c r="AB32">
        <f t="array" ref="AB32">_xlfn._xlws.FILTER(Projets!I$2:I$823,(Projets!A$2:A$823=A32), "")</f>
        <v>375.05</v>
      </c>
    </row>
    <row r="33" spans="1:28" x14ac:dyDescent="0.25">
      <c r="A33" s="1" t="s">
        <v>161</v>
      </c>
      <c r="B33" s="2">
        <v>41652</v>
      </c>
      <c r="C33" t="s">
        <v>162</v>
      </c>
      <c r="D33" s="1" t="s">
        <v>30</v>
      </c>
      <c r="E33" t="s">
        <v>163</v>
      </c>
      <c r="F33" t="s">
        <v>164</v>
      </c>
      <c r="G33" t="s">
        <v>165</v>
      </c>
      <c r="H33" t="s">
        <v>166</v>
      </c>
      <c r="I33">
        <v>1</v>
      </c>
      <c r="J33">
        <v>1</v>
      </c>
      <c r="K33">
        <v>6</v>
      </c>
      <c r="L33">
        <v>1</v>
      </c>
      <c r="M33">
        <v>50</v>
      </c>
      <c r="N33">
        <v>1500</v>
      </c>
      <c r="O33">
        <v>52</v>
      </c>
      <c r="P33">
        <v>53</v>
      </c>
      <c r="Q33">
        <v>4</v>
      </c>
      <c r="R33">
        <v>72</v>
      </c>
      <c r="S33">
        <v>151</v>
      </c>
      <c r="T33">
        <v>1001</v>
      </c>
      <c r="U33">
        <v>55</v>
      </c>
      <c r="V33" s="8" t="s">
        <v>33</v>
      </c>
      <c r="W33" t="s">
        <v>34</v>
      </c>
      <c r="X33" t="s">
        <v>41</v>
      </c>
      <c r="Z33" t="str">
        <f t="shared" si="0"/>
        <v>MS</v>
      </c>
      <c r="AA33" s="8"/>
      <c r="AB33">
        <f t="array" ref="AB33">_xlfn._xlws.FILTER(Projets!I$2:I$823,(Projets!A$2:A$823=A33), "")</f>
        <v>85.7</v>
      </c>
    </row>
    <row r="34" spans="1:28" x14ac:dyDescent="0.25">
      <c r="A34" s="1" t="s">
        <v>167</v>
      </c>
      <c r="B34" s="2">
        <v>41697</v>
      </c>
      <c r="C34" t="s">
        <v>168</v>
      </c>
      <c r="D34" s="1" t="s">
        <v>30</v>
      </c>
      <c r="E34" t="s">
        <v>169</v>
      </c>
      <c r="F34" t="s">
        <v>170</v>
      </c>
      <c r="G34" t="s">
        <v>171</v>
      </c>
      <c r="H34" t="s">
        <v>166</v>
      </c>
      <c r="I34">
        <v>6</v>
      </c>
      <c r="J34">
        <v>1</v>
      </c>
      <c r="K34">
        <v>6</v>
      </c>
      <c r="L34">
        <v>1</v>
      </c>
      <c r="M34">
        <v>50</v>
      </c>
      <c r="N34">
        <v>1500</v>
      </c>
      <c r="O34">
        <v>52</v>
      </c>
      <c r="P34">
        <v>53</v>
      </c>
      <c r="Q34">
        <v>4</v>
      </c>
      <c r="R34">
        <v>72</v>
      </c>
      <c r="S34">
        <v>151</v>
      </c>
      <c r="T34">
        <v>1001</v>
      </c>
      <c r="U34">
        <v>55</v>
      </c>
      <c r="V34" s="8" t="s">
        <v>33</v>
      </c>
      <c r="W34" t="s">
        <v>34</v>
      </c>
      <c r="X34" t="s">
        <v>41</v>
      </c>
      <c r="Z34" t="str">
        <f t="shared" si="0"/>
        <v>MS</v>
      </c>
      <c r="AA34" s="8"/>
      <c r="AB34">
        <f t="array" ref="AB34">_xlfn._xlws.FILTER(Projets!I$2:I$823,(Projets!A$2:A$823=A34), "")</f>
        <v>67.8</v>
      </c>
    </row>
    <row r="35" spans="1:28" x14ac:dyDescent="0.25">
      <c r="A35" s="1" t="s">
        <v>172</v>
      </c>
      <c r="B35" s="2">
        <v>41726</v>
      </c>
      <c r="C35" t="s">
        <v>173</v>
      </c>
      <c r="D35" s="1" t="s">
        <v>30</v>
      </c>
      <c r="E35" t="s">
        <v>174</v>
      </c>
      <c r="F35" t="s">
        <v>174</v>
      </c>
      <c r="G35" t="s">
        <v>175</v>
      </c>
      <c r="I35">
        <v>1</v>
      </c>
      <c r="J35">
        <v>5.7</v>
      </c>
      <c r="K35">
        <v>6</v>
      </c>
      <c r="L35">
        <v>0.93</v>
      </c>
      <c r="M35">
        <v>50</v>
      </c>
      <c r="N35">
        <v>1500</v>
      </c>
      <c r="O35">
        <v>95</v>
      </c>
      <c r="P35">
        <v>84</v>
      </c>
      <c r="Q35">
        <v>4</v>
      </c>
      <c r="R35">
        <v>120</v>
      </c>
      <c r="S35" t="s">
        <v>176</v>
      </c>
      <c r="T35">
        <v>1001</v>
      </c>
      <c r="U35">
        <v>55</v>
      </c>
      <c r="V35" s="8" t="s">
        <v>33</v>
      </c>
      <c r="W35" t="s">
        <v>34</v>
      </c>
      <c r="X35" t="s">
        <v>41</v>
      </c>
      <c r="Z35" t="str">
        <f t="shared" si="0"/>
        <v>MS</v>
      </c>
      <c r="AA35" s="8"/>
      <c r="AB35">
        <f t="array" ref="AB35">_xlfn._xlws.FILTER(Projets!I$2:I$823,(Projets!A$2:A$823=A35), "")</f>
        <v>667.65</v>
      </c>
    </row>
    <row r="36" spans="1:28" x14ac:dyDescent="0.25">
      <c r="A36" s="1" t="s">
        <v>177</v>
      </c>
      <c r="B36" s="2">
        <v>41837</v>
      </c>
      <c r="C36" t="s">
        <v>178</v>
      </c>
      <c r="D36" s="1" t="s">
        <v>30</v>
      </c>
      <c r="E36" t="s">
        <v>179</v>
      </c>
      <c r="F36" t="s">
        <v>179</v>
      </c>
      <c r="G36" t="s">
        <v>180</v>
      </c>
      <c r="I36">
        <v>1</v>
      </c>
      <c r="J36">
        <v>3.4</v>
      </c>
      <c r="K36">
        <v>6.6</v>
      </c>
      <c r="L36">
        <v>0.78</v>
      </c>
      <c r="M36">
        <v>50</v>
      </c>
      <c r="N36">
        <v>500</v>
      </c>
      <c r="O36">
        <v>125</v>
      </c>
      <c r="P36">
        <v>112</v>
      </c>
      <c r="Q36">
        <v>12</v>
      </c>
      <c r="R36">
        <v>108</v>
      </c>
      <c r="S36">
        <v>666</v>
      </c>
      <c r="T36">
        <v>1001</v>
      </c>
      <c r="U36">
        <v>55</v>
      </c>
      <c r="V36" s="8" t="s">
        <v>33</v>
      </c>
      <c r="W36" t="s">
        <v>34</v>
      </c>
      <c r="X36" t="s">
        <v>41</v>
      </c>
      <c r="Z36" t="str">
        <f t="shared" si="0"/>
        <v>MS</v>
      </c>
      <c r="AA36" s="8"/>
      <c r="AB36">
        <f t="array" ref="AB36">_xlfn._xlws.FILTER(Projets!I$2:I$823,(Projets!A$2:A$823=A36), "")</f>
        <v>1737.15</v>
      </c>
    </row>
    <row r="37" spans="1:28" x14ac:dyDescent="0.25">
      <c r="A37" s="1" t="s">
        <v>181</v>
      </c>
      <c r="B37" s="2">
        <v>41743</v>
      </c>
      <c r="C37" t="s">
        <v>182</v>
      </c>
      <c r="D37" s="1" t="s">
        <v>30</v>
      </c>
      <c r="E37" t="s">
        <v>183</v>
      </c>
      <c r="F37" t="s">
        <v>58</v>
      </c>
      <c r="G37" t="s">
        <v>184</v>
      </c>
      <c r="I37">
        <v>4</v>
      </c>
      <c r="J37">
        <v>1</v>
      </c>
      <c r="K37">
        <v>6</v>
      </c>
      <c r="L37">
        <v>1</v>
      </c>
      <c r="M37">
        <v>50</v>
      </c>
      <c r="N37">
        <v>1500</v>
      </c>
      <c r="O37">
        <v>52</v>
      </c>
      <c r="P37">
        <v>36</v>
      </c>
      <c r="Q37">
        <v>4</v>
      </c>
      <c r="R37">
        <v>72</v>
      </c>
      <c r="S37">
        <v>151</v>
      </c>
      <c r="T37">
        <v>1001</v>
      </c>
      <c r="U37">
        <v>55</v>
      </c>
      <c r="V37" s="8" t="s">
        <v>33</v>
      </c>
      <c r="W37" t="s">
        <v>34</v>
      </c>
      <c r="X37" t="s">
        <v>41</v>
      </c>
      <c r="Z37" t="str">
        <f t="shared" si="0"/>
        <v>MS</v>
      </c>
      <c r="AA37" s="8"/>
      <c r="AB37">
        <f t="array" ref="AB37">_xlfn._xlws.FILTER(Projets!I$2:I$823,(Projets!A$2:A$823=A37), "")</f>
        <v>105.65</v>
      </c>
    </row>
    <row r="38" spans="1:28" x14ac:dyDescent="0.25">
      <c r="A38" s="1" t="s">
        <v>185</v>
      </c>
      <c r="B38" s="2">
        <v>41752</v>
      </c>
      <c r="C38" t="s">
        <v>186</v>
      </c>
      <c r="D38" s="1" t="s">
        <v>187</v>
      </c>
      <c r="E38" t="s">
        <v>188</v>
      </c>
      <c r="F38" t="s">
        <v>189</v>
      </c>
      <c r="G38" t="s">
        <v>190</v>
      </c>
      <c r="I38">
        <v>6</v>
      </c>
      <c r="J38">
        <v>2.5</v>
      </c>
      <c r="K38">
        <v>6.6</v>
      </c>
      <c r="L38">
        <v>0.89400000000000002</v>
      </c>
      <c r="M38">
        <v>50</v>
      </c>
      <c r="N38">
        <v>3000</v>
      </c>
      <c r="O38">
        <v>44</v>
      </c>
      <c r="P38">
        <v>89</v>
      </c>
      <c r="Q38">
        <v>2</v>
      </c>
      <c r="R38">
        <v>54</v>
      </c>
      <c r="S38" t="s">
        <v>176</v>
      </c>
      <c r="T38">
        <v>1001</v>
      </c>
      <c r="U38">
        <v>55</v>
      </c>
      <c r="V38" s="8" t="s">
        <v>33</v>
      </c>
      <c r="W38" t="s">
        <v>34</v>
      </c>
      <c r="X38" t="s">
        <v>41</v>
      </c>
      <c r="Z38" t="str">
        <f t="shared" si="0"/>
        <v>MS</v>
      </c>
      <c r="AA38" s="8"/>
      <c r="AB38">
        <f t="array" ref="AB38">_xlfn._xlws.FILTER(Projets!I$2:I$823,(Projets!A$2:A$823=A38), "")</f>
        <v>1824.95</v>
      </c>
    </row>
    <row r="39" spans="1:28" x14ac:dyDescent="0.25">
      <c r="A39" s="1" t="s">
        <v>185</v>
      </c>
      <c r="B39" s="2">
        <v>42192</v>
      </c>
      <c r="C39" t="s">
        <v>186</v>
      </c>
      <c r="D39" s="1" t="s">
        <v>145</v>
      </c>
      <c r="E39" t="s">
        <v>188</v>
      </c>
      <c r="F39" t="s">
        <v>189</v>
      </c>
      <c r="G39" t="s">
        <v>191</v>
      </c>
      <c r="I39">
        <v>3</v>
      </c>
      <c r="J39">
        <v>1.1000000000000001</v>
      </c>
      <c r="K39">
        <v>6.6</v>
      </c>
      <c r="L39">
        <v>0.91</v>
      </c>
      <c r="M39">
        <v>60</v>
      </c>
      <c r="N39">
        <v>3600</v>
      </c>
      <c r="O39">
        <v>39</v>
      </c>
      <c r="P39">
        <v>58</v>
      </c>
      <c r="Q39">
        <v>2</v>
      </c>
      <c r="R39">
        <v>54</v>
      </c>
      <c r="S39" t="s">
        <v>176</v>
      </c>
      <c r="T39">
        <v>1001</v>
      </c>
      <c r="U39">
        <v>55</v>
      </c>
      <c r="V39" s="8" t="s">
        <v>33</v>
      </c>
      <c r="W39" t="s">
        <v>34</v>
      </c>
      <c r="X39" t="s">
        <v>41</v>
      </c>
      <c r="Z39" t="str">
        <f t="shared" si="0"/>
        <v>MS</v>
      </c>
      <c r="AA39" s="8"/>
      <c r="AB39">
        <f t="array" ref="AB39">_xlfn._xlws.FILTER(Projets!I$2:I$823,(Projets!A$2:A$823=A39), "")</f>
        <v>1824.95</v>
      </c>
    </row>
    <row r="40" spans="1:28" x14ac:dyDescent="0.25">
      <c r="A40" s="1" t="s">
        <v>185</v>
      </c>
      <c r="B40" s="2">
        <v>42192</v>
      </c>
      <c r="C40" t="s">
        <v>186</v>
      </c>
      <c r="D40" s="1" t="s">
        <v>30</v>
      </c>
      <c r="E40" t="s">
        <v>188</v>
      </c>
      <c r="F40" t="s">
        <v>189</v>
      </c>
      <c r="G40" t="s">
        <v>192</v>
      </c>
      <c r="I40">
        <v>9</v>
      </c>
      <c r="J40">
        <v>0.98599999999999999</v>
      </c>
      <c r="K40">
        <v>6.6</v>
      </c>
      <c r="L40">
        <v>0.91</v>
      </c>
      <c r="M40">
        <v>50</v>
      </c>
      <c r="N40">
        <v>3000</v>
      </c>
      <c r="O40">
        <v>39</v>
      </c>
      <c r="P40">
        <v>58</v>
      </c>
      <c r="Q40">
        <v>2</v>
      </c>
      <c r="R40">
        <v>54</v>
      </c>
      <c r="S40" t="s">
        <v>176</v>
      </c>
      <c r="T40">
        <v>1001</v>
      </c>
      <c r="U40">
        <v>55</v>
      </c>
      <c r="V40" s="8" t="s">
        <v>33</v>
      </c>
      <c r="W40" t="s">
        <v>34</v>
      </c>
      <c r="X40" t="s">
        <v>41</v>
      </c>
      <c r="Z40" t="str">
        <f t="shared" si="0"/>
        <v>MS</v>
      </c>
      <c r="AA40" s="8"/>
      <c r="AB40">
        <f t="array" ref="AB40">_xlfn._xlws.FILTER(Projets!I$2:I$823,(Projets!A$2:A$823=A40), "")</f>
        <v>1824.95</v>
      </c>
    </row>
    <row r="41" spans="1:28" x14ac:dyDescent="0.25">
      <c r="A41" s="1" t="s">
        <v>193</v>
      </c>
      <c r="B41" s="2">
        <v>41796</v>
      </c>
      <c r="C41" t="s">
        <v>194</v>
      </c>
      <c r="D41" s="1" t="s">
        <v>30</v>
      </c>
      <c r="E41" t="s">
        <v>109</v>
      </c>
      <c r="F41" t="s">
        <v>195</v>
      </c>
      <c r="G41" t="s">
        <v>196</v>
      </c>
      <c r="I41">
        <v>2</v>
      </c>
      <c r="J41">
        <v>16</v>
      </c>
      <c r="K41">
        <v>6</v>
      </c>
      <c r="L41">
        <v>0.87</v>
      </c>
      <c r="M41">
        <v>14</v>
      </c>
      <c r="N41">
        <v>126</v>
      </c>
      <c r="O41">
        <v>290</v>
      </c>
      <c r="P41">
        <v>174</v>
      </c>
      <c r="Q41">
        <v>14</v>
      </c>
      <c r="R41">
        <v>168</v>
      </c>
      <c r="S41" t="s">
        <v>197</v>
      </c>
      <c r="T41">
        <v>7215</v>
      </c>
      <c r="U41">
        <v>54</v>
      </c>
      <c r="V41" s="8" t="s">
        <v>33</v>
      </c>
      <c r="W41" t="s">
        <v>34</v>
      </c>
      <c r="X41" t="s">
        <v>41</v>
      </c>
      <c r="Z41" t="str">
        <f t="shared" si="0"/>
        <v>MS</v>
      </c>
      <c r="AA41" s="8"/>
      <c r="AB41">
        <f t="array" ref="AB41">_xlfn._xlws.FILTER(Projets!I$2:I$823,(Projets!A$2:A$823=A41), "")</f>
        <v>328.15</v>
      </c>
    </row>
    <row r="42" spans="1:28" x14ac:dyDescent="0.25">
      <c r="A42" s="1" t="s">
        <v>198</v>
      </c>
      <c r="B42" s="2">
        <v>41837</v>
      </c>
      <c r="C42" t="s">
        <v>199</v>
      </c>
      <c r="D42" s="1" t="s">
        <v>30</v>
      </c>
      <c r="E42" t="s">
        <v>179</v>
      </c>
      <c r="F42" t="s">
        <v>179</v>
      </c>
      <c r="G42" t="s">
        <v>180</v>
      </c>
      <c r="H42" t="s">
        <v>200</v>
      </c>
      <c r="I42">
        <v>1</v>
      </c>
      <c r="J42">
        <v>3.4</v>
      </c>
      <c r="K42">
        <v>6.6</v>
      </c>
      <c r="L42">
        <v>0.78</v>
      </c>
      <c r="M42">
        <v>50</v>
      </c>
      <c r="N42">
        <v>500</v>
      </c>
      <c r="O42">
        <v>125</v>
      </c>
      <c r="P42">
        <v>112</v>
      </c>
      <c r="Q42">
        <v>12</v>
      </c>
      <c r="R42">
        <v>108</v>
      </c>
      <c r="S42">
        <v>666</v>
      </c>
      <c r="T42">
        <v>1001</v>
      </c>
      <c r="U42">
        <v>55</v>
      </c>
      <c r="V42" s="8" t="s">
        <v>33</v>
      </c>
      <c r="W42" t="s">
        <v>34</v>
      </c>
      <c r="X42" t="s">
        <v>41</v>
      </c>
      <c r="Z42" t="str">
        <f t="shared" si="0"/>
        <v>MS</v>
      </c>
      <c r="AA42" s="8"/>
      <c r="AB42">
        <f t="array" ref="AB42">_xlfn._xlws.FILTER(Projets!I$2:I$823,(Projets!A$2:A$823=A42), "")</f>
        <v>6</v>
      </c>
    </row>
    <row r="43" spans="1:28" x14ac:dyDescent="0.25">
      <c r="A43" s="1" t="s">
        <v>201</v>
      </c>
      <c r="B43" s="2">
        <v>41870</v>
      </c>
      <c r="C43" t="s">
        <v>202</v>
      </c>
      <c r="D43" s="1" t="s">
        <v>30</v>
      </c>
      <c r="E43" t="s">
        <v>203</v>
      </c>
      <c r="F43" t="s">
        <v>203</v>
      </c>
      <c r="G43" t="s">
        <v>204</v>
      </c>
      <c r="H43" t="s">
        <v>205</v>
      </c>
      <c r="I43">
        <v>1</v>
      </c>
      <c r="J43">
        <v>1.25</v>
      </c>
      <c r="K43">
        <v>5.5</v>
      </c>
      <c r="L43">
        <v>0.87</v>
      </c>
      <c r="M43">
        <v>50</v>
      </c>
      <c r="N43">
        <v>1500</v>
      </c>
      <c r="O43">
        <v>51</v>
      </c>
      <c r="P43">
        <v>70</v>
      </c>
      <c r="Q43">
        <v>4</v>
      </c>
      <c r="R43">
        <v>72</v>
      </c>
      <c r="S43" t="s">
        <v>49</v>
      </c>
      <c r="T43">
        <v>1001</v>
      </c>
      <c r="U43">
        <v>55</v>
      </c>
      <c r="V43" s="8" t="s">
        <v>33</v>
      </c>
      <c r="W43" t="s">
        <v>34</v>
      </c>
      <c r="X43" t="s">
        <v>41</v>
      </c>
      <c r="Z43" t="str">
        <f t="shared" si="0"/>
        <v>MS</v>
      </c>
      <c r="AA43" s="8"/>
      <c r="AB43">
        <f t="array" ref="AB43">_xlfn._xlws.FILTER(Projets!I$2:I$823,(Projets!A$2:A$823=A43), "")</f>
        <v>481.55</v>
      </c>
    </row>
    <row r="44" spans="1:28" x14ac:dyDescent="0.25">
      <c r="A44" s="1" t="s">
        <v>206</v>
      </c>
      <c r="B44" s="2">
        <v>41893</v>
      </c>
      <c r="C44" t="s">
        <v>207</v>
      </c>
      <c r="D44" s="1" t="s">
        <v>30</v>
      </c>
      <c r="E44" t="s">
        <v>208</v>
      </c>
      <c r="F44" t="s">
        <v>209</v>
      </c>
      <c r="G44" t="s">
        <v>210</v>
      </c>
      <c r="H44" t="s">
        <v>211</v>
      </c>
      <c r="I44">
        <v>3</v>
      </c>
      <c r="J44">
        <v>0.6</v>
      </c>
      <c r="K44">
        <v>3.3</v>
      </c>
      <c r="L44">
        <v>0.87</v>
      </c>
      <c r="M44">
        <v>50</v>
      </c>
      <c r="N44">
        <v>3000</v>
      </c>
      <c r="O44">
        <v>40</v>
      </c>
      <c r="P44">
        <v>45</v>
      </c>
      <c r="Q44">
        <v>2</v>
      </c>
      <c r="R44">
        <v>54</v>
      </c>
      <c r="S44" t="s">
        <v>49</v>
      </c>
      <c r="T44">
        <v>1001</v>
      </c>
      <c r="U44">
        <v>55</v>
      </c>
      <c r="V44" s="8" t="s">
        <v>212</v>
      </c>
      <c r="W44" t="s">
        <v>34</v>
      </c>
      <c r="X44" t="s">
        <v>41</v>
      </c>
      <c r="Z44" t="str">
        <f t="shared" si="0"/>
        <v>MS</v>
      </c>
      <c r="AA44" s="8"/>
      <c r="AB44">
        <f t="array" ref="AB44">_xlfn._xlws.FILTER(Projets!I$2:I$823,(Projets!A$2:A$823=A44), "")</f>
        <v>297.39999999999998</v>
      </c>
    </row>
    <row r="45" spans="1:28" x14ac:dyDescent="0.25">
      <c r="A45" s="1" t="s">
        <v>213</v>
      </c>
      <c r="B45" s="2">
        <v>41971</v>
      </c>
      <c r="C45" t="s">
        <v>214</v>
      </c>
      <c r="D45" s="1" t="s">
        <v>30</v>
      </c>
      <c r="E45" t="s">
        <v>215</v>
      </c>
      <c r="F45" t="s">
        <v>216</v>
      </c>
      <c r="G45" t="s">
        <v>217</v>
      </c>
      <c r="I45">
        <v>4</v>
      </c>
      <c r="J45">
        <v>3</v>
      </c>
      <c r="K45">
        <v>11</v>
      </c>
      <c r="L45">
        <v>0.80300000000000005</v>
      </c>
      <c r="M45">
        <v>60</v>
      </c>
      <c r="N45">
        <v>720</v>
      </c>
      <c r="O45">
        <v>84</v>
      </c>
      <c r="P45">
        <v>129</v>
      </c>
      <c r="Q45">
        <v>10</v>
      </c>
      <c r="R45">
        <v>90</v>
      </c>
      <c r="S45">
        <v>1</v>
      </c>
      <c r="T45">
        <v>3011</v>
      </c>
      <c r="U45">
        <v>23</v>
      </c>
      <c r="V45" s="8" t="s">
        <v>33</v>
      </c>
      <c r="W45" t="s">
        <v>34</v>
      </c>
      <c r="X45" t="s">
        <v>41</v>
      </c>
      <c r="Z45" t="str">
        <f t="shared" si="0"/>
        <v>MS</v>
      </c>
      <c r="AA45" s="8"/>
      <c r="AB45">
        <f t="array" ref="AB45">_xlfn._xlws.FILTER(Projets!I$2:I$823,(Projets!A$2:A$823=A45), "")</f>
        <v>1232.21</v>
      </c>
    </row>
    <row r="46" spans="1:28" x14ac:dyDescent="0.25">
      <c r="A46" s="1" t="s">
        <v>218</v>
      </c>
      <c r="B46" s="2">
        <v>42032</v>
      </c>
      <c r="C46" t="s">
        <v>219</v>
      </c>
      <c r="D46" s="1" t="s">
        <v>145</v>
      </c>
      <c r="E46" t="s">
        <v>220</v>
      </c>
      <c r="F46" t="s">
        <v>221</v>
      </c>
      <c r="G46" t="s">
        <v>222</v>
      </c>
      <c r="H46" t="s">
        <v>121</v>
      </c>
      <c r="I46">
        <v>1</v>
      </c>
      <c r="J46">
        <v>4.12</v>
      </c>
      <c r="K46">
        <v>11</v>
      </c>
      <c r="L46">
        <v>0.84</v>
      </c>
      <c r="M46">
        <v>50</v>
      </c>
      <c r="N46">
        <v>600</v>
      </c>
      <c r="O46">
        <v>124</v>
      </c>
      <c r="P46">
        <v>124</v>
      </c>
      <c r="Q46">
        <v>10</v>
      </c>
      <c r="R46">
        <v>120</v>
      </c>
      <c r="S46" t="s">
        <v>49</v>
      </c>
      <c r="T46">
        <v>1001</v>
      </c>
      <c r="U46">
        <v>55</v>
      </c>
      <c r="V46" s="8" t="s">
        <v>33</v>
      </c>
      <c r="W46" t="s">
        <v>34</v>
      </c>
      <c r="X46" t="s">
        <v>41</v>
      </c>
      <c r="Z46" t="str">
        <f t="shared" si="0"/>
        <v>MS</v>
      </c>
      <c r="AA46" s="8"/>
      <c r="AB46">
        <f t="array" ref="AB46">_xlfn._xlws.FILTER(Projets!I$2:I$823,(Projets!A$2:A$823=A46), "")</f>
        <v>268.14999999999998</v>
      </c>
    </row>
    <row r="47" spans="1:28" x14ac:dyDescent="0.25">
      <c r="A47" s="1" t="s">
        <v>218</v>
      </c>
      <c r="B47" s="2">
        <v>42032</v>
      </c>
      <c r="C47" t="s">
        <v>223</v>
      </c>
      <c r="D47" s="1" t="s">
        <v>30</v>
      </c>
      <c r="E47" t="s">
        <v>220</v>
      </c>
      <c r="F47" t="s">
        <v>221</v>
      </c>
      <c r="G47" t="s">
        <v>224</v>
      </c>
      <c r="H47" t="s">
        <v>121</v>
      </c>
      <c r="I47">
        <v>2</v>
      </c>
      <c r="J47">
        <v>1.77</v>
      </c>
      <c r="K47">
        <v>11</v>
      </c>
      <c r="L47">
        <v>0.79</v>
      </c>
      <c r="M47">
        <v>50</v>
      </c>
      <c r="N47">
        <v>500</v>
      </c>
      <c r="O47">
        <v>96</v>
      </c>
      <c r="P47">
        <v>119</v>
      </c>
      <c r="Q47">
        <v>12</v>
      </c>
      <c r="R47">
        <v>108</v>
      </c>
      <c r="S47" t="s">
        <v>49</v>
      </c>
      <c r="T47">
        <v>3011</v>
      </c>
      <c r="U47">
        <v>55</v>
      </c>
      <c r="V47" s="8" t="s">
        <v>33</v>
      </c>
      <c r="W47" t="s">
        <v>34</v>
      </c>
      <c r="X47" t="s">
        <v>41</v>
      </c>
      <c r="Z47" t="str">
        <f t="shared" si="0"/>
        <v>MS</v>
      </c>
      <c r="AA47" s="8"/>
      <c r="AB47">
        <f t="array" ref="AB47">_xlfn._xlws.FILTER(Projets!I$2:I$823,(Projets!A$2:A$823=A47), "")</f>
        <v>268.14999999999998</v>
      </c>
    </row>
    <row r="48" spans="1:28" x14ac:dyDescent="0.25">
      <c r="A48" s="1" t="s">
        <v>225</v>
      </c>
      <c r="B48" s="2">
        <v>42047</v>
      </c>
      <c r="C48" t="s">
        <v>226</v>
      </c>
      <c r="D48" s="1" t="s">
        <v>30</v>
      </c>
      <c r="E48" t="s">
        <v>227</v>
      </c>
      <c r="F48" t="s">
        <v>227</v>
      </c>
      <c r="G48" t="s">
        <v>228</v>
      </c>
      <c r="I48">
        <v>1</v>
      </c>
      <c r="J48">
        <v>4.2</v>
      </c>
      <c r="K48">
        <v>10</v>
      </c>
      <c r="L48">
        <v>0.86</v>
      </c>
      <c r="M48">
        <v>50</v>
      </c>
      <c r="N48">
        <v>600</v>
      </c>
      <c r="O48">
        <v>109</v>
      </c>
      <c r="P48">
        <v>119</v>
      </c>
      <c r="Q48">
        <v>10</v>
      </c>
      <c r="R48">
        <v>90</v>
      </c>
      <c r="S48" t="s">
        <v>156</v>
      </c>
      <c r="T48">
        <v>1001</v>
      </c>
      <c r="U48">
        <v>54</v>
      </c>
      <c r="V48" s="8" t="s">
        <v>33</v>
      </c>
      <c r="W48" t="s">
        <v>34</v>
      </c>
      <c r="X48" t="s">
        <v>41</v>
      </c>
      <c r="Z48" t="str">
        <f t="shared" si="0"/>
        <v>MS</v>
      </c>
      <c r="AA48" s="8"/>
      <c r="AB48">
        <f t="array" ref="AB48">_xlfn._xlws.FILTER(Projets!I$2:I$823,(Projets!A$2:A$823=A48), "")</f>
        <v>834.85</v>
      </c>
    </row>
    <row r="49" spans="1:28" x14ac:dyDescent="0.25">
      <c r="A49" s="1" t="s">
        <v>229</v>
      </c>
      <c r="B49" s="2">
        <v>42065</v>
      </c>
      <c r="C49" t="s">
        <v>230</v>
      </c>
      <c r="D49" s="1" t="s">
        <v>30</v>
      </c>
      <c r="E49" t="s">
        <v>231</v>
      </c>
      <c r="F49" t="s">
        <v>232</v>
      </c>
      <c r="G49" t="s">
        <v>233</v>
      </c>
      <c r="I49">
        <v>1</v>
      </c>
      <c r="J49">
        <v>1</v>
      </c>
      <c r="K49">
        <v>6</v>
      </c>
      <c r="L49">
        <v>1</v>
      </c>
      <c r="M49">
        <v>50</v>
      </c>
      <c r="N49">
        <v>1500</v>
      </c>
      <c r="O49">
        <v>52</v>
      </c>
      <c r="P49">
        <v>35</v>
      </c>
      <c r="Q49">
        <v>4</v>
      </c>
      <c r="R49">
        <v>72</v>
      </c>
      <c r="S49">
        <v>151</v>
      </c>
      <c r="T49">
        <v>1001</v>
      </c>
      <c r="U49">
        <v>55</v>
      </c>
      <c r="V49" s="8" t="s">
        <v>33</v>
      </c>
      <c r="W49" t="s">
        <v>34</v>
      </c>
      <c r="X49" t="s">
        <v>41</v>
      </c>
      <c r="Z49" t="str">
        <f t="shared" si="0"/>
        <v>MS</v>
      </c>
      <c r="AA49" s="8"/>
      <c r="AB49">
        <f t="array" ref="AB49">_xlfn._xlws.FILTER(Projets!I$2:I$823,(Projets!A$2:A$823=A49), "")</f>
        <v>364.85</v>
      </c>
    </row>
    <row r="50" spans="1:28" x14ac:dyDescent="0.25">
      <c r="A50" s="1" t="s">
        <v>234</v>
      </c>
      <c r="B50" s="2">
        <v>42104</v>
      </c>
      <c r="C50" t="s">
        <v>235</v>
      </c>
      <c r="D50" s="1" t="s">
        <v>30</v>
      </c>
      <c r="E50" t="s">
        <v>236</v>
      </c>
      <c r="F50" t="s">
        <v>237</v>
      </c>
      <c r="G50" t="s">
        <v>238</v>
      </c>
      <c r="H50" t="s">
        <v>60</v>
      </c>
      <c r="I50">
        <v>1</v>
      </c>
      <c r="J50">
        <v>2.2400000000000002</v>
      </c>
      <c r="K50">
        <v>5.5</v>
      </c>
      <c r="L50">
        <v>0.87</v>
      </c>
      <c r="M50">
        <v>50</v>
      </c>
      <c r="N50">
        <v>1500</v>
      </c>
      <c r="O50">
        <v>58</v>
      </c>
      <c r="P50">
        <v>79</v>
      </c>
      <c r="Q50">
        <v>4</v>
      </c>
      <c r="R50">
        <v>72</v>
      </c>
      <c r="S50" t="s">
        <v>156</v>
      </c>
      <c r="T50">
        <v>1001</v>
      </c>
      <c r="U50">
        <v>55</v>
      </c>
      <c r="V50" s="8" t="s">
        <v>33</v>
      </c>
      <c r="W50" t="s">
        <v>34</v>
      </c>
      <c r="X50" t="s">
        <v>41</v>
      </c>
      <c r="Z50" t="str">
        <f t="shared" si="0"/>
        <v>MS</v>
      </c>
      <c r="AA50" s="8"/>
      <c r="AB50">
        <f t="array" ref="AB50">_xlfn._xlws.FILTER(Projets!I$2:I$823,(Projets!A$2:A$823=A50), "")</f>
        <v>106.4</v>
      </c>
    </row>
    <row r="51" spans="1:28" x14ac:dyDescent="0.25">
      <c r="A51" s="1" t="s">
        <v>239</v>
      </c>
      <c r="B51" s="2">
        <v>42153</v>
      </c>
      <c r="C51" t="s">
        <v>240</v>
      </c>
      <c r="D51" s="1" t="s">
        <v>30</v>
      </c>
      <c r="E51" t="s">
        <v>241</v>
      </c>
      <c r="F51" t="s">
        <v>242</v>
      </c>
      <c r="G51" t="s">
        <v>243</v>
      </c>
      <c r="I51">
        <v>2</v>
      </c>
      <c r="J51">
        <v>1</v>
      </c>
      <c r="K51">
        <v>5</v>
      </c>
      <c r="L51">
        <v>0.88</v>
      </c>
      <c r="M51">
        <v>50</v>
      </c>
      <c r="N51">
        <v>1000</v>
      </c>
      <c r="O51">
        <v>51</v>
      </c>
      <c r="P51">
        <v>77</v>
      </c>
      <c r="Q51">
        <v>6</v>
      </c>
      <c r="R51">
        <v>72</v>
      </c>
      <c r="S51" t="s">
        <v>69</v>
      </c>
      <c r="T51">
        <v>3011</v>
      </c>
      <c r="U51">
        <v>23</v>
      </c>
      <c r="V51" s="8" t="s">
        <v>33</v>
      </c>
      <c r="W51" t="s">
        <v>34</v>
      </c>
      <c r="X51" t="s">
        <v>41</v>
      </c>
      <c r="Z51" t="str">
        <f t="shared" si="0"/>
        <v>MS</v>
      </c>
      <c r="AA51" s="8"/>
      <c r="AB51">
        <f t="array" ref="AB51">_xlfn._xlws.FILTER(Projets!I$2:I$823,(Projets!A$2:A$823=A51), "")</f>
        <v>61.8</v>
      </c>
    </row>
    <row r="52" spans="1:28" x14ac:dyDescent="0.25">
      <c r="A52" s="1" t="s">
        <v>244</v>
      </c>
      <c r="B52" s="2">
        <v>42159</v>
      </c>
      <c r="C52" t="s">
        <v>245</v>
      </c>
      <c r="D52" s="1" t="s">
        <v>30</v>
      </c>
      <c r="E52" t="s">
        <v>169</v>
      </c>
      <c r="F52" t="s">
        <v>38</v>
      </c>
      <c r="G52" t="s">
        <v>246</v>
      </c>
      <c r="I52">
        <v>4</v>
      </c>
      <c r="J52">
        <v>1</v>
      </c>
      <c r="K52">
        <v>6</v>
      </c>
      <c r="L52">
        <v>0.9</v>
      </c>
      <c r="M52">
        <v>50</v>
      </c>
      <c r="N52">
        <v>3000</v>
      </c>
      <c r="O52">
        <v>34</v>
      </c>
      <c r="P52">
        <v>42</v>
      </c>
      <c r="Q52">
        <v>2</v>
      </c>
      <c r="R52">
        <v>48</v>
      </c>
      <c r="S52" t="s">
        <v>156</v>
      </c>
      <c r="T52">
        <v>1001</v>
      </c>
      <c r="U52">
        <v>55</v>
      </c>
      <c r="V52" s="8" t="s">
        <v>33</v>
      </c>
      <c r="W52" t="s">
        <v>34</v>
      </c>
      <c r="X52" t="s">
        <v>41</v>
      </c>
      <c r="Z52" t="str">
        <f t="shared" si="0"/>
        <v>MS</v>
      </c>
      <c r="AA52" s="8"/>
      <c r="AB52">
        <f t="array" ref="AB52">_xlfn._xlws.FILTER(Projets!I$2:I$823,(Projets!A$2:A$823=A52), "")</f>
        <v>1157.5999999999999</v>
      </c>
    </row>
    <row r="53" spans="1:28" x14ac:dyDescent="0.25">
      <c r="A53" s="1" t="s">
        <v>247</v>
      </c>
      <c r="B53" s="2">
        <v>42283</v>
      </c>
      <c r="C53" t="s">
        <v>248</v>
      </c>
      <c r="D53" s="1" t="s">
        <v>30</v>
      </c>
      <c r="E53" t="s">
        <v>52</v>
      </c>
      <c r="F53" t="s">
        <v>164</v>
      </c>
      <c r="G53" t="s">
        <v>233</v>
      </c>
      <c r="H53" t="s">
        <v>55</v>
      </c>
      <c r="I53">
        <v>1</v>
      </c>
      <c r="J53">
        <v>1</v>
      </c>
      <c r="K53">
        <v>6</v>
      </c>
      <c r="L53">
        <v>1</v>
      </c>
      <c r="M53">
        <v>50</v>
      </c>
      <c r="N53">
        <v>1500</v>
      </c>
      <c r="O53">
        <v>52</v>
      </c>
      <c r="P53">
        <v>36</v>
      </c>
      <c r="Q53">
        <v>4</v>
      </c>
      <c r="R53">
        <v>72</v>
      </c>
      <c r="S53">
        <v>151</v>
      </c>
      <c r="T53">
        <v>1001</v>
      </c>
      <c r="U53">
        <v>55</v>
      </c>
      <c r="V53" s="8" t="s">
        <v>33</v>
      </c>
      <c r="W53" t="s">
        <v>34</v>
      </c>
      <c r="X53" t="s">
        <v>41</v>
      </c>
      <c r="Z53" t="str">
        <f t="shared" si="0"/>
        <v>MS</v>
      </c>
      <c r="AA53" s="8"/>
      <c r="AB53">
        <f t="array" ref="AB53">_xlfn._xlws.FILTER(Projets!I$2:I$823,(Projets!A$2:A$823=A53), "")</f>
        <v>48</v>
      </c>
    </row>
    <row r="54" spans="1:28" x14ac:dyDescent="0.25">
      <c r="A54" s="1" t="s">
        <v>249</v>
      </c>
      <c r="B54" s="2">
        <v>42250</v>
      </c>
      <c r="C54" t="s">
        <v>250</v>
      </c>
      <c r="D54" s="1" t="s">
        <v>30</v>
      </c>
      <c r="E54" t="s">
        <v>251</v>
      </c>
      <c r="F54" t="s">
        <v>252</v>
      </c>
      <c r="G54" t="s">
        <v>253</v>
      </c>
      <c r="I54">
        <v>1</v>
      </c>
      <c r="J54">
        <v>1</v>
      </c>
      <c r="K54">
        <v>13</v>
      </c>
      <c r="L54">
        <v>1</v>
      </c>
      <c r="M54">
        <v>60</v>
      </c>
      <c r="N54">
        <v>720</v>
      </c>
      <c r="O54">
        <v>72</v>
      </c>
      <c r="P54">
        <v>100</v>
      </c>
      <c r="Q54">
        <v>10</v>
      </c>
      <c r="R54">
        <v>90</v>
      </c>
      <c r="S54">
        <v>161</v>
      </c>
      <c r="T54">
        <v>1001</v>
      </c>
      <c r="U54">
        <v>54</v>
      </c>
      <c r="V54" s="8" t="s">
        <v>33</v>
      </c>
      <c r="W54" t="s">
        <v>34</v>
      </c>
      <c r="X54" t="s">
        <v>41</v>
      </c>
      <c r="Z54" t="str">
        <f t="shared" si="0"/>
        <v>MS</v>
      </c>
      <c r="AA54" s="8"/>
      <c r="AB54">
        <f t="array" ref="AB54">_xlfn._xlws.FILTER(Projets!I$2:I$823,(Projets!A$2:A$823=A54), "")</f>
        <v>266.7</v>
      </c>
    </row>
    <row r="55" spans="1:28" x14ac:dyDescent="0.25">
      <c r="A55" s="1" t="s">
        <v>254</v>
      </c>
      <c r="B55" s="2">
        <v>42279</v>
      </c>
      <c r="C55" t="s">
        <v>255</v>
      </c>
      <c r="D55" s="1" t="s">
        <v>145</v>
      </c>
      <c r="E55" t="s">
        <v>256</v>
      </c>
      <c r="F55" t="s">
        <v>242</v>
      </c>
      <c r="G55" t="s">
        <v>257</v>
      </c>
      <c r="I55">
        <v>1</v>
      </c>
      <c r="J55">
        <v>0.71</v>
      </c>
      <c r="K55">
        <v>5.5</v>
      </c>
      <c r="L55">
        <v>0.84</v>
      </c>
      <c r="M55">
        <v>50</v>
      </c>
      <c r="N55">
        <v>1000</v>
      </c>
      <c r="O55">
        <v>47</v>
      </c>
      <c r="P55">
        <v>78</v>
      </c>
      <c r="Q55">
        <v>6</v>
      </c>
      <c r="R55">
        <v>54</v>
      </c>
      <c r="S55" t="s">
        <v>49</v>
      </c>
      <c r="T55">
        <v>1001</v>
      </c>
      <c r="U55">
        <v>55</v>
      </c>
      <c r="V55" s="8" t="s">
        <v>33</v>
      </c>
      <c r="W55" t="s">
        <v>34</v>
      </c>
      <c r="X55" t="s">
        <v>41</v>
      </c>
      <c r="Z55" t="str">
        <f t="shared" si="0"/>
        <v>MS</v>
      </c>
      <c r="AA55" s="8"/>
      <c r="AB55">
        <f t="array" ref="AB55">_xlfn._xlws.FILTER(Projets!I$2:I$823,(Projets!A$2:A$823=A55), "")</f>
        <v>22.3</v>
      </c>
    </row>
    <row r="56" spans="1:28" x14ac:dyDescent="0.25">
      <c r="A56" s="1" t="s">
        <v>254</v>
      </c>
      <c r="B56" s="2">
        <v>42279</v>
      </c>
      <c r="C56" t="s">
        <v>255</v>
      </c>
      <c r="D56" s="1" t="s">
        <v>30</v>
      </c>
      <c r="E56" t="s">
        <v>256</v>
      </c>
      <c r="F56" t="s">
        <v>242</v>
      </c>
      <c r="G56" t="s">
        <v>258</v>
      </c>
      <c r="I56">
        <v>5</v>
      </c>
      <c r="J56">
        <v>0.71</v>
      </c>
      <c r="K56">
        <v>5.5</v>
      </c>
      <c r="L56">
        <v>0.84</v>
      </c>
      <c r="M56">
        <v>50</v>
      </c>
      <c r="N56">
        <v>1000</v>
      </c>
      <c r="O56">
        <v>56</v>
      </c>
      <c r="P56">
        <v>60</v>
      </c>
      <c r="Q56">
        <v>6</v>
      </c>
      <c r="R56">
        <v>72</v>
      </c>
      <c r="S56" t="s">
        <v>49</v>
      </c>
      <c r="T56">
        <v>1001</v>
      </c>
      <c r="U56">
        <v>55</v>
      </c>
      <c r="V56" s="8" t="s">
        <v>33</v>
      </c>
      <c r="W56" t="s">
        <v>34</v>
      </c>
      <c r="X56" t="s">
        <v>41</v>
      </c>
      <c r="Z56" t="str">
        <f t="shared" si="0"/>
        <v>MS</v>
      </c>
      <c r="AA56" s="8"/>
      <c r="AB56">
        <f t="array" ref="AB56">_xlfn._xlws.FILTER(Projets!I$2:I$823,(Projets!A$2:A$823=A56), "")</f>
        <v>22.3</v>
      </c>
    </row>
    <row r="57" spans="1:28" x14ac:dyDescent="0.25">
      <c r="A57" s="1" t="s">
        <v>259</v>
      </c>
      <c r="B57" s="2">
        <v>42426</v>
      </c>
      <c r="C57" t="s">
        <v>260</v>
      </c>
      <c r="D57" s="1" t="s">
        <v>30</v>
      </c>
      <c r="E57" t="s">
        <v>78</v>
      </c>
      <c r="F57" t="s">
        <v>209</v>
      </c>
      <c r="G57" t="s">
        <v>261</v>
      </c>
      <c r="H57" t="s">
        <v>262</v>
      </c>
      <c r="I57">
        <v>2</v>
      </c>
      <c r="J57">
        <v>0.51</v>
      </c>
      <c r="K57">
        <v>3.3</v>
      </c>
      <c r="L57">
        <v>0.92</v>
      </c>
      <c r="M57">
        <v>50</v>
      </c>
      <c r="N57">
        <v>3000</v>
      </c>
      <c r="O57">
        <v>40</v>
      </c>
      <c r="P57">
        <v>45</v>
      </c>
      <c r="Q57">
        <v>2</v>
      </c>
      <c r="R57">
        <v>54</v>
      </c>
      <c r="S57">
        <v>611</v>
      </c>
      <c r="T57">
        <v>1001</v>
      </c>
      <c r="U57">
        <v>55</v>
      </c>
      <c r="V57" s="8" t="s">
        <v>33</v>
      </c>
      <c r="W57" t="s">
        <v>34</v>
      </c>
      <c r="X57" t="s">
        <v>41</v>
      </c>
      <c r="Z57" t="str">
        <f t="shared" si="0"/>
        <v>MS</v>
      </c>
      <c r="AA57" s="8"/>
      <c r="AB57">
        <f t="array" ref="AB57">_xlfn._xlws.FILTER(Projets!I$2:I$823,(Projets!A$2:A$823=A57), "")</f>
        <v>1004.85</v>
      </c>
    </row>
    <row r="58" spans="1:28" x14ac:dyDescent="0.25">
      <c r="A58" s="1" t="s">
        <v>263</v>
      </c>
      <c r="B58" s="2">
        <v>42430</v>
      </c>
      <c r="C58" t="s">
        <v>264</v>
      </c>
      <c r="D58" s="1" t="s">
        <v>187</v>
      </c>
      <c r="E58" t="s">
        <v>265</v>
      </c>
      <c r="F58" t="s">
        <v>265</v>
      </c>
      <c r="G58" t="s">
        <v>266</v>
      </c>
      <c r="H58" t="s">
        <v>267</v>
      </c>
      <c r="I58">
        <v>6</v>
      </c>
      <c r="J58">
        <v>1</v>
      </c>
      <c r="K58">
        <v>6</v>
      </c>
      <c r="L58">
        <v>0.9</v>
      </c>
      <c r="M58">
        <v>50</v>
      </c>
      <c r="N58">
        <v>1000</v>
      </c>
      <c r="O58">
        <v>57</v>
      </c>
      <c r="P58">
        <v>76</v>
      </c>
      <c r="Q58">
        <v>6</v>
      </c>
      <c r="R58">
        <v>72</v>
      </c>
      <c r="S58" t="s">
        <v>49</v>
      </c>
      <c r="T58">
        <v>1001</v>
      </c>
      <c r="U58">
        <v>55</v>
      </c>
      <c r="V58" s="8" t="s">
        <v>130</v>
      </c>
      <c r="W58" t="s">
        <v>34</v>
      </c>
      <c r="X58" t="s">
        <v>41</v>
      </c>
      <c r="Z58" t="str">
        <f t="shared" si="0"/>
        <v>MS</v>
      </c>
      <c r="AA58" s="8"/>
      <c r="AB58">
        <f t="array" ref="AB58">_xlfn._xlws.FILTER(Projets!I$2:I$823,(Projets!A$2:A$823=A58), "")</f>
        <v>2</v>
      </c>
    </row>
    <row r="59" spans="1:28" x14ac:dyDescent="0.25">
      <c r="A59" s="1" t="s">
        <v>263</v>
      </c>
      <c r="B59" s="2">
        <v>42430</v>
      </c>
      <c r="C59" t="s">
        <v>264</v>
      </c>
      <c r="D59" s="1" t="s">
        <v>145</v>
      </c>
      <c r="E59" t="s">
        <v>265</v>
      </c>
      <c r="F59" t="s">
        <v>265</v>
      </c>
      <c r="G59" t="s">
        <v>268</v>
      </c>
      <c r="H59" t="s">
        <v>267</v>
      </c>
      <c r="I59">
        <v>4</v>
      </c>
      <c r="J59">
        <v>1</v>
      </c>
      <c r="K59">
        <v>6</v>
      </c>
      <c r="L59">
        <v>0.9</v>
      </c>
      <c r="M59">
        <v>50</v>
      </c>
      <c r="N59">
        <v>1500</v>
      </c>
      <c r="O59">
        <v>50</v>
      </c>
      <c r="P59">
        <v>62</v>
      </c>
      <c r="Q59">
        <v>4</v>
      </c>
      <c r="R59">
        <v>56</v>
      </c>
      <c r="S59" t="s">
        <v>49</v>
      </c>
      <c r="T59">
        <v>1001</v>
      </c>
      <c r="U59">
        <v>55</v>
      </c>
      <c r="V59" s="8" t="s">
        <v>130</v>
      </c>
      <c r="W59" t="s">
        <v>34</v>
      </c>
      <c r="X59" t="s">
        <v>41</v>
      </c>
      <c r="Z59" t="str">
        <f t="shared" si="0"/>
        <v>MS</v>
      </c>
      <c r="AA59" s="8"/>
      <c r="AB59">
        <f t="array" ref="AB59">_xlfn._xlws.FILTER(Projets!I$2:I$823,(Projets!A$2:A$823=A59), "")</f>
        <v>2</v>
      </c>
    </row>
    <row r="60" spans="1:28" x14ac:dyDescent="0.25">
      <c r="A60" s="1" t="s">
        <v>263</v>
      </c>
      <c r="B60" s="2">
        <v>42430</v>
      </c>
      <c r="C60" t="s">
        <v>264</v>
      </c>
      <c r="D60" s="1" t="s">
        <v>30</v>
      </c>
      <c r="E60" t="s">
        <v>265</v>
      </c>
      <c r="F60" t="s">
        <v>265</v>
      </c>
      <c r="G60" t="s">
        <v>269</v>
      </c>
      <c r="H60" t="s">
        <v>267</v>
      </c>
      <c r="I60">
        <v>2</v>
      </c>
      <c r="J60">
        <v>1</v>
      </c>
      <c r="K60">
        <v>6</v>
      </c>
      <c r="L60">
        <v>0.9</v>
      </c>
      <c r="M60">
        <v>50</v>
      </c>
      <c r="N60">
        <v>1500</v>
      </c>
      <c r="O60">
        <v>40</v>
      </c>
      <c r="P60">
        <v>56</v>
      </c>
      <c r="Q60">
        <v>4</v>
      </c>
      <c r="R60">
        <v>48</v>
      </c>
      <c r="S60" t="s">
        <v>49</v>
      </c>
      <c r="T60">
        <v>1001</v>
      </c>
      <c r="U60">
        <v>55</v>
      </c>
      <c r="V60" s="8" t="s">
        <v>130</v>
      </c>
      <c r="W60" t="s">
        <v>34</v>
      </c>
      <c r="X60" t="s">
        <v>41</v>
      </c>
      <c r="Z60" t="str">
        <f t="shared" si="0"/>
        <v>MS</v>
      </c>
      <c r="AA60" s="8"/>
      <c r="AB60">
        <f t="array" ref="AB60">_xlfn._xlws.FILTER(Projets!I$2:I$823,(Projets!A$2:A$823=A60), "")</f>
        <v>2</v>
      </c>
    </row>
    <row r="61" spans="1:28" x14ac:dyDescent="0.25">
      <c r="A61" s="1" t="s">
        <v>270</v>
      </c>
      <c r="B61" s="2">
        <v>42450</v>
      </c>
      <c r="C61" t="s">
        <v>271</v>
      </c>
      <c r="D61" s="1" t="s">
        <v>30</v>
      </c>
      <c r="E61" t="s">
        <v>272</v>
      </c>
      <c r="F61" t="s">
        <v>272</v>
      </c>
      <c r="G61" t="s">
        <v>273</v>
      </c>
      <c r="H61" t="s">
        <v>274</v>
      </c>
      <c r="I61">
        <v>1</v>
      </c>
      <c r="J61">
        <v>5</v>
      </c>
      <c r="K61">
        <v>6</v>
      </c>
      <c r="L61">
        <v>1</v>
      </c>
      <c r="M61">
        <v>50</v>
      </c>
      <c r="N61">
        <v>1000</v>
      </c>
      <c r="O61">
        <v>115</v>
      </c>
      <c r="P61">
        <v>70</v>
      </c>
      <c r="Q61">
        <v>6</v>
      </c>
      <c r="R61">
        <v>108</v>
      </c>
      <c r="S61" t="s">
        <v>197</v>
      </c>
      <c r="T61">
        <v>3011</v>
      </c>
      <c r="U61">
        <v>55</v>
      </c>
      <c r="V61" s="8" t="s">
        <v>33</v>
      </c>
      <c r="W61" t="s">
        <v>34</v>
      </c>
      <c r="X61" t="s">
        <v>41</v>
      </c>
      <c r="Z61" t="str">
        <f t="shared" si="0"/>
        <v>MS</v>
      </c>
      <c r="AA61" s="8"/>
      <c r="AB61" t="str">
        <f t="array" ref="AB61">_xlfn._xlws.FILTER(Projets!I$2:I$823,(Projets!A$2:A$823=A61), "")</f>
        <v/>
      </c>
    </row>
    <row r="62" spans="1:28" x14ac:dyDescent="0.25">
      <c r="A62" s="1" t="s">
        <v>270</v>
      </c>
      <c r="B62" s="2">
        <v>42450</v>
      </c>
      <c r="C62" t="s">
        <v>271</v>
      </c>
      <c r="D62" s="1" t="s">
        <v>30</v>
      </c>
      <c r="E62" t="s">
        <v>272</v>
      </c>
      <c r="F62" t="s">
        <v>272</v>
      </c>
      <c r="G62" t="s">
        <v>273</v>
      </c>
      <c r="H62" t="s">
        <v>274</v>
      </c>
      <c r="I62">
        <v>1</v>
      </c>
      <c r="J62">
        <v>5</v>
      </c>
      <c r="K62">
        <v>6</v>
      </c>
      <c r="L62">
        <v>1</v>
      </c>
      <c r="M62">
        <v>50</v>
      </c>
      <c r="N62">
        <v>1000</v>
      </c>
      <c r="O62">
        <v>115</v>
      </c>
      <c r="P62">
        <v>70</v>
      </c>
      <c r="Q62">
        <v>6</v>
      </c>
      <c r="R62">
        <v>108</v>
      </c>
      <c r="S62" t="s">
        <v>197</v>
      </c>
      <c r="T62">
        <v>3011</v>
      </c>
      <c r="U62">
        <v>55</v>
      </c>
      <c r="V62" s="8" t="s">
        <v>33</v>
      </c>
      <c r="W62" t="s">
        <v>34</v>
      </c>
      <c r="X62" t="s">
        <v>41</v>
      </c>
      <c r="Z62" t="str">
        <f t="shared" si="0"/>
        <v>MS</v>
      </c>
      <c r="AA62" s="8"/>
      <c r="AB62" t="str">
        <f t="array" ref="AB62">_xlfn._xlws.FILTER(Projets!I$2:I$823,(Projets!A$2:A$823=A62), "")</f>
        <v/>
      </c>
    </row>
    <row r="63" spans="1:28" x14ac:dyDescent="0.25">
      <c r="A63" s="1" t="s">
        <v>275</v>
      </c>
      <c r="B63" s="2">
        <v>42579</v>
      </c>
      <c r="C63" t="s">
        <v>276</v>
      </c>
      <c r="D63" s="1" t="s">
        <v>30</v>
      </c>
      <c r="E63" t="s">
        <v>277</v>
      </c>
      <c r="F63" t="s">
        <v>276</v>
      </c>
      <c r="G63" t="s">
        <v>278</v>
      </c>
      <c r="I63">
        <v>1</v>
      </c>
      <c r="J63">
        <v>2</v>
      </c>
      <c r="K63">
        <v>10</v>
      </c>
      <c r="L63">
        <v>0.85</v>
      </c>
      <c r="M63">
        <v>50</v>
      </c>
      <c r="N63">
        <v>1500</v>
      </c>
      <c r="O63">
        <v>58</v>
      </c>
      <c r="P63">
        <v>104</v>
      </c>
      <c r="Q63">
        <v>4</v>
      </c>
      <c r="R63">
        <v>60</v>
      </c>
      <c r="S63" t="s">
        <v>176</v>
      </c>
      <c r="T63">
        <v>1001</v>
      </c>
      <c r="U63">
        <v>55</v>
      </c>
      <c r="V63" s="8" t="s">
        <v>33</v>
      </c>
      <c r="W63" t="s">
        <v>34</v>
      </c>
      <c r="X63" t="s">
        <v>41</v>
      </c>
      <c r="Z63" t="str">
        <f t="shared" si="0"/>
        <v>MS</v>
      </c>
      <c r="AA63" s="8"/>
      <c r="AB63">
        <f t="array" ref="AB63">_xlfn._xlws.FILTER(Projets!I$2:I$823,(Projets!A$2:A$823=A63), "")</f>
        <v>6.9499999999999993</v>
      </c>
    </row>
    <row r="64" spans="1:28" x14ac:dyDescent="0.25">
      <c r="A64" s="1" t="s">
        <v>275</v>
      </c>
      <c r="B64" s="2">
        <v>42579</v>
      </c>
      <c r="C64" t="s">
        <v>276</v>
      </c>
      <c r="D64" s="1" t="s">
        <v>30</v>
      </c>
      <c r="E64" t="s">
        <v>277</v>
      </c>
      <c r="F64" t="s">
        <v>276</v>
      </c>
      <c r="G64" t="s">
        <v>279</v>
      </c>
      <c r="I64">
        <v>1</v>
      </c>
      <c r="J64">
        <v>2</v>
      </c>
      <c r="K64">
        <v>10</v>
      </c>
      <c r="L64">
        <v>0.85</v>
      </c>
      <c r="M64">
        <v>50</v>
      </c>
      <c r="N64">
        <v>1500</v>
      </c>
      <c r="O64">
        <v>58</v>
      </c>
      <c r="P64">
        <v>104</v>
      </c>
      <c r="Q64">
        <v>4</v>
      </c>
      <c r="R64">
        <v>60</v>
      </c>
      <c r="S64" t="s">
        <v>176</v>
      </c>
      <c r="T64">
        <v>1001</v>
      </c>
      <c r="U64">
        <v>55</v>
      </c>
      <c r="V64" s="8" t="s">
        <v>33</v>
      </c>
      <c r="W64" t="s">
        <v>34</v>
      </c>
      <c r="X64" t="s">
        <v>41</v>
      </c>
      <c r="Z64" t="str">
        <f t="shared" si="0"/>
        <v>MS</v>
      </c>
      <c r="AA64" s="8"/>
      <c r="AB64">
        <f t="array" ref="AB64">_xlfn._xlws.FILTER(Projets!I$2:I$823,(Projets!A$2:A$823=A64), "")</f>
        <v>6.9499999999999993</v>
      </c>
    </row>
    <row r="65" spans="1:28" x14ac:dyDescent="0.25">
      <c r="A65" s="1" t="s">
        <v>280</v>
      </c>
      <c r="B65" s="2">
        <v>42667</v>
      </c>
      <c r="C65" t="s">
        <v>281</v>
      </c>
      <c r="D65" s="1" t="s">
        <v>145</v>
      </c>
      <c r="E65" t="s">
        <v>241</v>
      </c>
      <c r="F65" t="s">
        <v>242</v>
      </c>
      <c r="G65" t="s">
        <v>282</v>
      </c>
      <c r="I65">
        <v>2</v>
      </c>
      <c r="J65">
        <v>0.52</v>
      </c>
      <c r="K65">
        <v>5.5</v>
      </c>
      <c r="L65">
        <v>0.83</v>
      </c>
      <c r="M65">
        <v>50</v>
      </c>
      <c r="N65">
        <v>1000</v>
      </c>
      <c r="O65">
        <v>41</v>
      </c>
      <c r="P65">
        <v>65</v>
      </c>
      <c r="Q65">
        <v>6</v>
      </c>
      <c r="R65">
        <v>54</v>
      </c>
      <c r="S65" t="s">
        <v>69</v>
      </c>
      <c r="T65">
        <v>3011</v>
      </c>
      <c r="U65">
        <v>23</v>
      </c>
      <c r="V65" s="8" t="s">
        <v>33</v>
      </c>
      <c r="W65" t="s">
        <v>34</v>
      </c>
      <c r="X65" t="s">
        <v>41</v>
      </c>
      <c r="Z65" t="str">
        <f t="shared" si="0"/>
        <v>MS</v>
      </c>
      <c r="AA65" s="8"/>
      <c r="AB65">
        <f t="array" ref="AB65">_xlfn._xlws.FILTER(Projets!I$2:I$823,(Projets!A$2:A$823=A65), "")</f>
        <v>46.3</v>
      </c>
    </row>
    <row r="66" spans="1:28" x14ac:dyDescent="0.25">
      <c r="A66" s="1" t="s">
        <v>280</v>
      </c>
      <c r="B66" s="2">
        <v>42667</v>
      </c>
      <c r="C66" t="s">
        <v>283</v>
      </c>
      <c r="D66" s="1" t="s">
        <v>30</v>
      </c>
      <c r="E66" t="s">
        <v>241</v>
      </c>
      <c r="F66" t="s">
        <v>242</v>
      </c>
      <c r="G66" t="s">
        <v>284</v>
      </c>
      <c r="H66" t="s">
        <v>267</v>
      </c>
      <c r="I66">
        <v>2</v>
      </c>
      <c r="J66">
        <v>1</v>
      </c>
      <c r="K66">
        <v>5.5</v>
      </c>
      <c r="L66">
        <v>0.88</v>
      </c>
      <c r="M66">
        <v>50</v>
      </c>
      <c r="N66">
        <v>1000</v>
      </c>
      <c r="O66">
        <v>51</v>
      </c>
      <c r="P66">
        <v>78</v>
      </c>
      <c r="Q66">
        <v>6</v>
      </c>
      <c r="R66">
        <v>72</v>
      </c>
      <c r="S66" t="s">
        <v>69</v>
      </c>
      <c r="T66">
        <v>3011</v>
      </c>
      <c r="U66">
        <v>23</v>
      </c>
      <c r="V66" s="8" t="s">
        <v>33</v>
      </c>
      <c r="W66" t="s">
        <v>34</v>
      </c>
      <c r="X66" t="s">
        <v>41</v>
      </c>
      <c r="Z66" t="str">
        <f t="shared" ref="Z66:Z129" si="1">IF(MID(A66, 2, 1)="M", "MIL", IF(MID(A66, 2, 1)="N", "NUC", "MS"))</f>
        <v>MS</v>
      </c>
      <c r="AA66" s="8"/>
      <c r="AB66">
        <f t="array" ref="AB66">_xlfn._xlws.FILTER(Projets!I$2:I$823,(Projets!A$2:A$823=A66), "")</f>
        <v>46.3</v>
      </c>
    </row>
    <row r="67" spans="1:28" x14ac:dyDescent="0.25">
      <c r="A67" s="1" t="s">
        <v>285</v>
      </c>
      <c r="B67" s="2">
        <v>42744</v>
      </c>
      <c r="C67" t="s">
        <v>286</v>
      </c>
      <c r="D67" s="1" t="s">
        <v>30</v>
      </c>
      <c r="E67" t="s">
        <v>287</v>
      </c>
      <c r="F67" t="s">
        <v>288</v>
      </c>
      <c r="G67" t="s">
        <v>289</v>
      </c>
      <c r="H67" t="s">
        <v>290</v>
      </c>
      <c r="I67">
        <v>6</v>
      </c>
      <c r="J67">
        <v>1</v>
      </c>
      <c r="K67">
        <v>6</v>
      </c>
      <c r="L67">
        <v>1</v>
      </c>
      <c r="M67">
        <v>50</v>
      </c>
      <c r="N67">
        <v>1000</v>
      </c>
      <c r="O67">
        <v>430</v>
      </c>
      <c r="P67">
        <v>500</v>
      </c>
      <c r="Q67">
        <v>6</v>
      </c>
      <c r="R67">
        <v>58</v>
      </c>
      <c r="S67" t="s">
        <v>49</v>
      </c>
      <c r="T67">
        <v>3011</v>
      </c>
      <c r="U67">
        <v>55</v>
      </c>
      <c r="V67" s="8" t="s">
        <v>33</v>
      </c>
      <c r="W67" t="s">
        <v>34</v>
      </c>
      <c r="X67" t="s">
        <v>41</v>
      </c>
      <c r="Z67" t="str">
        <f t="shared" si="1"/>
        <v>MS</v>
      </c>
      <c r="AA67" s="8"/>
      <c r="AB67">
        <f t="array" ref="AB67">_xlfn._xlws.FILTER(Projets!I$2:I$823,(Projets!A$2:A$823=A67), "")</f>
        <v>13.1</v>
      </c>
    </row>
    <row r="68" spans="1:28" x14ac:dyDescent="0.25">
      <c r="A68" s="1" t="s">
        <v>291</v>
      </c>
      <c r="B68" s="2">
        <v>42747</v>
      </c>
      <c r="C68" t="s">
        <v>292</v>
      </c>
      <c r="D68" s="1" t="s">
        <v>30</v>
      </c>
      <c r="E68" t="s">
        <v>293</v>
      </c>
      <c r="F68" t="s">
        <v>294</v>
      </c>
      <c r="G68" t="s">
        <v>295</v>
      </c>
      <c r="H68" t="s">
        <v>296</v>
      </c>
      <c r="I68">
        <v>6</v>
      </c>
      <c r="J68">
        <v>1.25</v>
      </c>
      <c r="K68">
        <v>3.3</v>
      </c>
      <c r="L68">
        <v>0.78</v>
      </c>
      <c r="M68">
        <v>50</v>
      </c>
      <c r="N68">
        <v>600</v>
      </c>
      <c r="O68">
        <v>74</v>
      </c>
      <c r="P68">
        <v>104</v>
      </c>
      <c r="Q68">
        <v>10</v>
      </c>
      <c r="R68">
        <v>90</v>
      </c>
      <c r="S68" t="s">
        <v>49</v>
      </c>
      <c r="T68">
        <v>3011</v>
      </c>
      <c r="U68">
        <v>55</v>
      </c>
      <c r="V68" s="8" t="s">
        <v>33</v>
      </c>
      <c r="W68" t="s">
        <v>34</v>
      </c>
      <c r="X68" t="s">
        <v>41</v>
      </c>
      <c r="Z68" t="str">
        <f t="shared" si="1"/>
        <v>MS</v>
      </c>
      <c r="AA68" s="8"/>
      <c r="AB68">
        <f t="array" ref="AB68">_xlfn._xlws.FILTER(Projets!I$2:I$823,(Projets!A$2:A$823=A68), "")</f>
        <v>27.65</v>
      </c>
    </row>
    <row r="69" spans="1:28" x14ac:dyDescent="0.25">
      <c r="A69" s="1" t="s">
        <v>297</v>
      </c>
      <c r="B69" s="2">
        <v>42814</v>
      </c>
      <c r="C69" t="s">
        <v>298</v>
      </c>
      <c r="D69" s="1" t="s">
        <v>30</v>
      </c>
      <c r="E69" t="s">
        <v>299</v>
      </c>
      <c r="F69" t="s">
        <v>300</v>
      </c>
      <c r="G69" t="s">
        <v>301</v>
      </c>
      <c r="I69">
        <v>5</v>
      </c>
      <c r="J69">
        <v>2</v>
      </c>
      <c r="K69">
        <v>6</v>
      </c>
      <c r="L69">
        <v>0.9</v>
      </c>
      <c r="M69">
        <v>50</v>
      </c>
      <c r="N69">
        <v>1500</v>
      </c>
      <c r="O69">
        <v>75</v>
      </c>
      <c r="P69">
        <v>94</v>
      </c>
      <c r="Q69">
        <v>4</v>
      </c>
      <c r="R69">
        <v>72</v>
      </c>
      <c r="S69">
        <v>666</v>
      </c>
      <c r="T69">
        <v>1001</v>
      </c>
      <c r="U69">
        <v>55</v>
      </c>
      <c r="V69" s="8" t="s">
        <v>33</v>
      </c>
      <c r="W69" t="s">
        <v>34</v>
      </c>
      <c r="X69" t="s">
        <v>302</v>
      </c>
      <c r="Z69" t="str">
        <f t="shared" si="1"/>
        <v>MS</v>
      </c>
      <c r="AA69" s="8"/>
      <c r="AB69">
        <f t="array" ref="AB69">_xlfn._xlws.FILTER(Projets!I$2:I$823,(Projets!A$2:A$823=A69), "")</f>
        <v>1168</v>
      </c>
    </row>
    <row r="70" spans="1:28" x14ac:dyDescent="0.25">
      <c r="A70" s="1" t="s">
        <v>303</v>
      </c>
      <c r="B70" s="2">
        <v>42837</v>
      </c>
      <c r="C70" t="s">
        <v>304</v>
      </c>
      <c r="D70" s="1" t="s">
        <v>30</v>
      </c>
      <c r="E70" t="s">
        <v>305</v>
      </c>
      <c r="F70" t="s">
        <v>242</v>
      </c>
      <c r="G70" t="s">
        <v>306</v>
      </c>
      <c r="H70" t="s">
        <v>307</v>
      </c>
      <c r="I70">
        <v>3</v>
      </c>
      <c r="J70">
        <v>1.65</v>
      </c>
      <c r="K70">
        <v>2</v>
      </c>
      <c r="L70">
        <v>0.88</v>
      </c>
      <c r="M70">
        <v>50</v>
      </c>
      <c r="N70">
        <v>1500</v>
      </c>
      <c r="O70">
        <v>59</v>
      </c>
      <c r="P70">
        <v>79</v>
      </c>
      <c r="Q70">
        <v>4</v>
      </c>
      <c r="R70">
        <v>72</v>
      </c>
      <c r="S70">
        <v>611</v>
      </c>
      <c r="T70">
        <v>1001</v>
      </c>
      <c r="U70">
        <v>55</v>
      </c>
      <c r="V70" s="8" t="s">
        <v>33</v>
      </c>
      <c r="W70" t="s">
        <v>34</v>
      </c>
      <c r="X70" t="s">
        <v>41</v>
      </c>
      <c r="Z70" t="str">
        <f t="shared" si="1"/>
        <v>MS</v>
      </c>
      <c r="AA70" s="8"/>
      <c r="AB70">
        <f t="array" ref="AB70">_xlfn._xlws.FILTER(Projets!I$2:I$823,(Projets!A$2:A$823=A70), "")</f>
        <v>42.45</v>
      </c>
    </row>
    <row r="71" spans="1:28" x14ac:dyDescent="0.25">
      <c r="A71" s="1" t="s">
        <v>308</v>
      </c>
      <c r="B71" s="2">
        <v>42885</v>
      </c>
      <c r="C71" t="s">
        <v>309</v>
      </c>
      <c r="D71" s="1" t="s">
        <v>30</v>
      </c>
      <c r="E71" t="s">
        <v>310</v>
      </c>
      <c r="F71" t="s">
        <v>309</v>
      </c>
      <c r="G71" t="s">
        <v>311</v>
      </c>
      <c r="I71">
        <v>3</v>
      </c>
      <c r="J71">
        <v>0.2</v>
      </c>
      <c r="K71">
        <v>3.3</v>
      </c>
      <c r="L71">
        <v>0.78</v>
      </c>
      <c r="M71">
        <v>50</v>
      </c>
      <c r="N71">
        <v>750</v>
      </c>
      <c r="O71">
        <v>43</v>
      </c>
      <c r="P71">
        <v>47</v>
      </c>
      <c r="Q71">
        <v>8</v>
      </c>
      <c r="R71">
        <v>48</v>
      </c>
      <c r="S71" t="s">
        <v>69</v>
      </c>
      <c r="T71">
        <v>3011</v>
      </c>
      <c r="U71">
        <v>23</v>
      </c>
      <c r="V71" s="8" t="s">
        <v>33</v>
      </c>
      <c r="W71" t="s">
        <v>34</v>
      </c>
      <c r="X71" t="s">
        <v>41</v>
      </c>
      <c r="Z71" t="str">
        <f t="shared" si="1"/>
        <v>MS</v>
      </c>
      <c r="AA71" s="8"/>
      <c r="AB71">
        <f t="array" ref="AB71">_xlfn._xlws.FILTER(Projets!I$2:I$823,(Projets!A$2:A$823=A71), "")</f>
        <v>10.65</v>
      </c>
    </row>
    <row r="72" spans="1:28" x14ac:dyDescent="0.25">
      <c r="A72" s="1" t="s">
        <v>312</v>
      </c>
      <c r="B72" s="2">
        <v>42895</v>
      </c>
      <c r="C72" t="s">
        <v>313</v>
      </c>
      <c r="D72" s="1" t="s">
        <v>30</v>
      </c>
      <c r="E72" t="s">
        <v>313</v>
      </c>
      <c r="F72" t="s">
        <v>313</v>
      </c>
      <c r="G72" t="s">
        <v>314</v>
      </c>
      <c r="I72">
        <v>1</v>
      </c>
      <c r="J72">
        <v>6</v>
      </c>
      <c r="K72">
        <v>6</v>
      </c>
      <c r="L72">
        <v>0.92</v>
      </c>
      <c r="M72">
        <v>50</v>
      </c>
      <c r="N72">
        <v>1500</v>
      </c>
      <c r="O72">
        <v>89</v>
      </c>
      <c r="P72">
        <v>125</v>
      </c>
      <c r="Q72">
        <v>4</v>
      </c>
      <c r="R72">
        <v>96</v>
      </c>
      <c r="S72">
        <v>611</v>
      </c>
      <c r="T72">
        <v>1001</v>
      </c>
      <c r="U72">
        <v>55</v>
      </c>
      <c r="V72" s="8" t="s">
        <v>130</v>
      </c>
      <c r="W72" t="s">
        <v>34</v>
      </c>
      <c r="X72" t="s">
        <v>41</v>
      </c>
      <c r="Z72" t="str">
        <f t="shared" si="1"/>
        <v>MS</v>
      </c>
      <c r="AA72" s="8"/>
      <c r="AB72">
        <f t="array" ref="AB72">_xlfn._xlws.FILTER(Projets!I$2:I$823,(Projets!A$2:A$823=A72), "")</f>
        <v>846.40000000000009</v>
      </c>
    </row>
    <row r="73" spans="1:28" x14ac:dyDescent="0.25">
      <c r="A73" s="1" t="s">
        <v>315</v>
      </c>
      <c r="B73" s="2">
        <v>42901</v>
      </c>
      <c r="C73" t="s">
        <v>316</v>
      </c>
      <c r="D73" s="1" t="s">
        <v>30</v>
      </c>
      <c r="E73" t="s">
        <v>317</v>
      </c>
      <c r="F73" t="s">
        <v>317</v>
      </c>
      <c r="G73" t="s">
        <v>318</v>
      </c>
      <c r="I73">
        <v>1</v>
      </c>
      <c r="J73">
        <v>0.84499999999999997</v>
      </c>
      <c r="K73">
        <v>2</v>
      </c>
      <c r="L73">
        <v>0.80300000000000005</v>
      </c>
      <c r="M73">
        <v>50</v>
      </c>
      <c r="N73">
        <v>750</v>
      </c>
      <c r="O73">
        <v>63</v>
      </c>
      <c r="P73">
        <v>79</v>
      </c>
      <c r="Q73">
        <v>8</v>
      </c>
      <c r="R73">
        <v>96</v>
      </c>
      <c r="S73" t="s">
        <v>49</v>
      </c>
      <c r="T73">
        <v>1001</v>
      </c>
      <c r="U73">
        <v>55</v>
      </c>
      <c r="V73" s="8" t="s">
        <v>33</v>
      </c>
      <c r="W73" t="s">
        <v>34</v>
      </c>
      <c r="X73" t="s">
        <v>41</v>
      </c>
      <c r="Z73" t="str">
        <f t="shared" si="1"/>
        <v>MS</v>
      </c>
      <c r="AA73" s="8"/>
      <c r="AB73">
        <f t="array" ref="AB73">_xlfn._xlws.FILTER(Projets!I$2:I$823,(Projets!A$2:A$823=A73), "")</f>
        <v>18.649999999999999</v>
      </c>
    </row>
    <row r="74" spans="1:28" x14ac:dyDescent="0.25">
      <c r="A74" s="1" t="s">
        <v>319</v>
      </c>
      <c r="B74" s="2">
        <v>42895</v>
      </c>
      <c r="C74" t="s">
        <v>320</v>
      </c>
      <c r="D74" s="1" t="s">
        <v>30</v>
      </c>
      <c r="E74" t="s">
        <v>293</v>
      </c>
      <c r="F74" t="s">
        <v>321</v>
      </c>
      <c r="G74" t="s">
        <v>322</v>
      </c>
      <c r="H74" t="s">
        <v>323</v>
      </c>
      <c r="I74">
        <v>2</v>
      </c>
      <c r="J74">
        <v>0.7</v>
      </c>
      <c r="K74">
        <v>3</v>
      </c>
      <c r="L74">
        <v>0.9</v>
      </c>
      <c r="M74">
        <v>50</v>
      </c>
      <c r="N74">
        <v>3000</v>
      </c>
      <c r="O74">
        <v>40</v>
      </c>
      <c r="P74">
        <v>60</v>
      </c>
      <c r="Q74">
        <v>2</v>
      </c>
      <c r="R74">
        <v>54</v>
      </c>
      <c r="S74">
        <v>611</v>
      </c>
      <c r="T74">
        <v>1001</v>
      </c>
      <c r="U74">
        <v>55</v>
      </c>
      <c r="V74" s="8" t="s">
        <v>33</v>
      </c>
      <c r="W74" t="s">
        <v>34</v>
      </c>
      <c r="X74" t="s">
        <v>41</v>
      </c>
      <c r="Z74" t="str">
        <f t="shared" si="1"/>
        <v>MS</v>
      </c>
      <c r="AA74" s="8"/>
      <c r="AB74">
        <f t="array" ref="AB74">_xlfn._xlws.FILTER(Projets!I$2:I$823,(Projets!A$2:A$823=A74), "")</f>
        <v>8.4</v>
      </c>
    </row>
    <row r="75" spans="1:28" x14ac:dyDescent="0.25">
      <c r="A75" s="1" t="s">
        <v>324</v>
      </c>
      <c r="B75" s="2">
        <v>42976</v>
      </c>
      <c r="C75" t="s">
        <v>325</v>
      </c>
      <c r="D75" s="1" t="s">
        <v>30</v>
      </c>
      <c r="E75" t="s">
        <v>326</v>
      </c>
      <c r="F75" t="s">
        <v>327</v>
      </c>
      <c r="G75" t="s">
        <v>328</v>
      </c>
      <c r="H75" t="s">
        <v>329</v>
      </c>
      <c r="I75">
        <v>2</v>
      </c>
      <c r="J75">
        <v>2.65</v>
      </c>
      <c r="K75">
        <v>11</v>
      </c>
      <c r="L75">
        <v>0.92</v>
      </c>
      <c r="M75">
        <v>50</v>
      </c>
      <c r="N75">
        <v>3000</v>
      </c>
      <c r="O75">
        <v>57</v>
      </c>
      <c r="P75">
        <v>104</v>
      </c>
      <c r="Q75">
        <v>2</v>
      </c>
      <c r="R75">
        <v>60</v>
      </c>
      <c r="S75" t="s">
        <v>330</v>
      </c>
      <c r="T75">
        <v>1001</v>
      </c>
      <c r="U75">
        <v>55</v>
      </c>
      <c r="V75" s="8" t="s">
        <v>106</v>
      </c>
      <c r="W75" t="s">
        <v>34</v>
      </c>
      <c r="X75" t="s">
        <v>41</v>
      </c>
      <c r="Z75" t="str">
        <f t="shared" si="1"/>
        <v>MS</v>
      </c>
      <c r="AA75" s="8"/>
      <c r="AB75">
        <f t="array" ref="AB75">_xlfn._xlws.FILTER(Projets!I$2:I$823,(Projets!A$2:A$823=A75), "")</f>
        <v>1809.4</v>
      </c>
    </row>
    <row r="76" spans="1:28" x14ac:dyDescent="0.25">
      <c r="A76" s="1" t="s">
        <v>331</v>
      </c>
      <c r="B76" s="2">
        <v>43047</v>
      </c>
      <c r="C76" t="s">
        <v>332</v>
      </c>
      <c r="D76" s="1" t="s">
        <v>30</v>
      </c>
      <c r="E76" t="s">
        <v>333</v>
      </c>
      <c r="F76" t="s">
        <v>333</v>
      </c>
      <c r="G76" t="s">
        <v>334</v>
      </c>
      <c r="I76">
        <v>1</v>
      </c>
      <c r="J76">
        <v>1.8</v>
      </c>
      <c r="K76">
        <v>5.5</v>
      </c>
      <c r="L76">
        <v>0.84</v>
      </c>
      <c r="M76">
        <v>50</v>
      </c>
      <c r="N76">
        <v>750</v>
      </c>
      <c r="O76">
        <v>83</v>
      </c>
      <c r="P76">
        <v>104</v>
      </c>
      <c r="Q76">
        <v>8</v>
      </c>
      <c r="R76">
        <v>96</v>
      </c>
      <c r="S76">
        <v>611</v>
      </c>
      <c r="T76">
        <v>1002</v>
      </c>
      <c r="U76">
        <v>55</v>
      </c>
      <c r="V76" s="8" t="s">
        <v>33</v>
      </c>
      <c r="W76" t="s">
        <v>34</v>
      </c>
      <c r="X76" t="s">
        <v>302</v>
      </c>
      <c r="Z76" t="str">
        <f t="shared" si="1"/>
        <v>MS</v>
      </c>
      <c r="AA76" s="8"/>
      <c r="AB76">
        <f t="array" ref="AB76">_xlfn._xlws.FILTER(Projets!I$2:I$823,(Projets!A$2:A$823=A76), "")</f>
        <v>356.55</v>
      </c>
    </row>
    <row r="77" spans="1:28" x14ac:dyDescent="0.25">
      <c r="A77" s="1" t="s">
        <v>335</v>
      </c>
      <c r="B77" s="2">
        <v>43063</v>
      </c>
      <c r="C77" t="s">
        <v>336</v>
      </c>
      <c r="D77" s="1" t="s">
        <v>30</v>
      </c>
      <c r="E77" t="s">
        <v>337</v>
      </c>
      <c r="F77" t="s">
        <v>337</v>
      </c>
      <c r="G77" t="s">
        <v>338</v>
      </c>
      <c r="I77">
        <v>3</v>
      </c>
      <c r="J77">
        <v>4.5999999999999996</v>
      </c>
      <c r="K77">
        <v>10</v>
      </c>
      <c r="L77">
        <v>0.85</v>
      </c>
      <c r="M77">
        <v>50</v>
      </c>
      <c r="N77">
        <v>500</v>
      </c>
      <c r="O77">
        <v>142</v>
      </c>
      <c r="P77">
        <v>109</v>
      </c>
      <c r="Q77">
        <v>12</v>
      </c>
      <c r="R77">
        <v>144</v>
      </c>
      <c r="S77" t="s">
        <v>49</v>
      </c>
      <c r="T77">
        <v>3011</v>
      </c>
      <c r="U77">
        <v>55</v>
      </c>
      <c r="V77" s="8" t="s">
        <v>33</v>
      </c>
      <c r="W77" t="s">
        <v>34</v>
      </c>
      <c r="X77" t="s">
        <v>41</v>
      </c>
      <c r="Z77" t="str">
        <f t="shared" si="1"/>
        <v>MS</v>
      </c>
      <c r="AA77" s="8"/>
      <c r="AB77">
        <f t="array" ref="AB77">_xlfn._xlws.FILTER(Projets!I$2:I$823,(Projets!A$2:A$823=A77), "")</f>
        <v>1085.55</v>
      </c>
    </row>
    <row r="78" spans="1:28" x14ac:dyDescent="0.25">
      <c r="A78" s="1" t="s">
        <v>339</v>
      </c>
      <c r="B78" s="2">
        <v>43108</v>
      </c>
      <c r="C78" t="s">
        <v>340</v>
      </c>
      <c r="D78" s="1" t="s">
        <v>341</v>
      </c>
      <c r="E78" t="s">
        <v>342</v>
      </c>
      <c r="F78" t="s">
        <v>343</v>
      </c>
      <c r="G78" t="s">
        <v>344</v>
      </c>
      <c r="I78">
        <v>3</v>
      </c>
      <c r="J78">
        <v>2.1</v>
      </c>
      <c r="K78">
        <v>6</v>
      </c>
      <c r="L78">
        <v>0.88</v>
      </c>
      <c r="M78">
        <v>50</v>
      </c>
      <c r="N78">
        <v>1500</v>
      </c>
      <c r="O78">
        <v>66</v>
      </c>
      <c r="P78">
        <v>94</v>
      </c>
      <c r="Q78">
        <v>4</v>
      </c>
      <c r="R78">
        <v>72</v>
      </c>
      <c r="S78">
        <v>611</v>
      </c>
      <c r="T78">
        <v>1001</v>
      </c>
      <c r="U78">
        <v>55</v>
      </c>
      <c r="V78" s="8" t="s">
        <v>130</v>
      </c>
      <c r="W78" t="s">
        <v>34</v>
      </c>
      <c r="X78" t="s">
        <v>41</v>
      </c>
      <c r="Z78" t="str">
        <f t="shared" si="1"/>
        <v>MS</v>
      </c>
      <c r="AA78" s="8"/>
      <c r="AB78">
        <f t="array" ref="AB78">_xlfn._xlws.FILTER(Projets!I$2:I$823,(Projets!A$2:A$823=A78), "")</f>
        <v>469.35</v>
      </c>
    </row>
    <row r="79" spans="1:28" x14ac:dyDescent="0.25">
      <c r="A79" s="1" t="s">
        <v>339</v>
      </c>
      <c r="B79" s="2">
        <v>43108</v>
      </c>
      <c r="C79" t="s">
        <v>340</v>
      </c>
      <c r="D79" s="1" t="s">
        <v>187</v>
      </c>
      <c r="E79" t="s">
        <v>342</v>
      </c>
      <c r="F79" t="s">
        <v>343</v>
      </c>
      <c r="G79" t="s">
        <v>345</v>
      </c>
      <c r="I79">
        <v>3</v>
      </c>
      <c r="J79">
        <v>1.35</v>
      </c>
      <c r="K79">
        <v>6</v>
      </c>
      <c r="L79">
        <v>0.87</v>
      </c>
      <c r="M79">
        <v>50</v>
      </c>
      <c r="N79">
        <v>1500</v>
      </c>
      <c r="O79">
        <v>59</v>
      </c>
      <c r="P79">
        <v>74</v>
      </c>
      <c r="Q79">
        <v>4</v>
      </c>
      <c r="R79">
        <v>72</v>
      </c>
      <c r="S79">
        <v>611</v>
      </c>
      <c r="T79">
        <v>1001</v>
      </c>
      <c r="U79">
        <v>55</v>
      </c>
      <c r="V79" s="8" t="s">
        <v>130</v>
      </c>
      <c r="W79" t="s">
        <v>34</v>
      </c>
      <c r="X79" t="s">
        <v>41</v>
      </c>
      <c r="Z79" t="str">
        <f t="shared" si="1"/>
        <v>MS</v>
      </c>
      <c r="AA79" s="8"/>
      <c r="AB79">
        <f t="array" ref="AB79">_xlfn._xlws.FILTER(Projets!I$2:I$823,(Projets!A$2:A$823=A79), "")</f>
        <v>469.35</v>
      </c>
    </row>
    <row r="80" spans="1:28" x14ac:dyDescent="0.25">
      <c r="A80" s="1" t="s">
        <v>339</v>
      </c>
      <c r="B80" s="2">
        <v>43108</v>
      </c>
      <c r="C80" t="s">
        <v>340</v>
      </c>
      <c r="D80" s="1" t="s">
        <v>145</v>
      </c>
      <c r="E80" t="s">
        <v>342</v>
      </c>
      <c r="F80" t="s">
        <v>343</v>
      </c>
      <c r="G80" t="s">
        <v>346</v>
      </c>
      <c r="I80">
        <v>3</v>
      </c>
      <c r="J80">
        <v>1.45</v>
      </c>
      <c r="K80">
        <v>6</v>
      </c>
      <c r="L80">
        <v>0.91</v>
      </c>
      <c r="M80">
        <v>50</v>
      </c>
      <c r="N80">
        <v>3000</v>
      </c>
      <c r="O80">
        <v>45</v>
      </c>
      <c r="P80">
        <v>65</v>
      </c>
      <c r="Q80">
        <v>2</v>
      </c>
      <c r="R80">
        <v>54</v>
      </c>
      <c r="S80">
        <v>611</v>
      </c>
      <c r="T80">
        <v>1001</v>
      </c>
      <c r="U80">
        <v>55</v>
      </c>
      <c r="V80" s="8" t="s">
        <v>130</v>
      </c>
      <c r="W80" t="s">
        <v>34</v>
      </c>
      <c r="X80" t="s">
        <v>41</v>
      </c>
      <c r="Z80" t="str">
        <f t="shared" si="1"/>
        <v>MS</v>
      </c>
      <c r="AA80" s="8"/>
      <c r="AB80">
        <f t="array" ref="AB80">_xlfn._xlws.FILTER(Projets!I$2:I$823,(Projets!A$2:A$823=A80), "")</f>
        <v>469.35</v>
      </c>
    </row>
    <row r="81" spans="1:28" x14ac:dyDescent="0.25">
      <c r="A81" s="1" t="s">
        <v>339</v>
      </c>
      <c r="B81" s="2">
        <v>43108</v>
      </c>
      <c r="C81" t="s">
        <v>340</v>
      </c>
      <c r="D81" s="1" t="s">
        <v>30</v>
      </c>
      <c r="E81" t="s">
        <v>342</v>
      </c>
      <c r="F81" t="s">
        <v>343</v>
      </c>
      <c r="G81" t="s">
        <v>346</v>
      </c>
      <c r="I81">
        <v>3</v>
      </c>
      <c r="J81">
        <v>1.1000000000000001</v>
      </c>
      <c r="K81">
        <v>6</v>
      </c>
      <c r="L81">
        <v>0.91</v>
      </c>
      <c r="M81">
        <v>50</v>
      </c>
      <c r="N81">
        <v>3000</v>
      </c>
      <c r="O81">
        <v>45</v>
      </c>
      <c r="P81">
        <v>65</v>
      </c>
      <c r="Q81">
        <v>2</v>
      </c>
      <c r="R81">
        <v>54</v>
      </c>
      <c r="S81">
        <v>611</v>
      </c>
      <c r="T81">
        <v>1001</v>
      </c>
      <c r="U81">
        <v>55</v>
      </c>
      <c r="V81" s="8" t="s">
        <v>130</v>
      </c>
      <c r="W81" t="s">
        <v>34</v>
      </c>
      <c r="X81" t="s">
        <v>41</v>
      </c>
      <c r="Z81" t="str">
        <f t="shared" si="1"/>
        <v>MS</v>
      </c>
      <c r="AA81" s="8"/>
      <c r="AB81">
        <f t="array" ref="AB81">_xlfn._xlws.FILTER(Projets!I$2:I$823,(Projets!A$2:A$823=A81), "")</f>
        <v>469.35</v>
      </c>
    </row>
    <row r="82" spans="1:28" x14ac:dyDescent="0.25">
      <c r="A82" s="1" t="s">
        <v>347</v>
      </c>
      <c r="B82" s="2">
        <v>43115</v>
      </c>
      <c r="C82" t="s">
        <v>348</v>
      </c>
      <c r="D82" s="1" t="s">
        <v>30</v>
      </c>
      <c r="E82" t="s">
        <v>348</v>
      </c>
      <c r="F82" t="s">
        <v>348</v>
      </c>
      <c r="G82" t="s">
        <v>349</v>
      </c>
      <c r="I82">
        <v>1</v>
      </c>
      <c r="J82">
        <v>3.6</v>
      </c>
      <c r="K82">
        <v>5.5</v>
      </c>
      <c r="L82">
        <v>0.84</v>
      </c>
      <c r="M82">
        <v>50</v>
      </c>
      <c r="N82">
        <v>428</v>
      </c>
      <c r="O82">
        <v>174</v>
      </c>
      <c r="P82">
        <v>79</v>
      </c>
      <c r="Q82">
        <v>14</v>
      </c>
      <c r="R82">
        <v>168</v>
      </c>
      <c r="S82" t="s">
        <v>156</v>
      </c>
      <c r="T82">
        <v>1001</v>
      </c>
      <c r="U82">
        <v>55</v>
      </c>
      <c r="V82" s="8" t="s">
        <v>212</v>
      </c>
      <c r="W82" t="s">
        <v>34</v>
      </c>
      <c r="X82" t="s">
        <v>41</v>
      </c>
      <c r="Z82" t="str">
        <f t="shared" si="1"/>
        <v>MS</v>
      </c>
      <c r="AA82" s="8"/>
      <c r="AB82">
        <f t="array" ref="AB82">_xlfn._xlws.FILTER(Projets!I$2:I$823,(Projets!A$2:A$823=A82), "")</f>
        <v>2362.3000000000002</v>
      </c>
    </row>
    <row r="83" spans="1:28" x14ac:dyDescent="0.25">
      <c r="A83" s="1" t="s">
        <v>350</v>
      </c>
      <c r="B83" s="2">
        <v>43160</v>
      </c>
      <c r="C83" t="s">
        <v>351</v>
      </c>
      <c r="D83" s="1" t="s">
        <v>30</v>
      </c>
      <c r="E83" t="s">
        <v>352</v>
      </c>
      <c r="F83" t="s">
        <v>352</v>
      </c>
      <c r="G83" t="s">
        <v>353</v>
      </c>
      <c r="I83">
        <v>2</v>
      </c>
      <c r="J83">
        <v>5.5</v>
      </c>
      <c r="K83">
        <v>6.6</v>
      </c>
      <c r="L83">
        <v>0.85</v>
      </c>
      <c r="M83">
        <v>50</v>
      </c>
      <c r="N83">
        <v>750</v>
      </c>
      <c r="O83">
        <v>124</v>
      </c>
      <c r="P83">
        <v>79</v>
      </c>
      <c r="Q83">
        <v>8</v>
      </c>
      <c r="R83">
        <v>84</v>
      </c>
      <c r="S83">
        <v>611</v>
      </c>
      <c r="T83">
        <v>1001</v>
      </c>
      <c r="U83">
        <v>55</v>
      </c>
      <c r="V83" s="8" t="s">
        <v>33</v>
      </c>
      <c r="W83" t="s">
        <v>34</v>
      </c>
      <c r="X83" t="s">
        <v>302</v>
      </c>
      <c r="Z83" t="str">
        <f t="shared" si="1"/>
        <v>MS</v>
      </c>
      <c r="AA83" s="8"/>
      <c r="AB83">
        <f t="array" ref="AB83">_xlfn._xlws.FILTER(Projets!I$2:I$823,(Projets!A$2:A$823=A83), "")</f>
        <v>1104.5</v>
      </c>
    </row>
    <row r="84" spans="1:28" x14ac:dyDescent="0.25">
      <c r="A84" s="1" t="s">
        <v>354</v>
      </c>
      <c r="B84" s="2">
        <v>43158</v>
      </c>
      <c r="C84" t="s">
        <v>351</v>
      </c>
      <c r="D84" s="1" t="s">
        <v>30</v>
      </c>
      <c r="E84" t="s">
        <v>352</v>
      </c>
      <c r="F84" t="s">
        <v>352</v>
      </c>
      <c r="G84" t="s">
        <v>355</v>
      </c>
      <c r="I84">
        <v>1</v>
      </c>
      <c r="J84">
        <v>1.8</v>
      </c>
      <c r="K84">
        <v>6.6</v>
      </c>
      <c r="L84">
        <v>0.87</v>
      </c>
      <c r="M84">
        <v>50</v>
      </c>
      <c r="N84">
        <v>1000</v>
      </c>
      <c r="O84">
        <v>69</v>
      </c>
      <c r="P84">
        <v>119</v>
      </c>
      <c r="Q84">
        <v>6</v>
      </c>
      <c r="R84">
        <v>90</v>
      </c>
      <c r="S84">
        <v>611</v>
      </c>
      <c r="T84">
        <v>3011</v>
      </c>
      <c r="U84">
        <v>55</v>
      </c>
      <c r="V84" s="8" t="s">
        <v>33</v>
      </c>
      <c r="W84" t="s">
        <v>34</v>
      </c>
      <c r="X84" t="s">
        <v>41</v>
      </c>
      <c r="Z84" t="str">
        <f t="shared" si="1"/>
        <v>MS</v>
      </c>
      <c r="AA84" s="8"/>
      <c r="AB84">
        <f t="array" ref="AB84">_xlfn._xlws.FILTER(Projets!I$2:I$823,(Projets!A$2:A$823=A84), "")</f>
        <v>20.85</v>
      </c>
    </row>
    <row r="85" spans="1:28" x14ac:dyDescent="0.25">
      <c r="A85" s="1" t="s">
        <v>356</v>
      </c>
      <c r="B85" s="2">
        <v>43185</v>
      </c>
      <c r="C85" t="s">
        <v>357</v>
      </c>
      <c r="D85" s="1" t="s">
        <v>30</v>
      </c>
      <c r="E85" t="s">
        <v>343</v>
      </c>
      <c r="F85" t="s">
        <v>343</v>
      </c>
      <c r="G85" t="s">
        <v>358</v>
      </c>
      <c r="I85">
        <v>12</v>
      </c>
      <c r="J85">
        <v>0.85</v>
      </c>
      <c r="K85">
        <v>6</v>
      </c>
      <c r="L85">
        <v>0.73</v>
      </c>
      <c r="M85">
        <v>50</v>
      </c>
      <c r="N85">
        <v>750</v>
      </c>
      <c r="O85">
        <v>64</v>
      </c>
      <c r="P85">
        <v>84</v>
      </c>
      <c r="Q85">
        <v>8</v>
      </c>
      <c r="R85">
        <v>72</v>
      </c>
      <c r="S85">
        <v>611</v>
      </c>
      <c r="T85">
        <v>1001</v>
      </c>
      <c r="U85">
        <v>55</v>
      </c>
      <c r="V85" s="8" t="s">
        <v>33</v>
      </c>
      <c r="W85" t="s">
        <v>34</v>
      </c>
      <c r="X85" t="s">
        <v>41</v>
      </c>
      <c r="Z85" t="str">
        <f t="shared" si="1"/>
        <v>MS</v>
      </c>
      <c r="AA85" s="8"/>
      <c r="AB85">
        <f t="array" ref="AB85">_xlfn._xlws.FILTER(Projets!I$2:I$823,(Projets!A$2:A$823=A85), "")</f>
        <v>14.2</v>
      </c>
    </row>
    <row r="86" spans="1:28" x14ac:dyDescent="0.25">
      <c r="A86" s="1" t="s">
        <v>359</v>
      </c>
      <c r="B86" s="2">
        <v>43251</v>
      </c>
      <c r="C86" t="s">
        <v>351</v>
      </c>
      <c r="D86" s="1" t="s">
        <v>30</v>
      </c>
      <c r="E86" t="s">
        <v>351</v>
      </c>
      <c r="F86" t="s">
        <v>351</v>
      </c>
      <c r="G86" t="s">
        <v>345</v>
      </c>
      <c r="H86" t="s">
        <v>360</v>
      </c>
      <c r="I86">
        <v>2</v>
      </c>
      <c r="J86">
        <v>1.1200000000000001</v>
      </c>
      <c r="K86">
        <v>6.6</v>
      </c>
      <c r="L86">
        <v>0.88</v>
      </c>
      <c r="M86">
        <v>50</v>
      </c>
      <c r="N86">
        <v>1500</v>
      </c>
      <c r="O86">
        <v>59</v>
      </c>
      <c r="P86">
        <v>74</v>
      </c>
      <c r="Q86">
        <v>4</v>
      </c>
      <c r="R86">
        <v>72</v>
      </c>
      <c r="S86">
        <v>611</v>
      </c>
      <c r="T86">
        <v>1001</v>
      </c>
      <c r="U86">
        <v>55</v>
      </c>
      <c r="V86" s="8" t="s">
        <v>33</v>
      </c>
      <c r="W86" t="s">
        <v>34</v>
      </c>
      <c r="X86" t="s">
        <v>41</v>
      </c>
      <c r="Z86" t="str">
        <f t="shared" si="1"/>
        <v>MS</v>
      </c>
      <c r="AA86" s="8"/>
      <c r="AB86">
        <f t="array" ref="AB86">_xlfn._xlws.FILTER(Projets!I$2:I$823,(Projets!A$2:A$823=A86), "")</f>
        <v>7.55</v>
      </c>
    </row>
    <row r="87" spans="1:28" x14ac:dyDescent="0.25">
      <c r="A87" s="1" t="s">
        <v>361</v>
      </c>
      <c r="B87" s="2">
        <v>43222</v>
      </c>
      <c r="C87" t="s">
        <v>362</v>
      </c>
      <c r="D87" s="1" t="s">
        <v>30</v>
      </c>
      <c r="E87" t="s">
        <v>363</v>
      </c>
      <c r="F87" t="s">
        <v>363</v>
      </c>
      <c r="G87" t="s">
        <v>364</v>
      </c>
      <c r="I87">
        <v>1</v>
      </c>
      <c r="J87">
        <v>1.1000000000000001</v>
      </c>
      <c r="K87">
        <v>6.6</v>
      </c>
      <c r="L87">
        <v>0.78</v>
      </c>
      <c r="M87">
        <v>50</v>
      </c>
      <c r="N87">
        <v>500</v>
      </c>
      <c r="O87">
        <v>76</v>
      </c>
      <c r="P87">
        <v>119</v>
      </c>
      <c r="Q87">
        <v>12</v>
      </c>
      <c r="R87">
        <v>108</v>
      </c>
      <c r="S87" t="s">
        <v>49</v>
      </c>
      <c r="T87">
        <v>1001</v>
      </c>
      <c r="U87">
        <v>55</v>
      </c>
      <c r="V87" s="8" t="s">
        <v>33</v>
      </c>
      <c r="W87" t="s">
        <v>34</v>
      </c>
      <c r="X87" t="s">
        <v>41</v>
      </c>
      <c r="Z87" t="str">
        <f t="shared" si="1"/>
        <v>MS</v>
      </c>
      <c r="AA87" s="8"/>
      <c r="AB87">
        <f t="array" ref="AB87">_xlfn._xlws.FILTER(Projets!I$2:I$823,(Projets!A$2:A$823=A87), "")</f>
        <v>15</v>
      </c>
    </row>
    <row r="88" spans="1:28" x14ac:dyDescent="0.25">
      <c r="A88" s="1" t="s">
        <v>361</v>
      </c>
      <c r="B88" s="2">
        <v>43237</v>
      </c>
      <c r="C88" t="s">
        <v>362</v>
      </c>
      <c r="D88" s="1" t="s">
        <v>30</v>
      </c>
      <c r="E88" t="s">
        <v>365</v>
      </c>
      <c r="F88" t="s">
        <v>365</v>
      </c>
      <c r="G88" t="s">
        <v>364</v>
      </c>
      <c r="I88">
        <v>1</v>
      </c>
      <c r="J88">
        <v>1.1000000000000001</v>
      </c>
      <c r="K88">
        <v>6.6</v>
      </c>
      <c r="L88">
        <v>0.78</v>
      </c>
      <c r="M88">
        <v>50</v>
      </c>
      <c r="N88">
        <v>500</v>
      </c>
      <c r="O88">
        <v>76</v>
      </c>
      <c r="P88">
        <v>119</v>
      </c>
      <c r="Q88">
        <v>12</v>
      </c>
      <c r="R88">
        <v>108</v>
      </c>
      <c r="S88">
        <v>611</v>
      </c>
      <c r="T88">
        <v>1001</v>
      </c>
      <c r="U88">
        <v>55</v>
      </c>
      <c r="V88" s="8" t="s">
        <v>33</v>
      </c>
      <c r="W88" t="s">
        <v>34</v>
      </c>
      <c r="X88" t="s">
        <v>41</v>
      </c>
      <c r="Z88" t="str">
        <f t="shared" si="1"/>
        <v>MS</v>
      </c>
      <c r="AA88" s="8"/>
      <c r="AB88">
        <f t="array" ref="AB88">_xlfn._xlws.FILTER(Projets!I$2:I$823,(Projets!A$2:A$823=A88), "")</f>
        <v>15</v>
      </c>
    </row>
    <row r="89" spans="1:28" x14ac:dyDescent="0.25">
      <c r="A89" s="1" t="s">
        <v>366</v>
      </c>
      <c r="B89" s="2">
        <v>43255</v>
      </c>
      <c r="C89" t="s">
        <v>367</v>
      </c>
      <c r="D89" s="1" t="s">
        <v>30</v>
      </c>
      <c r="E89" t="s">
        <v>252</v>
      </c>
      <c r="F89" t="s">
        <v>252</v>
      </c>
      <c r="G89" t="s">
        <v>368</v>
      </c>
      <c r="I89">
        <v>1</v>
      </c>
      <c r="J89">
        <v>2.1</v>
      </c>
      <c r="K89">
        <v>4</v>
      </c>
      <c r="L89">
        <v>0.8</v>
      </c>
      <c r="M89">
        <v>60</v>
      </c>
      <c r="N89">
        <v>514</v>
      </c>
      <c r="O89">
        <v>100</v>
      </c>
      <c r="P89">
        <v>90</v>
      </c>
      <c r="Q89">
        <v>14</v>
      </c>
      <c r="R89">
        <v>126</v>
      </c>
      <c r="S89">
        <v>151</v>
      </c>
      <c r="T89">
        <v>3011</v>
      </c>
      <c r="U89">
        <v>54</v>
      </c>
      <c r="V89" s="8" t="s">
        <v>33</v>
      </c>
      <c r="W89" t="s">
        <v>34</v>
      </c>
      <c r="X89" t="s">
        <v>41</v>
      </c>
      <c r="Z89" t="str">
        <f t="shared" si="1"/>
        <v>MS</v>
      </c>
      <c r="AA89" s="8"/>
      <c r="AB89">
        <f t="array" ref="AB89">_xlfn._xlws.FILTER(Projets!I$2:I$823,(Projets!A$2:A$823=A89), "")</f>
        <v>225.65</v>
      </c>
    </row>
    <row r="90" spans="1:28" x14ac:dyDescent="0.25">
      <c r="A90" s="1" t="s">
        <v>369</v>
      </c>
      <c r="B90" s="2">
        <v>43255</v>
      </c>
      <c r="C90" t="s">
        <v>370</v>
      </c>
      <c r="D90" s="1" t="s">
        <v>30</v>
      </c>
      <c r="E90" t="s">
        <v>337</v>
      </c>
      <c r="F90" t="s">
        <v>337</v>
      </c>
      <c r="G90" t="s">
        <v>371</v>
      </c>
      <c r="I90">
        <v>1</v>
      </c>
      <c r="J90">
        <v>1.3149999999999999</v>
      </c>
      <c r="K90">
        <v>10</v>
      </c>
      <c r="L90">
        <v>0.92</v>
      </c>
      <c r="M90">
        <v>50</v>
      </c>
      <c r="N90">
        <v>3000</v>
      </c>
      <c r="O90">
        <v>47</v>
      </c>
      <c r="P90">
        <v>79</v>
      </c>
      <c r="Q90">
        <v>2</v>
      </c>
      <c r="R90">
        <v>54</v>
      </c>
      <c r="S90">
        <v>611</v>
      </c>
      <c r="T90">
        <v>1001</v>
      </c>
      <c r="U90">
        <v>55</v>
      </c>
      <c r="V90" s="8" t="s">
        <v>33</v>
      </c>
      <c r="W90" t="s">
        <v>34</v>
      </c>
      <c r="X90" t="s">
        <v>41</v>
      </c>
      <c r="Z90" t="str">
        <f t="shared" si="1"/>
        <v>MS</v>
      </c>
      <c r="AA90" s="8"/>
      <c r="AB90">
        <f t="array" ref="AB90">_xlfn._xlws.FILTER(Projets!I$2:I$823,(Projets!A$2:A$823=A90), "")</f>
        <v>24.85</v>
      </c>
    </row>
    <row r="91" spans="1:28" x14ac:dyDescent="0.25">
      <c r="A91" s="1" t="s">
        <v>372</v>
      </c>
      <c r="B91" s="2">
        <v>43297</v>
      </c>
      <c r="C91" t="s">
        <v>373</v>
      </c>
      <c r="D91" s="1" t="s">
        <v>145</v>
      </c>
      <c r="E91" t="s">
        <v>374</v>
      </c>
      <c r="F91" t="s">
        <v>375</v>
      </c>
      <c r="G91" t="s">
        <v>376</v>
      </c>
      <c r="H91" t="s">
        <v>377</v>
      </c>
      <c r="I91">
        <v>1</v>
      </c>
      <c r="J91">
        <v>2.7</v>
      </c>
      <c r="K91">
        <v>10</v>
      </c>
      <c r="L91">
        <v>0.9</v>
      </c>
      <c r="M91">
        <v>50</v>
      </c>
      <c r="N91">
        <v>3000</v>
      </c>
      <c r="O91">
        <v>55</v>
      </c>
      <c r="P91">
        <v>71</v>
      </c>
      <c r="Q91">
        <v>2</v>
      </c>
      <c r="R91">
        <v>60</v>
      </c>
      <c r="S91">
        <v>611</v>
      </c>
      <c r="T91">
        <v>1001</v>
      </c>
      <c r="U91">
        <v>54</v>
      </c>
      <c r="V91" s="8" t="s">
        <v>212</v>
      </c>
      <c r="W91" t="s">
        <v>34</v>
      </c>
      <c r="X91" t="s">
        <v>41</v>
      </c>
      <c r="Z91" t="str">
        <f t="shared" si="1"/>
        <v>MS</v>
      </c>
      <c r="AA91" s="8"/>
      <c r="AB91">
        <f t="array" ref="AB91">_xlfn._xlws.FILTER(Projets!I$2:I$823,(Projets!A$2:A$823=A91), "")</f>
        <v>1872.05</v>
      </c>
    </row>
    <row r="92" spans="1:28" x14ac:dyDescent="0.25">
      <c r="A92" s="1" t="s">
        <v>372</v>
      </c>
      <c r="B92" s="2">
        <v>43297</v>
      </c>
      <c r="C92" t="s">
        <v>373</v>
      </c>
      <c r="D92" s="1" t="s">
        <v>30</v>
      </c>
      <c r="E92" t="s">
        <v>374</v>
      </c>
      <c r="F92" t="s">
        <v>375</v>
      </c>
      <c r="G92" t="s">
        <v>378</v>
      </c>
      <c r="H92" t="s">
        <v>379</v>
      </c>
      <c r="I92">
        <v>1</v>
      </c>
      <c r="J92">
        <v>4</v>
      </c>
      <c r="K92">
        <v>10</v>
      </c>
      <c r="L92">
        <v>0.91</v>
      </c>
      <c r="M92">
        <v>50</v>
      </c>
      <c r="N92">
        <v>1500</v>
      </c>
      <c r="O92">
        <v>77</v>
      </c>
      <c r="P92">
        <v>101</v>
      </c>
      <c r="Q92">
        <v>4</v>
      </c>
      <c r="R92">
        <v>72</v>
      </c>
      <c r="S92">
        <v>611</v>
      </c>
      <c r="T92">
        <v>1001</v>
      </c>
      <c r="U92">
        <v>54</v>
      </c>
      <c r="V92" s="8" t="s">
        <v>212</v>
      </c>
      <c r="W92" t="s">
        <v>34</v>
      </c>
      <c r="X92" t="s">
        <v>41</v>
      </c>
      <c r="Z92" t="str">
        <f t="shared" si="1"/>
        <v>MS</v>
      </c>
      <c r="AA92" s="8"/>
      <c r="AB92">
        <f t="array" ref="AB92">_xlfn._xlws.FILTER(Projets!I$2:I$823,(Projets!A$2:A$823=A92), "")</f>
        <v>1872.05</v>
      </c>
    </row>
    <row r="93" spans="1:28" x14ac:dyDescent="0.25">
      <c r="A93" s="1" t="s">
        <v>380</v>
      </c>
      <c r="B93" s="2">
        <v>43269</v>
      </c>
      <c r="C93" t="s">
        <v>381</v>
      </c>
      <c r="D93" s="1" t="s">
        <v>382</v>
      </c>
      <c r="E93" t="s">
        <v>383</v>
      </c>
      <c r="F93" t="s">
        <v>384</v>
      </c>
      <c r="G93" t="s">
        <v>385</v>
      </c>
      <c r="I93">
        <v>1</v>
      </c>
      <c r="J93">
        <v>0.315</v>
      </c>
      <c r="K93">
        <v>6</v>
      </c>
      <c r="L93">
        <v>0.92</v>
      </c>
      <c r="M93">
        <v>50</v>
      </c>
      <c r="N93">
        <v>3000</v>
      </c>
      <c r="O93">
        <v>36</v>
      </c>
      <c r="P93">
        <v>35</v>
      </c>
      <c r="Q93">
        <v>2</v>
      </c>
      <c r="R93">
        <v>42</v>
      </c>
      <c r="S93">
        <v>611</v>
      </c>
      <c r="T93">
        <v>1001</v>
      </c>
      <c r="U93">
        <v>55</v>
      </c>
      <c r="V93" s="8" t="s">
        <v>212</v>
      </c>
      <c r="W93" t="s">
        <v>34</v>
      </c>
      <c r="X93" t="s">
        <v>41</v>
      </c>
      <c r="Z93" t="str">
        <f t="shared" si="1"/>
        <v>MS</v>
      </c>
      <c r="AA93" s="8"/>
      <c r="AB93">
        <f t="array" ref="AB93">_xlfn._xlws.FILTER(Projets!I$2:I$823,(Projets!A$2:A$823=A93), "")</f>
        <v>960.2</v>
      </c>
    </row>
    <row r="94" spans="1:28" x14ac:dyDescent="0.25">
      <c r="A94" s="1" t="s">
        <v>380</v>
      </c>
      <c r="B94" s="2">
        <v>43269</v>
      </c>
      <c r="C94" t="s">
        <v>381</v>
      </c>
      <c r="D94" s="1" t="s">
        <v>386</v>
      </c>
      <c r="E94" t="s">
        <v>383</v>
      </c>
      <c r="F94" t="s">
        <v>384</v>
      </c>
      <c r="G94" t="s">
        <v>387</v>
      </c>
      <c r="I94">
        <v>1</v>
      </c>
      <c r="J94">
        <v>0.85</v>
      </c>
      <c r="K94">
        <v>6</v>
      </c>
      <c r="L94">
        <v>0.84</v>
      </c>
      <c r="M94">
        <v>50</v>
      </c>
      <c r="N94">
        <v>1000</v>
      </c>
      <c r="O94">
        <v>57</v>
      </c>
      <c r="P94">
        <v>68</v>
      </c>
      <c r="Q94">
        <v>6</v>
      </c>
      <c r="R94">
        <v>72</v>
      </c>
      <c r="S94">
        <v>611</v>
      </c>
      <c r="T94">
        <v>1001</v>
      </c>
      <c r="U94">
        <v>55</v>
      </c>
      <c r="V94" s="8" t="s">
        <v>33</v>
      </c>
      <c r="W94" t="s">
        <v>34</v>
      </c>
      <c r="X94" t="s">
        <v>41</v>
      </c>
      <c r="Z94" t="str">
        <f t="shared" si="1"/>
        <v>MS</v>
      </c>
      <c r="AA94" s="8"/>
      <c r="AB94">
        <f t="array" ref="AB94">_xlfn._xlws.FILTER(Projets!I$2:I$823,(Projets!A$2:A$823=A94), "")</f>
        <v>960.2</v>
      </c>
    </row>
    <row r="95" spans="1:28" x14ac:dyDescent="0.25">
      <c r="A95" s="1" t="s">
        <v>380</v>
      </c>
      <c r="B95" s="2">
        <v>43269</v>
      </c>
      <c r="C95" t="s">
        <v>381</v>
      </c>
      <c r="D95" s="1" t="s">
        <v>341</v>
      </c>
      <c r="E95" t="s">
        <v>383</v>
      </c>
      <c r="F95" t="s">
        <v>384</v>
      </c>
      <c r="G95" t="s">
        <v>388</v>
      </c>
      <c r="I95">
        <v>1</v>
      </c>
      <c r="J95">
        <v>1.6</v>
      </c>
      <c r="K95">
        <v>6</v>
      </c>
      <c r="L95">
        <v>0.87</v>
      </c>
      <c r="M95">
        <v>50</v>
      </c>
      <c r="N95">
        <v>1000</v>
      </c>
      <c r="O95">
        <v>62</v>
      </c>
      <c r="P95">
        <v>104</v>
      </c>
      <c r="Q95">
        <v>6</v>
      </c>
      <c r="R95">
        <v>72</v>
      </c>
      <c r="S95">
        <v>611</v>
      </c>
      <c r="T95">
        <v>1001</v>
      </c>
      <c r="U95">
        <v>55</v>
      </c>
      <c r="V95" s="8" t="s">
        <v>33</v>
      </c>
      <c r="W95" t="s">
        <v>34</v>
      </c>
      <c r="X95" t="s">
        <v>41</v>
      </c>
      <c r="Z95" t="str">
        <f t="shared" si="1"/>
        <v>MS</v>
      </c>
      <c r="AA95" s="8"/>
      <c r="AB95">
        <f t="array" ref="AB95">_xlfn._xlws.FILTER(Projets!I$2:I$823,(Projets!A$2:A$823=A95), "")</f>
        <v>960.2</v>
      </c>
    </row>
    <row r="96" spans="1:28" x14ac:dyDescent="0.25">
      <c r="A96" s="1" t="s">
        <v>380</v>
      </c>
      <c r="B96" s="2">
        <v>43269</v>
      </c>
      <c r="C96" t="s">
        <v>381</v>
      </c>
      <c r="D96" s="1" t="s">
        <v>187</v>
      </c>
      <c r="E96" t="s">
        <v>383</v>
      </c>
      <c r="F96" t="s">
        <v>384</v>
      </c>
      <c r="G96" t="s">
        <v>389</v>
      </c>
      <c r="I96">
        <v>1</v>
      </c>
      <c r="J96">
        <v>2.25</v>
      </c>
      <c r="K96">
        <v>6</v>
      </c>
      <c r="L96">
        <v>0.92</v>
      </c>
      <c r="M96">
        <v>50</v>
      </c>
      <c r="N96">
        <v>3000</v>
      </c>
      <c r="O96">
        <v>53</v>
      </c>
      <c r="P96">
        <v>94</v>
      </c>
      <c r="Q96">
        <v>2</v>
      </c>
      <c r="R96">
        <v>60</v>
      </c>
      <c r="S96">
        <v>611</v>
      </c>
      <c r="T96">
        <v>1001</v>
      </c>
      <c r="U96">
        <v>55</v>
      </c>
      <c r="V96" s="8" t="s">
        <v>33</v>
      </c>
      <c r="W96" t="s">
        <v>34</v>
      </c>
      <c r="X96" t="s">
        <v>41</v>
      </c>
      <c r="Z96" t="str">
        <f t="shared" si="1"/>
        <v>MS</v>
      </c>
      <c r="AA96" s="8"/>
      <c r="AB96">
        <f t="array" ref="AB96">_xlfn._xlws.FILTER(Projets!I$2:I$823,(Projets!A$2:A$823=A96), "")</f>
        <v>960.2</v>
      </c>
    </row>
    <row r="97" spans="1:28" x14ac:dyDescent="0.25">
      <c r="A97" s="1" t="s">
        <v>380</v>
      </c>
      <c r="B97" s="2">
        <v>43269</v>
      </c>
      <c r="C97" t="s">
        <v>381</v>
      </c>
      <c r="D97" s="1" t="s">
        <v>145</v>
      </c>
      <c r="E97" t="s">
        <v>383</v>
      </c>
      <c r="F97" t="s">
        <v>384</v>
      </c>
      <c r="G97" t="s">
        <v>390</v>
      </c>
      <c r="I97">
        <v>1</v>
      </c>
      <c r="J97">
        <v>2.8</v>
      </c>
      <c r="K97">
        <v>6</v>
      </c>
      <c r="L97">
        <v>0.86</v>
      </c>
      <c r="M97">
        <v>50</v>
      </c>
      <c r="N97">
        <v>1000</v>
      </c>
      <c r="O97">
        <v>79</v>
      </c>
      <c r="P97">
        <v>109</v>
      </c>
      <c r="Q97">
        <v>6</v>
      </c>
      <c r="R97">
        <v>90</v>
      </c>
      <c r="S97">
        <v>611</v>
      </c>
      <c r="T97">
        <v>1001</v>
      </c>
      <c r="U97">
        <v>55</v>
      </c>
      <c r="V97" s="8" t="s">
        <v>33</v>
      </c>
      <c r="W97" t="s">
        <v>34</v>
      </c>
      <c r="X97" t="s">
        <v>41</v>
      </c>
      <c r="Z97" t="str">
        <f t="shared" si="1"/>
        <v>MS</v>
      </c>
      <c r="AA97" s="8"/>
      <c r="AB97">
        <f t="array" ref="AB97">_xlfn._xlws.FILTER(Projets!I$2:I$823,(Projets!A$2:A$823=A97), "")</f>
        <v>960.2</v>
      </c>
    </row>
    <row r="98" spans="1:28" x14ac:dyDescent="0.25">
      <c r="A98" s="1" t="s">
        <v>380</v>
      </c>
      <c r="B98" s="2">
        <v>43269</v>
      </c>
      <c r="C98" t="s">
        <v>381</v>
      </c>
      <c r="D98" s="1" t="s">
        <v>30</v>
      </c>
      <c r="E98" t="s">
        <v>383</v>
      </c>
      <c r="F98" t="s">
        <v>384</v>
      </c>
      <c r="G98" t="s">
        <v>391</v>
      </c>
      <c r="I98">
        <v>1</v>
      </c>
      <c r="J98">
        <v>3.7</v>
      </c>
      <c r="K98">
        <v>11</v>
      </c>
      <c r="L98">
        <v>0.87</v>
      </c>
      <c r="M98">
        <v>50</v>
      </c>
      <c r="N98">
        <v>1000</v>
      </c>
      <c r="O98">
        <v>93</v>
      </c>
      <c r="P98">
        <v>119</v>
      </c>
      <c r="Q98">
        <v>6</v>
      </c>
      <c r="R98">
        <v>90</v>
      </c>
      <c r="S98">
        <v>611</v>
      </c>
      <c r="T98">
        <v>1001</v>
      </c>
      <c r="U98">
        <v>55</v>
      </c>
      <c r="V98" s="8" t="s">
        <v>33</v>
      </c>
      <c r="W98" t="s">
        <v>34</v>
      </c>
      <c r="X98" t="s">
        <v>41</v>
      </c>
      <c r="Z98" t="str">
        <f t="shared" si="1"/>
        <v>MS</v>
      </c>
      <c r="AA98" s="8"/>
      <c r="AB98">
        <f t="array" ref="AB98">_xlfn._xlws.FILTER(Projets!I$2:I$823,(Projets!A$2:A$823=A98), "")</f>
        <v>960.2</v>
      </c>
    </row>
    <row r="99" spans="1:28" x14ac:dyDescent="0.25">
      <c r="A99" s="1" t="s">
        <v>392</v>
      </c>
      <c r="B99" s="2">
        <v>43304</v>
      </c>
      <c r="C99" t="s">
        <v>393</v>
      </c>
      <c r="D99" s="1" t="s">
        <v>145</v>
      </c>
      <c r="E99" t="s">
        <v>394</v>
      </c>
      <c r="F99" t="s">
        <v>395</v>
      </c>
      <c r="G99" t="s">
        <v>389</v>
      </c>
      <c r="I99">
        <v>2</v>
      </c>
      <c r="J99">
        <v>2.35</v>
      </c>
      <c r="K99">
        <v>6.6</v>
      </c>
      <c r="L99">
        <v>0.92</v>
      </c>
      <c r="M99">
        <v>50</v>
      </c>
      <c r="N99">
        <v>3000</v>
      </c>
      <c r="O99">
        <v>53</v>
      </c>
      <c r="P99">
        <v>84</v>
      </c>
      <c r="Q99">
        <v>2</v>
      </c>
      <c r="R99">
        <v>66</v>
      </c>
      <c r="S99">
        <v>611</v>
      </c>
      <c r="T99">
        <v>1001</v>
      </c>
      <c r="U99">
        <v>55</v>
      </c>
      <c r="V99" s="8" t="s">
        <v>33</v>
      </c>
      <c r="W99" t="s">
        <v>34</v>
      </c>
      <c r="X99" t="s">
        <v>41</v>
      </c>
      <c r="Z99" t="str">
        <f t="shared" si="1"/>
        <v>MS</v>
      </c>
      <c r="AA99" s="8"/>
      <c r="AB99">
        <f t="array" ref="AB99">_xlfn._xlws.FILTER(Projets!I$2:I$823,(Projets!A$2:A$823=A99), "")</f>
        <v>20.25</v>
      </c>
    </row>
    <row r="100" spans="1:28" x14ac:dyDescent="0.25">
      <c r="A100" s="1" t="s">
        <v>392</v>
      </c>
      <c r="B100" s="2">
        <v>43304</v>
      </c>
      <c r="C100" t="s">
        <v>393</v>
      </c>
      <c r="D100" s="1" t="s">
        <v>30</v>
      </c>
      <c r="E100" t="s">
        <v>394</v>
      </c>
      <c r="F100" t="s">
        <v>395</v>
      </c>
      <c r="G100" t="s">
        <v>396</v>
      </c>
      <c r="I100">
        <v>2</v>
      </c>
      <c r="J100">
        <v>0.6</v>
      </c>
      <c r="K100">
        <v>6.6</v>
      </c>
      <c r="L100">
        <v>0.87</v>
      </c>
      <c r="M100">
        <v>50</v>
      </c>
      <c r="N100">
        <v>1500</v>
      </c>
      <c r="O100">
        <v>40</v>
      </c>
      <c r="P100">
        <v>66</v>
      </c>
      <c r="Q100">
        <v>4</v>
      </c>
      <c r="R100">
        <v>48</v>
      </c>
      <c r="S100">
        <v>611</v>
      </c>
      <c r="T100">
        <v>3011</v>
      </c>
      <c r="U100">
        <v>55</v>
      </c>
      <c r="V100" s="8" t="s">
        <v>33</v>
      </c>
      <c r="W100" t="s">
        <v>34</v>
      </c>
      <c r="X100" t="s">
        <v>41</v>
      </c>
      <c r="Z100" t="str">
        <f t="shared" si="1"/>
        <v>MS</v>
      </c>
      <c r="AA100" s="8"/>
      <c r="AB100">
        <f t="array" ref="AB100">_xlfn._xlws.FILTER(Projets!I$2:I$823,(Projets!A$2:A$823=A100), "")</f>
        <v>20.25</v>
      </c>
    </row>
    <row r="101" spans="1:28" x14ac:dyDescent="0.25">
      <c r="A101" s="1" t="s">
        <v>397</v>
      </c>
      <c r="B101" s="2">
        <v>43304</v>
      </c>
      <c r="C101" t="s">
        <v>398</v>
      </c>
      <c r="D101" s="1" t="s">
        <v>30</v>
      </c>
      <c r="E101" t="s">
        <v>399</v>
      </c>
      <c r="F101" t="s">
        <v>400</v>
      </c>
      <c r="G101" t="s">
        <v>401</v>
      </c>
      <c r="I101">
        <v>1</v>
      </c>
      <c r="J101">
        <v>0.45</v>
      </c>
      <c r="K101">
        <v>4</v>
      </c>
      <c r="L101">
        <v>0.84</v>
      </c>
      <c r="M101">
        <v>50</v>
      </c>
      <c r="N101">
        <v>1000</v>
      </c>
      <c r="O101">
        <v>46</v>
      </c>
      <c r="P101">
        <v>65</v>
      </c>
      <c r="Q101">
        <v>6</v>
      </c>
      <c r="R101">
        <v>72</v>
      </c>
      <c r="S101" t="s">
        <v>69</v>
      </c>
      <c r="T101">
        <v>1001</v>
      </c>
      <c r="U101">
        <v>23</v>
      </c>
      <c r="V101" s="8" t="s">
        <v>33</v>
      </c>
      <c r="W101" t="s">
        <v>34</v>
      </c>
      <c r="X101" t="s">
        <v>41</v>
      </c>
      <c r="Z101" t="str">
        <f t="shared" si="1"/>
        <v>MS</v>
      </c>
      <c r="AA101" s="8"/>
      <c r="AB101">
        <f t="array" ref="AB101">_xlfn._xlws.FILTER(Projets!I$2:I$823,(Projets!A$2:A$823=A101), "")</f>
        <v>824</v>
      </c>
    </row>
    <row r="102" spans="1:28" x14ac:dyDescent="0.25">
      <c r="A102" s="1" t="s">
        <v>402</v>
      </c>
      <c r="B102" s="2">
        <v>43348</v>
      </c>
      <c r="C102" t="s">
        <v>403</v>
      </c>
      <c r="D102" s="1" t="s">
        <v>30</v>
      </c>
      <c r="E102" t="s">
        <v>404</v>
      </c>
      <c r="F102" t="s">
        <v>404</v>
      </c>
      <c r="G102" t="s">
        <v>405</v>
      </c>
      <c r="I102">
        <v>1</v>
      </c>
      <c r="J102">
        <v>2.6</v>
      </c>
      <c r="K102">
        <v>6.6</v>
      </c>
      <c r="L102">
        <v>0.8</v>
      </c>
      <c r="M102">
        <v>60</v>
      </c>
      <c r="N102">
        <v>360</v>
      </c>
      <c r="O102">
        <v>149</v>
      </c>
      <c r="P102">
        <v>56</v>
      </c>
      <c r="Q102">
        <v>20</v>
      </c>
      <c r="R102">
        <v>180</v>
      </c>
      <c r="S102" t="s">
        <v>156</v>
      </c>
      <c r="T102">
        <v>7015</v>
      </c>
      <c r="U102">
        <v>55</v>
      </c>
      <c r="V102" s="8" t="s">
        <v>212</v>
      </c>
      <c r="W102" t="s">
        <v>34</v>
      </c>
      <c r="X102" t="s">
        <v>41</v>
      </c>
      <c r="Z102" t="str">
        <f t="shared" si="1"/>
        <v>MS</v>
      </c>
      <c r="AA102" s="8"/>
      <c r="AB102">
        <f t="array" ref="AB102">_xlfn._xlws.FILTER(Projets!I$2:I$823,(Projets!A$2:A$823=A102), "")</f>
        <v>713.6</v>
      </c>
    </row>
    <row r="103" spans="1:28" x14ac:dyDescent="0.25">
      <c r="A103" s="1" t="s">
        <v>406</v>
      </c>
      <c r="B103" s="2">
        <v>43399</v>
      </c>
      <c r="C103" t="s">
        <v>407</v>
      </c>
      <c r="D103" s="1" t="s">
        <v>145</v>
      </c>
      <c r="E103" t="s">
        <v>408</v>
      </c>
      <c r="F103" t="s">
        <v>408</v>
      </c>
      <c r="G103" t="s">
        <v>409</v>
      </c>
      <c r="I103">
        <v>2</v>
      </c>
      <c r="J103">
        <v>4.4000000000000004</v>
      </c>
      <c r="K103">
        <v>5.5</v>
      </c>
      <c r="L103">
        <v>0.9</v>
      </c>
      <c r="M103">
        <v>50</v>
      </c>
      <c r="N103">
        <v>1000</v>
      </c>
      <c r="O103">
        <v>98</v>
      </c>
      <c r="P103">
        <v>80</v>
      </c>
      <c r="Q103">
        <v>6</v>
      </c>
      <c r="R103">
        <v>108</v>
      </c>
      <c r="S103" t="s">
        <v>69</v>
      </c>
      <c r="T103">
        <v>1001</v>
      </c>
      <c r="U103">
        <v>23</v>
      </c>
      <c r="V103" s="8" t="s">
        <v>33</v>
      </c>
      <c r="W103" t="s">
        <v>34</v>
      </c>
      <c r="X103" t="s">
        <v>41</v>
      </c>
      <c r="Z103" t="str">
        <f t="shared" si="1"/>
        <v>MS</v>
      </c>
      <c r="AA103" s="8"/>
      <c r="AB103">
        <f t="array" ref="AB103">_xlfn._xlws.FILTER(Projets!I$2:I$823,(Projets!A$2:A$823=A103), "")</f>
        <v>542.6</v>
      </c>
    </row>
    <row r="104" spans="1:28" x14ac:dyDescent="0.25">
      <c r="A104" s="1" t="s">
        <v>406</v>
      </c>
      <c r="B104" s="2">
        <v>43399</v>
      </c>
      <c r="C104" t="s">
        <v>407</v>
      </c>
      <c r="D104" s="1" t="s">
        <v>30</v>
      </c>
      <c r="E104" t="s">
        <v>408</v>
      </c>
      <c r="F104" t="s">
        <v>408</v>
      </c>
      <c r="G104" t="s">
        <v>410</v>
      </c>
      <c r="I104">
        <v>2</v>
      </c>
      <c r="J104">
        <v>2.2000000000000002</v>
      </c>
      <c r="K104">
        <v>5.5</v>
      </c>
      <c r="L104">
        <v>0.89</v>
      </c>
      <c r="M104">
        <v>50</v>
      </c>
      <c r="N104">
        <v>1000</v>
      </c>
      <c r="O104">
        <v>69</v>
      </c>
      <c r="P104">
        <v>99</v>
      </c>
      <c r="Q104">
        <v>6</v>
      </c>
      <c r="R104">
        <v>90</v>
      </c>
      <c r="S104" t="s">
        <v>156</v>
      </c>
      <c r="T104">
        <v>1001</v>
      </c>
      <c r="U104">
        <v>55</v>
      </c>
      <c r="V104" s="8" t="s">
        <v>33</v>
      </c>
      <c r="W104" t="s">
        <v>34</v>
      </c>
      <c r="X104" t="s">
        <v>41</v>
      </c>
      <c r="Z104" t="str">
        <f t="shared" si="1"/>
        <v>MS</v>
      </c>
      <c r="AA104" s="8"/>
      <c r="AB104">
        <f t="array" ref="AB104">_xlfn._xlws.FILTER(Projets!I$2:I$823,(Projets!A$2:A$823=A104), "")</f>
        <v>542.6</v>
      </c>
    </row>
    <row r="105" spans="1:28" x14ac:dyDescent="0.25">
      <c r="A105" s="1" t="s">
        <v>411</v>
      </c>
      <c r="B105" s="2">
        <v>43454</v>
      </c>
      <c r="C105" t="s">
        <v>412</v>
      </c>
      <c r="D105" s="1" t="s">
        <v>145</v>
      </c>
      <c r="E105" t="s">
        <v>413</v>
      </c>
      <c r="F105" t="s">
        <v>412</v>
      </c>
      <c r="G105" t="s">
        <v>414</v>
      </c>
      <c r="H105" t="s">
        <v>415</v>
      </c>
      <c r="I105">
        <v>16</v>
      </c>
      <c r="J105">
        <v>2.7</v>
      </c>
      <c r="K105">
        <v>6.6</v>
      </c>
      <c r="L105">
        <v>0.9</v>
      </c>
      <c r="M105">
        <v>50</v>
      </c>
      <c r="N105">
        <v>1500</v>
      </c>
      <c r="O105">
        <v>66</v>
      </c>
      <c r="P105">
        <v>94</v>
      </c>
      <c r="Q105">
        <v>4</v>
      </c>
      <c r="R105">
        <v>72</v>
      </c>
      <c r="S105" t="s">
        <v>156</v>
      </c>
      <c r="T105">
        <v>1001</v>
      </c>
      <c r="U105">
        <v>55</v>
      </c>
      <c r="V105" s="8" t="s">
        <v>33</v>
      </c>
      <c r="W105" t="s">
        <v>34</v>
      </c>
      <c r="X105" t="s">
        <v>41</v>
      </c>
      <c r="Z105" t="str">
        <f t="shared" si="1"/>
        <v>MS</v>
      </c>
      <c r="AA105" s="8"/>
      <c r="AB105">
        <f t="array" ref="AB105">_xlfn._xlws.FILTER(Projets!I$2:I$823,(Projets!A$2:A$823=A105), "")</f>
        <v>653.20000000000005</v>
      </c>
    </row>
    <row r="106" spans="1:28" x14ac:dyDescent="0.25">
      <c r="A106" s="1" t="s">
        <v>411</v>
      </c>
      <c r="B106" s="2">
        <v>43454</v>
      </c>
      <c r="C106" t="s">
        <v>412</v>
      </c>
      <c r="D106" s="1" t="s">
        <v>30</v>
      </c>
      <c r="E106" t="s">
        <v>413</v>
      </c>
      <c r="F106" t="s">
        <v>412</v>
      </c>
      <c r="G106" t="s">
        <v>416</v>
      </c>
      <c r="H106" t="s">
        <v>307</v>
      </c>
      <c r="I106">
        <v>6</v>
      </c>
      <c r="J106">
        <v>2.5</v>
      </c>
      <c r="K106">
        <v>6.6</v>
      </c>
      <c r="L106">
        <v>0.9</v>
      </c>
      <c r="M106">
        <v>50</v>
      </c>
      <c r="N106">
        <v>1500</v>
      </c>
      <c r="O106">
        <v>59</v>
      </c>
      <c r="P106">
        <v>104</v>
      </c>
      <c r="Q106">
        <v>4</v>
      </c>
      <c r="R106">
        <v>72</v>
      </c>
      <c r="S106" t="s">
        <v>176</v>
      </c>
      <c r="T106">
        <v>1001</v>
      </c>
      <c r="U106">
        <v>55</v>
      </c>
      <c r="V106" s="8" t="s">
        <v>33</v>
      </c>
      <c r="W106" t="s">
        <v>34</v>
      </c>
      <c r="X106" t="s">
        <v>41</v>
      </c>
      <c r="Z106" t="str">
        <f t="shared" si="1"/>
        <v>MS</v>
      </c>
      <c r="AA106" s="8"/>
      <c r="AB106">
        <f t="array" ref="AB106">_xlfn._xlws.FILTER(Projets!I$2:I$823,(Projets!A$2:A$823=A106), "")</f>
        <v>653.20000000000005</v>
      </c>
    </row>
    <row r="107" spans="1:28" x14ac:dyDescent="0.25">
      <c r="A107" s="1" t="s">
        <v>417</v>
      </c>
      <c r="B107" s="2">
        <v>43469</v>
      </c>
      <c r="C107" t="s">
        <v>418</v>
      </c>
      <c r="D107" s="1" t="s">
        <v>30</v>
      </c>
      <c r="E107" t="s">
        <v>394</v>
      </c>
      <c r="F107" t="s">
        <v>419</v>
      </c>
      <c r="G107" t="s">
        <v>420</v>
      </c>
      <c r="I107">
        <v>6</v>
      </c>
      <c r="J107">
        <v>1.4</v>
      </c>
      <c r="K107">
        <v>6.6</v>
      </c>
      <c r="L107">
        <v>0.92</v>
      </c>
      <c r="M107">
        <v>50</v>
      </c>
      <c r="N107">
        <v>1500</v>
      </c>
      <c r="O107">
        <v>86</v>
      </c>
      <c r="P107">
        <v>76</v>
      </c>
      <c r="Q107">
        <v>4</v>
      </c>
      <c r="R107">
        <v>72</v>
      </c>
      <c r="S107" t="s">
        <v>49</v>
      </c>
      <c r="T107">
        <v>1001</v>
      </c>
      <c r="U107">
        <v>55</v>
      </c>
      <c r="V107" s="8" t="s">
        <v>33</v>
      </c>
      <c r="W107" t="s">
        <v>34</v>
      </c>
      <c r="X107" t="s">
        <v>41</v>
      </c>
      <c r="Z107" t="str">
        <f t="shared" si="1"/>
        <v>MS</v>
      </c>
      <c r="AA107" s="8"/>
      <c r="AB107">
        <f t="array" ref="AB107">_xlfn._xlws.FILTER(Projets!I$2:I$823,(Projets!A$2:A$823=A107), "")</f>
        <v>84.800000000000011</v>
      </c>
    </row>
    <row r="108" spans="1:28" x14ac:dyDescent="0.25">
      <c r="A108" s="1" t="s">
        <v>421</v>
      </c>
      <c r="B108" s="2">
        <v>43536</v>
      </c>
      <c r="C108" t="s">
        <v>422</v>
      </c>
      <c r="D108" s="1" t="s">
        <v>30</v>
      </c>
      <c r="E108" t="s">
        <v>109</v>
      </c>
      <c r="F108" t="s">
        <v>216</v>
      </c>
      <c r="G108" t="s">
        <v>423</v>
      </c>
      <c r="H108" t="s">
        <v>424</v>
      </c>
      <c r="I108">
        <v>4</v>
      </c>
      <c r="J108">
        <v>3.3</v>
      </c>
      <c r="K108">
        <v>11</v>
      </c>
      <c r="L108">
        <v>0.80200000000000005</v>
      </c>
      <c r="M108">
        <v>60</v>
      </c>
      <c r="N108">
        <v>720</v>
      </c>
      <c r="O108">
        <v>84</v>
      </c>
      <c r="P108">
        <v>129</v>
      </c>
      <c r="Q108">
        <v>10</v>
      </c>
      <c r="R108">
        <v>90</v>
      </c>
      <c r="S108" t="s">
        <v>69</v>
      </c>
      <c r="T108">
        <v>3011</v>
      </c>
      <c r="U108">
        <v>23</v>
      </c>
      <c r="V108" s="8" t="s">
        <v>33</v>
      </c>
      <c r="W108" t="s">
        <v>34</v>
      </c>
      <c r="X108" t="s">
        <v>41</v>
      </c>
      <c r="Z108" t="str">
        <f t="shared" si="1"/>
        <v>MS</v>
      </c>
      <c r="AA108" s="8"/>
      <c r="AB108">
        <f t="array" ref="AB108">_xlfn._xlws.FILTER(Projets!I$2:I$823,(Projets!A$2:A$823=A108), "")</f>
        <v>137.65</v>
      </c>
    </row>
    <row r="109" spans="1:28" x14ac:dyDescent="0.25">
      <c r="A109" s="1" t="s">
        <v>425</v>
      </c>
      <c r="B109" s="2">
        <v>43502</v>
      </c>
      <c r="C109" t="s">
        <v>426</v>
      </c>
      <c r="D109" s="1" t="s">
        <v>30</v>
      </c>
      <c r="E109" t="s">
        <v>52</v>
      </c>
      <c r="F109" t="s">
        <v>427</v>
      </c>
      <c r="G109" t="s">
        <v>428</v>
      </c>
      <c r="I109">
        <v>4</v>
      </c>
      <c r="J109">
        <v>0.71</v>
      </c>
      <c r="K109">
        <v>6</v>
      </c>
      <c r="L109">
        <v>0.9</v>
      </c>
      <c r="M109">
        <v>50</v>
      </c>
      <c r="N109">
        <v>3000</v>
      </c>
      <c r="O109">
        <v>40</v>
      </c>
      <c r="P109">
        <v>45</v>
      </c>
      <c r="Q109">
        <v>2</v>
      </c>
      <c r="R109">
        <v>54</v>
      </c>
      <c r="S109">
        <v>611</v>
      </c>
      <c r="T109">
        <v>1001</v>
      </c>
      <c r="U109">
        <v>55</v>
      </c>
      <c r="V109" s="8" t="s">
        <v>106</v>
      </c>
      <c r="W109" t="s">
        <v>34</v>
      </c>
      <c r="X109" t="s">
        <v>41</v>
      </c>
      <c r="Z109" t="str">
        <f t="shared" si="1"/>
        <v>MS</v>
      </c>
      <c r="AA109" s="8"/>
      <c r="AB109">
        <f t="array" ref="AB109">_xlfn._xlws.FILTER(Projets!I$2:I$823,(Projets!A$2:A$823=A109), "")</f>
        <v>122.9</v>
      </c>
    </row>
    <row r="110" spans="1:28" x14ac:dyDescent="0.25">
      <c r="A110" s="1" t="s">
        <v>429</v>
      </c>
      <c r="B110" s="2">
        <v>43508</v>
      </c>
      <c r="C110" t="s">
        <v>430</v>
      </c>
      <c r="D110" s="1" t="s">
        <v>30</v>
      </c>
      <c r="E110" t="s">
        <v>431</v>
      </c>
      <c r="F110" t="s">
        <v>431</v>
      </c>
      <c r="G110" t="s">
        <v>432</v>
      </c>
      <c r="H110" t="s">
        <v>433</v>
      </c>
      <c r="I110">
        <v>1</v>
      </c>
      <c r="J110">
        <v>3</v>
      </c>
      <c r="K110">
        <v>6.6</v>
      </c>
      <c r="L110">
        <v>0.88</v>
      </c>
      <c r="M110">
        <v>60</v>
      </c>
      <c r="N110">
        <v>1800</v>
      </c>
      <c r="O110">
        <v>65</v>
      </c>
      <c r="P110">
        <v>114</v>
      </c>
      <c r="Q110">
        <v>4</v>
      </c>
      <c r="R110">
        <v>72</v>
      </c>
      <c r="S110" t="s">
        <v>434</v>
      </c>
      <c r="T110">
        <v>1001</v>
      </c>
      <c r="U110">
        <v>23</v>
      </c>
      <c r="V110" s="8" t="s">
        <v>33</v>
      </c>
      <c r="W110" t="s">
        <v>34</v>
      </c>
      <c r="X110" t="s">
        <v>41</v>
      </c>
      <c r="Z110" t="str">
        <f t="shared" si="1"/>
        <v>MS</v>
      </c>
      <c r="AA110" s="8"/>
      <c r="AB110" t="str">
        <f t="array" ref="AB110">_xlfn._xlws.FILTER(Projets!I$2:I$823,(Projets!A$2:A$823=A110), "")</f>
        <v/>
      </c>
    </row>
    <row r="111" spans="1:28" x14ac:dyDescent="0.25">
      <c r="A111" s="1" t="s">
        <v>435</v>
      </c>
      <c r="B111" s="2">
        <v>43578</v>
      </c>
      <c r="C111" t="s">
        <v>436</v>
      </c>
      <c r="D111" s="1" t="s">
        <v>145</v>
      </c>
      <c r="E111" t="s">
        <v>394</v>
      </c>
      <c r="F111" t="s">
        <v>437</v>
      </c>
      <c r="G111" t="s">
        <v>396</v>
      </c>
      <c r="I111">
        <v>2</v>
      </c>
      <c r="J111">
        <v>0.5</v>
      </c>
      <c r="K111">
        <v>6.3</v>
      </c>
      <c r="L111">
        <v>0.86</v>
      </c>
      <c r="M111">
        <v>50</v>
      </c>
      <c r="N111">
        <v>1500</v>
      </c>
      <c r="O111">
        <v>40</v>
      </c>
      <c r="P111">
        <v>56</v>
      </c>
      <c r="Q111">
        <v>4</v>
      </c>
      <c r="R111">
        <v>48</v>
      </c>
      <c r="S111">
        <v>611</v>
      </c>
      <c r="T111">
        <v>3011</v>
      </c>
      <c r="U111">
        <v>54</v>
      </c>
      <c r="V111" s="8" t="s">
        <v>33</v>
      </c>
      <c r="W111" t="s">
        <v>34</v>
      </c>
      <c r="X111" t="s">
        <v>41</v>
      </c>
      <c r="Z111" t="str">
        <f t="shared" si="1"/>
        <v>MS</v>
      </c>
      <c r="AA111" s="8"/>
      <c r="AB111">
        <f t="array" ref="AB111">_xlfn._xlws.FILTER(Projets!I$2:I$823,(Projets!A$2:A$823=A111), "")</f>
        <v>200.4</v>
      </c>
    </row>
    <row r="112" spans="1:28" x14ac:dyDescent="0.25">
      <c r="A112" s="1" t="s">
        <v>435</v>
      </c>
      <c r="B112" s="2">
        <v>43578</v>
      </c>
      <c r="C112" t="s">
        <v>436</v>
      </c>
      <c r="D112" s="1" t="s">
        <v>30</v>
      </c>
      <c r="E112" t="s">
        <v>394</v>
      </c>
      <c r="F112" t="s">
        <v>437</v>
      </c>
      <c r="G112" t="s">
        <v>438</v>
      </c>
      <c r="H112" t="s">
        <v>439</v>
      </c>
      <c r="I112">
        <v>4</v>
      </c>
      <c r="J112">
        <v>1.165</v>
      </c>
      <c r="K112">
        <v>6.3</v>
      </c>
      <c r="L112">
        <v>0.92</v>
      </c>
      <c r="M112">
        <v>50</v>
      </c>
      <c r="N112">
        <v>3000</v>
      </c>
      <c r="O112">
        <v>45</v>
      </c>
      <c r="P112">
        <v>52</v>
      </c>
      <c r="Q112">
        <v>2</v>
      </c>
      <c r="R112">
        <v>54</v>
      </c>
      <c r="S112">
        <v>611</v>
      </c>
      <c r="T112">
        <v>1001</v>
      </c>
      <c r="U112">
        <v>54</v>
      </c>
      <c r="V112" s="8" t="s">
        <v>33</v>
      </c>
      <c r="W112" t="s">
        <v>34</v>
      </c>
      <c r="X112" t="s">
        <v>41</v>
      </c>
      <c r="Z112" t="str">
        <f t="shared" si="1"/>
        <v>MS</v>
      </c>
      <c r="AA112" s="8"/>
      <c r="AB112">
        <f t="array" ref="AB112">_xlfn._xlws.FILTER(Projets!I$2:I$823,(Projets!A$2:A$823=A112), "")</f>
        <v>200.4</v>
      </c>
    </row>
    <row r="113" spans="1:28" x14ac:dyDescent="0.25">
      <c r="A113" s="1" t="s">
        <v>440</v>
      </c>
      <c r="B113" s="2">
        <v>43578</v>
      </c>
      <c r="C113" t="s">
        <v>436</v>
      </c>
      <c r="D113" s="1" t="s">
        <v>145</v>
      </c>
      <c r="E113" t="s">
        <v>394</v>
      </c>
      <c r="F113" t="s">
        <v>437</v>
      </c>
      <c r="G113" t="s">
        <v>441</v>
      </c>
      <c r="I113">
        <v>2</v>
      </c>
      <c r="J113">
        <v>1.65</v>
      </c>
      <c r="K113">
        <v>6.3</v>
      </c>
      <c r="L113">
        <v>0.75</v>
      </c>
      <c r="M113">
        <v>50</v>
      </c>
      <c r="N113">
        <v>500</v>
      </c>
      <c r="O113">
        <v>86</v>
      </c>
      <c r="P113">
        <v>129</v>
      </c>
      <c r="Q113">
        <v>12</v>
      </c>
      <c r="R113">
        <v>108</v>
      </c>
      <c r="S113">
        <v>611</v>
      </c>
      <c r="T113">
        <v>1001</v>
      </c>
      <c r="U113">
        <v>54</v>
      </c>
      <c r="V113" s="8" t="s">
        <v>33</v>
      </c>
      <c r="W113" t="s">
        <v>34</v>
      </c>
      <c r="X113" t="s">
        <v>41</v>
      </c>
      <c r="Z113" t="str">
        <f t="shared" si="1"/>
        <v>MS</v>
      </c>
      <c r="AA113" s="8"/>
      <c r="AB113">
        <f t="array" ref="AB113">_xlfn._xlws.FILTER(Projets!I$2:I$823,(Projets!A$2:A$823=A113), "")</f>
        <v>155.9</v>
      </c>
    </row>
    <row r="114" spans="1:28" x14ac:dyDescent="0.25">
      <c r="A114" s="1" t="s">
        <v>440</v>
      </c>
      <c r="B114" s="2">
        <v>43578</v>
      </c>
      <c r="C114" t="s">
        <v>436</v>
      </c>
      <c r="D114" s="1" t="s">
        <v>30</v>
      </c>
      <c r="E114" t="s">
        <v>394</v>
      </c>
      <c r="F114" t="s">
        <v>437</v>
      </c>
      <c r="G114" t="s">
        <v>396</v>
      </c>
      <c r="I114">
        <v>3</v>
      </c>
      <c r="J114">
        <v>0.33</v>
      </c>
      <c r="K114">
        <v>6.3</v>
      </c>
      <c r="L114">
        <v>0.87</v>
      </c>
      <c r="M114">
        <v>50</v>
      </c>
      <c r="N114">
        <v>1500</v>
      </c>
      <c r="O114">
        <v>40</v>
      </c>
      <c r="P114">
        <v>46</v>
      </c>
      <c r="Q114">
        <v>4</v>
      </c>
      <c r="R114">
        <v>48</v>
      </c>
      <c r="S114">
        <v>611</v>
      </c>
      <c r="T114">
        <v>3011</v>
      </c>
      <c r="U114">
        <v>54</v>
      </c>
      <c r="V114" s="8" t="s">
        <v>33</v>
      </c>
      <c r="W114" t="s">
        <v>34</v>
      </c>
      <c r="X114" t="s">
        <v>41</v>
      </c>
      <c r="Z114" t="str">
        <f t="shared" si="1"/>
        <v>MS</v>
      </c>
      <c r="AA114" s="8"/>
      <c r="AB114">
        <f t="array" ref="AB114">_xlfn._xlws.FILTER(Projets!I$2:I$823,(Projets!A$2:A$823=A114), "")</f>
        <v>155.9</v>
      </c>
    </row>
    <row r="115" spans="1:28" x14ac:dyDescent="0.25">
      <c r="A115" s="1" t="s">
        <v>442</v>
      </c>
      <c r="B115" s="2">
        <v>43622</v>
      </c>
      <c r="C115" t="s">
        <v>443</v>
      </c>
      <c r="D115" s="1" t="s">
        <v>30</v>
      </c>
      <c r="E115" t="s">
        <v>394</v>
      </c>
      <c r="F115" t="s">
        <v>444</v>
      </c>
      <c r="G115" t="s">
        <v>445</v>
      </c>
      <c r="I115">
        <v>3</v>
      </c>
      <c r="J115">
        <v>3.415</v>
      </c>
      <c r="K115">
        <v>6.6</v>
      </c>
      <c r="L115">
        <v>0.79</v>
      </c>
      <c r="M115">
        <v>50</v>
      </c>
      <c r="N115">
        <v>375</v>
      </c>
      <c r="O115">
        <v>124</v>
      </c>
      <c r="P115">
        <v>139</v>
      </c>
      <c r="Q115">
        <v>16</v>
      </c>
      <c r="R115">
        <v>192</v>
      </c>
      <c r="S115">
        <v>611</v>
      </c>
      <c r="T115">
        <v>3011</v>
      </c>
      <c r="U115">
        <v>55</v>
      </c>
      <c r="V115" s="8" t="s">
        <v>33</v>
      </c>
      <c r="W115" t="s">
        <v>34</v>
      </c>
      <c r="X115" t="s">
        <v>41</v>
      </c>
      <c r="Z115" t="str">
        <f t="shared" si="1"/>
        <v>MS</v>
      </c>
      <c r="AA115" s="8"/>
      <c r="AB115">
        <f t="array" ref="AB115">_xlfn._xlws.FILTER(Projets!I$2:I$823,(Projets!A$2:A$823=A115), "")</f>
        <v>1157.5999999999999</v>
      </c>
    </row>
    <row r="116" spans="1:28" x14ac:dyDescent="0.25">
      <c r="A116" s="1" t="s">
        <v>446</v>
      </c>
      <c r="B116" s="2">
        <v>43712</v>
      </c>
      <c r="C116" t="s">
        <v>447</v>
      </c>
      <c r="D116" s="1" t="s">
        <v>30</v>
      </c>
      <c r="E116" t="s">
        <v>448</v>
      </c>
      <c r="F116" t="s">
        <v>448</v>
      </c>
      <c r="G116" t="s">
        <v>449</v>
      </c>
      <c r="I116">
        <v>1</v>
      </c>
      <c r="J116">
        <v>1.25</v>
      </c>
      <c r="K116">
        <v>11</v>
      </c>
      <c r="L116">
        <v>0.76</v>
      </c>
      <c r="M116">
        <v>50</v>
      </c>
      <c r="N116">
        <v>750</v>
      </c>
      <c r="O116">
        <v>73</v>
      </c>
      <c r="P116">
        <v>79</v>
      </c>
      <c r="Q116">
        <v>8</v>
      </c>
      <c r="R116">
        <v>72</v>
      </c>
      <c r="S116">
        <v>611</v>
      </c>
      <c r="T116">
        <v>1001</v>
      </c>
      <c r="U116">
        <v>55</v>
      </c>
      <c r="V116" s="8" t="s">
        <v>33</v>
      </c>
      <c r="W116" t="s">
        <v>34</v>
      </c>
      <c r="X116" t="s">
        <v>41</v>
      </c>
      <c r="Z116" t="str">
        <f t="shared" si="1"/>
        <v>MS</v>
      </c>
      <c r="AA116" s="8"/>
      <c r="AB116">
        <f t="array" ref="AB116">_xlfn._xlws.FILTER(Projets!I$2:I$823,(Projets!A$2:A$823=A116), "")</f>
        <v>377.95</v>
      </c>
    </row>
    <row r="117" spans="1:28" x14ac:dyDescent="0.25">
      <c r="A117" s="1" t="s">
        <v>450</v>
      </c>
      <c r="B117" s="2">
        <v>43740</v>
      </c>
      <c r="C117" t="s">
        <v>451</v>
      </c>
      <c r="D117" s="1" t="s">
        <v>30</v>
      </c>
      <c r="E117" t="s">
        <v>452</v>
      </c>
      <c r="F117" t="s">
        <v>453</v>
      </c>
      <c r="G117" t="s">
        <v>454</v>
      </c>
      <c r="I117">
        <v>3</v>
      </c>
      <c r="J117">
        <v>0.26</v>
      </c>
      <c r="K117">
        <v>6.6</v>
      </c>
      <c r="L117">
        <v>0.82</v>
      </c>
      <c r="M117">
        <v>50</v>
      </c>
      <c r="N117">
        <v>1000</v>
      </c>
      <c r="O117">
        <v>41</v>
      </c>
      <c r="P117">
        <v>61</v>
      </c>
      <c r="Q117">
        <v>6</v>
      </c>
      <c r="R117">
        <v>54</v>
      </c>
      <c r="S117">
        <v>611</v>
      </c>
      <c r="T117">
        <v>3011</v>
      </c>
      <c r="U117">
        <v>55</v>
      </c>
      <c r="V117" s="8" t="s">
        <v>33</v>
      </c>
      <c r="W117" t="s">
        <v>34</v>
      </c>
      <c r="X117" t="s">
        <v>41</v>
      </c>
      <c r="Z117" t="str">
        <f t="shared" si="1"/>
        <v>MS</v>
      </c>
      <c r="AA117" s="8"/>
      <c r="AB117">
        <f t="array" ref="AB117">_xlfn._xlws.FILTER(Projets!I$2:I$823,(Projets!A$2:A$823=A117), "")</f>
        <v>493.45</v>
      </c>
    </row>
    <row r="118" spans="1:28" x14ac:dyDescent="0.25">
      <c r="A118" s="1" t="s">
        <v>455</v>
      </c>
      <c r="B118" s="2">
        <v>43741</v>
      </c>
      <c r="C118" t="s">
        <v>456</v>
      </c>
      <c r="D118" s="1" t="s">
        <v>30</v>
      </c>
      <c r="E118" t="s">
        <v>293</v>
      </c>
      <c r="F118" t="s">
        <v>457</v>
      </c>
      <c r="G118" t="s">
        <v>346</v>
      </c>
      <c r="I118">
        <v>1</v>
      </c>
      <c r="J118">
        <v>1.4</v>
      </c>
      <c r="K118">
        <v>6</v>
      </c>
      <c r="L118">
        <v>0.91</v>
      </c>
      <c r="M118">
        <v>50</v>
      </c>
      <c r="N118">
        <v>3000</v>
      </c>
      <c r="O118">
        <v>45</v>
      </c>
      <c r="P118">
        <v>65</v>
      </c>
      <c r="Q118">
        <v>2</v>
      </c>
      <c r="R118">
        <v>54</v>
      </c>
      <c r="S118">
        <v>611</v>
      </c>
      <c r="T118">
        <v>1001</v>
      </c>
      <c r="U118">
        <v>55</v>
      </c>
      <c r="V118" s="8" t="s">
        <v>33</v>
      </c>
      <c r="W118" t="s">
        <v>34</v>
      </c>
      <c r="X118" t="s">
        <v>41</v>
      </c>
      <c r="Z118" t="str">
        <f t="shared" si="1"/>
        <v>MS</v>
      </c>
      <c r="AA118" s="8"/>
      <c r="AB118">
        <f t="array" ref="AB118">_xlfn._xlws.FILTER(Projets!I$2:I$823,(Projets!A$2:A$823=A118), "")</f>
        <v>262.45</v>
      </c>
    </row>
    <row r="119" spans="1:28" x14ac:dyDescent="0.25">
      <c r="A119" s="1" t="s">
        <v>458</v>
      </c>
      <c r="B119" s="2">
        <v>43749</v>
      </c>
      <c r="C119" t="s">
        <v>459</v>
      </c>
      <c r="D119" s="1" t="s">
        <v>30</v>
      </c>
      <c r="E119" t="s">
        <v>460</v>
      </c>
      <c r="F119" t="s">
        <v>460</v>
      </c>
      <c r="G119" t="s">
        <v>461</v>
      </c>
      <c r="I119">
        <v>3</v>
      </c>
      <c r="J119">
        <v>1.7</v>
      </c>
      <c r="K119">
        <v>6</v>
      </c>
      <c r="L119">
        <v>0.85</v>
      </c>
      <c r="M119">
        <v>50</v>
      </c>
      <c r="N119">
        <v>750</v>
      </c>
      <c r="O119">
        <v>73</v>
      </c>
      <c r="P119">
        <v>124</v>
      </c>
      <c r="Q119">
        <v>8</v>
      </c>
      <c r="R119">
        <v>96</v>
      </c>
      <c r="S119" t="s">
        <v>49</v>
      </c>
      <c r="T119">
        <v>1001</v>
      </c>
      <c r="U119">
        <v>55</v>
      </c>
      <c r="V119" s="8" t="s">
        <v>33</v>
      </c>
      <c r="W119" t="s">
        <v>34</v>
      </c>
      <c r="X119" t="s">
        <v>41</v>
      </c>
      <c r="Z119" t="str">
        <f t="shared" si="1"/>
        <v>MS</v>
      </c>
      <c r="AA119" s="8"/>
      <c r="AB119">
        <f t="array" ref="AB119">_xlfn._xlws.FILTER(Projets!I$2:I$823,(Projets!A$2:A$823=A119), "")</f>
        <v>72.900000000000006</v>
      </c>
    </row>
    <row r="120" spans="1:28" x14ac:dyDescent="0.25">
      <c r="A120" s="1" t="s">
        <v>462</v>
      </c>
      <c r="B120" s="2">
        <v>43749</v>
      </c>
      <c r="C120" t="s">
        <v>463</v>
      </c>
      <c r="D120" s="1" t="s">
        <v>30</v>
      </c>
      <c r="E120" t="s">
        <v>463</v>
      </c>
      <c r="F120" t="s">
        <v>464</v>
      </c>
      <c r="G120" t="s">
        <v>465</v>
      </c>
      <c r="I120">
        <v>12</v>
      </c>
      <c r="J120">
        <v>0.5</v>
      </c>
      <c r="K120">
        <v>6.6</v>
      </c>
      <c r="L120">
        <v>0.93</v>
      </c>
      <c r="M120">
        <v>50</v>
      </c>
      <c r="N120">
        <v>3000</v>
      </c>
      <c r="O120">
        <v>36</v>
      </c>
      <c r="P120">
        <v>42</v>
      </c>
      <c r="Q120">
        <v>2</v>
      </c>
      <c r="R120">
        <v>42</v>
      </c>
      <c r="S120" t="s">
        <v>49</v>
      </c>
      <c r="T120">
        <v>1001</v>
      </c>
      <c r="U120">
        <v>54</v>
      </c>
      <c r="V120" s="8" t="s">
        <v>33</v>
      </c>
      <c r="W120" t="s">
        <v>34</v>
      </c>
      <c r="X120" t="s">
        <v>41</v>
      </c>
      <c r="Z120" t="str">
        <f t="shared" si="1"/>
        <v>MS</v>
      </c>
      <c r="AA120" s="8"/>
      <c r="AB120">
        <f t="array" ref="AB120">_xlfn._xlws.FILTER(Projets!I$2:I$823,(Projets!A$2:A$823=A120), "")</f>
        <v>543.9</v>
      </c>
    </row>
    <row r="121" spans="1:28" x14ac:dyDescent="0.25">
      <c r="A121" s="1" t="s">
        <v>466</v>
      </c>
      <c r="B121" s="2">
        <v>43773</v>
      </c>
      <c r="C121" t="s">
        <v>467</v>
      </c>
      <c r="D121" s="1" t="s">
        <v>30</v>
      </c>
      <c r="E121" t="s">
        <v>468</v>
      </c>
      <c r="F121" t="s">
        <v>468</v>
      </c>
      <c r="G121" t="s">
        <v>469</v>
      </c>
      <c r="H121" t="s">
        <v>470</v>
      </c>
      <c r="I121">
        <v>1</v>
      </c>
      <c r="J121">
        <v>2.8</v>
      </c>
      <c r="K121">
        <v>5.5</v>
      </c>
      <c r="L121">
        <v>0.86</v>
      </c>
      <c r="M121">
        <v>50</v>
      </c>
      <c r="N121">
        <v>1000</v>
      </c>
      <c r="O121">
        <v>789</v>
      </c>
      <c r="P121">
        <v>20</v>
      </c>
      <c r="Q121">
        <v>6</v>
      </c>
      <c r="R121">
        <v>20</v>
      </c>
      <c r="S121">
        <v>611</v>
      </c>
      <c r="T121">
        <v>1001</v>
      </c>
      <c r="U121">
        <v>54</v>
      </c>
      <c r="V121" s="8" t="s">
        <v>33</v>
      </c>
      <c r="W121" t="s">
        <v>34</v>
      </c>
      <c r="X121" t="s">
        <v>302</v>
      </c>
      <c r="Z121" t="str">
        <f t="shared" si="1"/>
        <v>MS</v>
      </c>
      <c r="AA121" s="8"/>
      <c r="AB121">
        <f t="array" ref="AB121">_xlfn._xlws.FILTER(Projets!I$2:I$823,(Projets!A$2:A$823=A121), "")</f>
        <v>677.49999999999989</v>
      </c>
    </row>
    <row r="122" spans="1:28" x14ac:dyDescent="0.25">
      <c r="A122" s="1" t="s">
        <v>471</v>
      </c>
      <c r="B122" s="2">
        <v>43776</v>
      </c>
      <c r="C122" t="s">
        <v>472</v>
      </c>
      <c r="D122" s="1" t="s">
        <v>30</v>
      </c>
      <c r="E122" t="s">
        <v>78</v>
      </c>
      <c r="F122" t="s">
        <v>473</v>
      </c>
      <c r="G122" t="s">
        <v>474</v>
      </c>
      <c r="I122">
        <v>1</v>
      </c>
      <c r="J122">
        <v>4.9000000000000004</v>
      </c>
      <c r="K122">
        <v>11</v>
      </c>
      <c r="L122">
        <v>0.91</v>
      </c>
      <c r="M122">
        <v>50</v>
      </c>
      <c r="N122">
        <v>3000</v>
      </c>
      <c r="O122">
        <v>62</v>
      </c>
      <c r="P122">
        <v>114</v>
      </c>
      <c r="Q122">
        <v>2</v>
      </c>
      <c r="R122">
        <v>60</v>
      </c>
      <c r="S122" t="s">
        <v>49</v>
      </c>
      <c r="T122">
        <v>1003</v>
      </c>
      <c r="U122">
        <v>55</v>
      </c>
      <c r="V122" s="8" t="s">
        <v>212</v>
      </c>
      <c r="W122" t="s">
        <v>34</v>
      </c>
      <c r="X122" t="s">
        <v>41</v>
      </c>
      <c r="Z122" t="str">
        <f t="shared" si="1"/>
        <v>MS</v>
      </c>
      <c r="AA122" s="8"/>
      <c r="AB122">
        <f t="array" ref="AB122">_xlfn._xlws.FILTER(Projets!I$2:I$823,(Projets!A$2:A$823=A122), "")</f>
        <v>1887.4</v>
      </c>
    </row>
    <row r="123" spans="1:28" x14ac:dyDescent="0.25">
      <c r="A123" s="1" t="s">
        <v>475</v>
      </c>
      <c r="B123" s="2">
        <v>43843</v>
      </c>
      <c r="C123" t="s">
        <v>476</v>
      </c>
      <c r="D123" s="1" t="s">
        <v>30</v>
      </c>
      <c r="E123" t="s">
        <v>477</v>
      </c>
      <c r="F123" t="s">
        <v>477</v>
      </c>
      <c r="G123" t="s">
        <v>478</v>
      </c>
      <c r="I123">
        <v>2</v>
      </c>
      <c r="J123">
        <v>2.7</v>
      </c>
      <c r="K123">
        <v>13.2</v>
      </c>
      <c r="L123">
        <v>0.8</v>
      </c>
      <c r="M123">
        <v>60</v>
      </c>
      <c r="N123">
        <v>600</v>
      </c>
      <c r="O123">
        <v>112</v>
      </c>
      <c r="P123">
        <v>112</v>
      </c>
      <c r="Q123">
        <v>12</v>
      </c>
      <c r="R123">
        <v>108</v>
      </c>
      <c r="S123">
        <v>151</v>
      </c>
      <c r="T123">
        <v>3011</v>
      </c>
      <c r="U123">
        <v>54</v>
      </c>
      <c r="V123" s="8" t="s">
        <v>33</v>
      </c>
      <c r="W123" t="s">
        <v>34</v>
      </c>
      <c r="X123" t="s">
        <v>41</v>
      </c>
      <c r="Z123" t="str">
        <f t="shared" si="1"/>
        <v>MS</v>
      </c>
      <c r="AA123" s="8"/>
      <c r="AB123">
        <f t="array" ref="AB123">_xlfn._xlws.FILTER(Projets!I$2:I$823,(Projets!A$2:A$823=A123), "")</f>
        <v>498.65</v>
      </c>
    </row>
    <row r="124" spans="1:28" x14ac:dyDescent="0.25">
      <c r="A124" s="1" t="s">
        <v>479</v>
      </c>
      <c r="B124" s="2">
        <v>43796</v>
      </c>
      <c r="C124" t="s">
        <v>480</v>
      </c>
      <c r="D124" s="1" t="s">
        <v>30</v>
      </c>
      <c r="E124" t="s">
        <v>481</v>
      </c>
      <c r="F124" t="s">
        <v>482</v>
      </c>
      <c r="G124" t="s">
        <v>483</v>
      </c>
      <c r="H124" t="s">
        <v>484</v>
      </c>
      <c r="I124">
        <v>1</v>
      </c>
      <c r="J124">
        <v>2.5</v>
      </c>
      <c r="K124">
        <v>6.6</v>
      </c>
      <c r="L124">
        <v>0.82</v>
      </c>
      <c r="M124">
        <v>60</v>
      </c>
      <c r="N124">
        <v>900</v>
      </c>
      <c r="O124">
        <v>72</v>
      </c>
      <c r="P124">
        <v>124</v>
      </c>
      <c r="Q124">
        <v>8</v>
      </c>
      <c r="R124">
        <v>72</v>
      </c>
      <c r="S124" t="s">
        <v>49</v>
      </c>
      <c r="T124">
        <v>3011</v>
      </c>
      <c r="U124">
        <v>55</v>
      </c>
      <c r="V124" s="8" t="s">
        <v>33</v>
      </c>
      <c r="W124" t="s">
        <v>34</v>
      </c>
      <c r="X124" t="s">
        <v>41</v>
      </c>
      <c r="Z124" t="str">
        <f t="shared" si="1"/>
        <v>MS</v>
      </c>
      <c r="AA124" s="8"/>
      <c r="AB124">
        <f t="array" ref="AB124">_xlfn._xlws.FILTER(Projets!I$2:I$823,(Projets!A$2:A$823=A124), "")</f>
        <v>687.3</v>
      </c>
    </row>
    <row r="125" spans="1:28" x14ac:dyDescent="0.25">
      <c r="A125" s="1" t="s">
        <v>485</v>
      </c>
      <c r="B125" s="2">
        <v>43801</v>
      </c>
      <c r="C125" t="s">
        <v>209</v>
      </c>
      <c r="D125" s="1" t="s">
        <v>30</v>
      </c>
      <c r="E125" t="s">
        <v>78</v>
      </c>
      <c r="F125" t="s">
        <v>473</v>
      </c>
      <c r="G125" t="s">
        <v>486</v>
      </c>
      <c r="I125">
        <v>1</v>
      </c>
      <c r="J125">
        <v>1.5</v>
      </c>
      <c r="K125">
        <v>11</v>
      </c>
      <c r="L125">
        <v>0.87</v>
      </c>
      <c r="M125">
        <v>50</v>
      </c>
      <c r="N125">
        <v>1500</v>
      </c>
      <c r="O125">
        <v>59</v>
      </c>
      <c r="P125">
        <v>89</v>
      </c>
      <c r="Q125">
        <v>4</v>
      </c>
      <c r="R125">
        <v>60</v>
      </c>
      <c r="S125">
        <v>611</v>
      </c>
      <c r="T125">
        <v>1001</v>
      </c>
      <c r="U125">
        <v>55</v>
      </c>
      <c r="V125" s="8" t="s">
        <v>106</v>
      </c>
      <c r="W125" t="s">
        <v>34</v>
      </c>
      <c r="X125" t="s">
        <v>41</v>
      </c>
      <c r="Z125" t="str">
        <f t="shared" si="1"/>
        <v>MS</v>
      </c>
      <c r="AA125" s="8"/>
      <c r="AB125">
        <f t="array" ref="AB125">_xlfn._xlws.FILTER(Projets!I$2:I$823,(Projets!A$2:A$823=A125), "")</f>
        <v>666.09999999999991</v>
      </c>
    </row>
    <row r="126" spans="1:28" x14ac:dyDescent="0.25">
      <c r="A126" s="1" t="s">
        <v>487</v>
      </c>
      <c r="B126" s="2">
        <v>43805</v>
      </c>
      <c r="C126" t="s">
        <v>488</v>
      </c>
      <c r="D126" s="1" t="s">
        <v>341</v>
      </c>
      <c r="E126" t="s">
        <v>489</v>
      </c>
      <c r="F126" t="s">
        <v>490</v>
      </c>
      <c r="G126" t="s">
        <v>491</v>
      </c>
      <c r="I126">
        <v>2</v>
      </c>
      <c r="J126">
        <v>1.1000000000000001</v>
      </c>
      <c r="K126">
        <v>6</v>
      </c>
      <c r="L126">
        <v>0.89</v>
      </c>
      <c r="M126">
        <v>50</v>
      </c>
      <c r="N126">
        <v>1500</v>
      </c>
      <c r="O126">
        <v>51</v>
      </c>
      <c r="P126">
        <v>70</v>
      </c>
      <c r="Q126">
        <v>4</v>
      </c>
      <c r="R126">
        <v>72</v>
      </c>
      <c r="S126">
        <v>611</v>
      </c>
      <c r="T126">
        <v>1001</v>
      </c>
      <c r="U126">
        <v>55</v>
      </c>
      <c r="V126" s="8" t="s">
        <v>130</v>
      </c>
      <c r="W126" t="s">
        <v>34</v>
      </c>
      <c r="X126" t="s">
        <v>41</v>
      </c>
      <c r="Z126" t="str">
        <f t="shared" si="1"/>
        <v>MS</v>
      </c>
      <c r="AA126" s="8"/>
      <c r="AB126">
        <f t="array" ref="AB126">_xlfn._xlws.FILTER(Projets!I$2:I$823,(Projets!A$2:A$823=A126), "")</f>
        <v>202.6</v>
      </c>
    </row>
    <row r="127" spans="1:28" x14ac:dyDescent="0.25">
      <c r="A127" s="1" t="s">
        <v>487</v>
      </c>
      <c r="B127" s="2">
        <v>43805</v>
      </c>
      <c r="C127" t="s">
        <v>488</v>
      </c>
      <c r="D127" s="1" t="s">
        <v>187</v>
      </c>
      <c r="E127" t="s">
        <v>489</v>
      </c>
      <c r="F127" t="s">
        <v>490</v>
      </c>
      <c r="G127" t="s">
        <v>385</v>
      </c>
      <c r="I127">
        <v>2</v>
      </c>
      <c r="J127">
        <v>0.5</v>
      </c>
      <c r="K127">
        <v>6</v>
      </c>
      <c r="L127">
        <v>0.93</v>
      </c>
      <c r="M127">
        <v>50</v>
      </c>
      <c r="N127">
        <v>3000</v>
      </c>
      <c r="O127">
        <v>36</v>
      </c>
      <c r="P127">
        <v>45</v>
      </c>
      <c r="Q127">
        <v>2</v>
      </c>
      <c r="R127">
        <v>42</v>
      </c>
      <c r="S127">
        <v>611</v>
      </c>
      <c r="T127">
        <v>1001</v>
      </c>
      <c r="U127">
        <v>55</v>
      </c>
      <c r="V127" s="8" t="s">
        <v>130</v>
      </c>
      <c r="W127" t="s">
        <v>34</v>
      </c>
      <c r="X127" t="s">
        <v>41</v>
      </c>
      <c r="Z127" t="str">
        <f t="shared" si="1"/>
        <v>MS</v>
      </c>
      <c r="AA127" s="8"/>
      <c r="AB127">
        <f t="array" ref="AB127">_xlfn._xlws.FILTER(Projets!I$2:I$823,(Projets!A$2:A$823=A127), "")</f>
        <v>202.6</v>
      </c>
    </row>
    <row r="128" spans="1:28" x14ac:dyDescent="0.25">
      <c r="A128" s="1" t="s">
        <v>487</v>
      </c>
      <c r="B128" s="2">
        <v>43805</v>
      </c>
      <c r="C128" t="s">
        <v>488</v>
      </c>
      <c r="D128" s="1" t="s">
        <v>145</v>
      </c>
      <c r="E128" t="s">
        <v>489</v>
      </c>
      <c r="F128" t="s">
        <v>490</v>
      </c>
      <c r="G128" t="s">
        <v>385</v>
      </c>
      <c r="I128">
        <v>2</v>
      </c>
      <c r="J128">
        <v>0.25</v>
      </c>
      <c r="K128">
        <v>6</v>
      </c>
      <c r="L128">
        <v>0.93</v>
      </c>
      <c r="M128">
        <v>50</v>
      </c>
      <c r="N128">
        <v>3000</v>
      </c>
      <c r="O128">
        <v>36</v>
      </c>
      <c r="P128">
        <v>45</v>
      </c>
      <c r="Q128">
        <v>2</v>
      </c>
      <c r="R128">
        <v>42</v>
      </c>
      <c r="S128">
        <v>611</v>
      </c>
      <c r="T128">
        <v>1001</v>
      </c>
      <c r="U128">
        <v>55</v>
      </c>
      <c r="V128" s="8" t="s">
        <v>130</v>
      </c>
      <c r="W128" t="s">
        <v>34</v>
      </c>
      <c r="X128" t="s">
        <v>41</v>
      </c>
      <c r="Z128" t="str">
        <f t="shared" si="1"/>
        <v>MS</v>
      </c>
      <c r="AA128" s="8"/>
      <c r="AB128">
        <f t="array" ref="AB128">_xlfn._xlws.FILTER(Projets!I$2:I$823,(Projets!A$2:A$823=A128), "")</f>
        <v>202.6</v>
      </c>
    </row>
    <row r="129" spans="1:28" x14ac:dyDescent="0.25">
      <c r="A129" s="1" t="s">
        <v>487</v>
      </c>
      <c r="B129" s="2">
        <v>43805</v>
      </c>
      <c r="C129" t="s">
        <v>488</v>
      </c>
      <c r="D129" s="1" t="s">
        <v>30</v>
      </c>
      <c r="E129" t="s">
        <v>489</v>
      </c>
      <c r="F129" t="s">
        <v>490</v>
      </c>
      <c r="G129" t="s">
        <v>492</v>
      </c>
      <c r="I129">
        <v>3</v>
      </c>
      <c r="J129">
        <v>0.65</v>
      </c>
      <c r="K129">
        <v>6</v>
      </c>
      <c r="L129">
        <v>0.87</v>
      </c>
      <c r="M129">
        <v>50</v>
      </c>
      <c r="N129">
        <v>1500</v>
      </c>
      <c r="O129">
        <v>40</v>
      </c>
      <c r="P129">
        <v>64</v>
      </c>
      <c r="Q129">
        <v>4</v>
      </c>
      <c r="R129">
        <v>48</v>
      </c>
      <c r="S129">
        <v>611</v>
      </c>
      <c r="T129">
        <v>3011</v>
      </c>
      <c r="U129">
        <v>55</v>
      </c>
      <c r="V129" s="8" t="s">
        <v>130</v>
      </c>
      <c r="W129" t="s">
        <v>34</v>
      </c>
      <c r="X129" t="s">
        <v>41</v>
      </c>
      <c r="Z129" t="str">
        <f t="shared" si="1"/>
        <v>MS</v>
      </c>
      <c r="AA129" s="8"/>
      <c r="AB129">
        <f t="array" ref="AB129">_xlfn._xlws.FILTER(Projets!I$2:I$823,(Projets!A$2:A$823=A129), "")</f>
        <v>202.6</v>
      </c>
    </row>
    <row r="130" spans="1:28" x14ac:dyDescent="0.25">
      <c r="A130" s="1" t="s">
        <v>493</v>
      </c>
      <c r="B130" s="2">
        <v>43804</v>
      </c>
      <c r="C130" t="s">
        <v>494</v>
      </c>
      <c r="D130" s="1" t="s">
        <v>30</v>
      </c>
      <c r="E130" t="s">
        <v>494</v>
      </c>
      <c r="F130" t="s">
        <v>494</v>
      </c>
      <c r="G130" t="s">
        <v>495</v>
      </c>
      <c r="I130">
        <v>1</v>
      </c>
      <c r="J130">
        <v>1.304</v>
      </c>
      <c r="K130">
        <v>6</v>
      </c>
      <c r="L130">
        <v>0.83</v>
      </c>
      <c r="M130">
        <v>50</v>
      </c>
      <c r="N130">
        <v>600</v>
      </c>
      <c r="O130">
        <v>84</v>
      </c>
      <c r="P130">
        <v>119</v>
      </c>
      <c r="Q130">
        <v>10</v>
      </c>
      <c r="R130">
        <v>120</v>
      </c>
      <c r="S130">
        <v>616</v>
      </c>
      <c r="T130">
        <v>1001</v>
      </c>
      <c r="U130">
        <v>55</v>
      </c>
      <c r="V130" s="8" t="s">
        <v>33</v>
      </c>
      <c r="W130" t="s">
        <v>34</v>
      </c>
      <c r="X130" t="s">
        <v>41</v>
      </c>
      <c r="Z130" t="str">
        <f t="shared" ref="Z130:Z193" si="2">IF(MID(A130, 2, 1)="M", "MIL", IF(MID(A130, 2, 1)="N", "NUC", "MS"))</f>
        <v>MS</v>
      </c>
      <c r="AA130" s="8"/>
      <c r="AB130">
        <f t="array" ref="AB130">_xlfn._xlws.FILTER(Projets!I$2:I$823,(Projets!A$2:A$823=A130), "")</f>
        <v>145.05000000000001</v>
      </c>
    </row>
    <row r="131" spans="1:28" x14ac:dyDescent="0.25">
      <c r="A131" s="1" t="s">
        <v>496</v>
      </c>
      <c r="B131" s="2">
        <v>43846</v>
      </c>
      <c r="C131" t="s">
        <v>497</v>
      </c>
      <c r="D131" s="1" t="s">
        <v>30</v>
      </c>
      <c r="E131" t="s">
        <v>498</v>
      </c>
      <c r="F131" t="s">
        <v>497</v>
      </c>
      <c r="G131" t="s">
        <v>499</v>
      </c>
      <c r="I131">
        <v>2</v>
      </c>
      <c r="J131">
        <v>3.3</v>
      </c>
      <c r="K131">
        <v>3.15</v>
      </c>
      <c r="L131">
        <v>0.91500000000000004</v>
      </c>
      <c r="M131">
        <v>60</v>
      </c>
      <c r="N131">
        <v>3600</v>
      </c>
      <c r="O131">
        <v>62</v>
      </c>
      <c r="P131">
        <v>54</v>
      </c>
      <c r="Q131">
        <v>2</v>
      </c>
      <c r="R131">
        <v>66</v>
      </c>
      <c r="S131" t="s">
        <v>156</v>
      </c>
      <c r="T131">
        <v>1205</v>
      </c>
      <c r="U131">
        <v>55</v>
      </c>
      <c r="V131" s="8" t="s">
        <v>33</v>
      </c>
      <c r="W131" t="s">
        <v>34</v>
      </c>
      <c r="Z131" t="str">
        <f t="shared" si="2"/>
        <v>MS</v>
      </c>
      <c r="AA131" s="8"/>
      <c r="AB131">
        <f t="array" ref="AB131">_xlfn._xlws.FILTER(Projets!I$2:I$823,(Projets!A$2:A$823=A131), "")</f>
        <v>1341.9</v>
      </c>
    </row>
    <row r="132" spans="1:28" x14ac:dyDescent="0.25">
      <c r="A132" s="1" t="s">
        <v>500</v>
      </c>
      <c r="B132" s="2">
        <v>43892</v>
      </c>
      <c r="C132" t="s">
        <v>501</v>
      </c>
      <c r="D132" s="1" t="s">
        <v>30</v>
      </c>
      <c r="E132" t="s">
        <v>78</v>
      </c>
      <c r="F132" t="s">
        <v>502</v>
      </c>
      <c r="G132" t="s">
        <v>503</v>
      </c>
      <c r="I132">
        <v>1</v>
      </c>
      <c r="J132">
        <v>1.3</v>
      </c>
      <c r="K132">
        <v>6.6</v>
      </c>
      <c r="L132">
        <v>0.91</v>
      </c>
      <c r="M132">
        <v>50</v>
      </c>
      <c r="N132">
        <v>1500</v>
      </c>
      <c r="O132">
        <v>580</v>
      </c>
      <c r="P132">
        <v>66</v>
      </c>
      <c r="Q132">
        <v>4</v>
      </c>
      <c r="R132">
        <v>72</v>
      </c>
      <c r="S132">
        <v>151</v>
      </c>
      <c r="T132">
        <v>4011</v>
      </c>
      <c r="U132">
        <v>55</v>
      </c>
      <c r="V132" s="8" t="s">
        <v>130</v>
      </c>
      <c r="W132" t="s">
        <v>34</v>
      </c>
      <c r="X132" t="s">
        <v>41</v>
      </c>
      <c r="Z132" t="str">
        <f t="shared" si="2"/>
        <v>MS</v>
      </c>
      <c r="AA132" s="8"/>
      <c r="AB132">
        <f t="array" ref="AB132">_xlfn._xlws.FILTER(Projets!I$2:I$823,(Projets!A$2:A$823=A132), "")</f>
        <v>1587.4</v>
      </c>
    </row>
    <row r="133" spans="1:28" x14ac:dyDescent="0.25">
      <c r="A133" s="1" t="s">
        <v>504</v>
      </c>
      <c r="B133" s="2">
        <v>43936</v>
      </c>
      <c r="C133" t="s">
        <v>505</v>
      </c>
      <c r="D133" s="1" t="s">
        <v>145</v>
      </c>
      <c r="E133" t="s">
        <v>506</v>
      </c>
      <c r="F133" t="s">
        <v>507</v>
      </c>
      <c r="G133" t="s">
        <v>346</v>
      </c>
      <c r="I133">
        <v>6</v>
      </c>
      <c r="J133">
        <v>1.4</v>
      </c>
      <c r="K133">
        <v>6.6</v>
      </c>
      <c r="L133">
        <v>0.92</v>
      </c>
      <c r="M133">
        <v>50</v>
      </c>
      <c r="N133">
        <v>3000</v>
      </c>
      <c r="O133">
        <v>45</v>
      </c>
      <c r="P133">
        <v>65</v>
      </c>
      <c r="Q133">
        <v>2</v>
      </c>
      <c r="R133">
        <v>54</v>
      </c>
      <c r="S133" t="s">
        <v>49</v>
      </c>
      <c r="T133">
        <v>1001</v>
      </c>
      <c r="U133">
        <v>55</v>
      </c>
      <c r="V133" s="8" t="s">
        <v>33</v>
      </c>
      <c r="W133" t="s">
        <v>34</v>
      </c>
      <c r="X133" t="s">
        <v>41</v>
      </c>
      <c r="Z133" t="str">
        <f t="shared" si="2"/>
        <v>MS</v>
      </c>
      <c r="AA133" s="8"/>
      <c r="AB133">
        <f t="array" ref="AB133">_xlfn._xlws.FILTER(Projets!I$2:I$823,(Projets!A$2:A$823=A133), "")</f>
        <v>645.95000000000005</v>
      </c>
    </row>
    <row r="134" spans="1:28" x14ac:dyDescent="0.25">
      <c r="A134" s="1" t="s">
        <v>504</v>
      </c>
      <c r="B134" s="2">
        <v>43936</v>
      </c>
      <c r="C134" t="s">
        <v>505</v>
      </c>
      <c r="D134" s="1" t="s">
        <v>30</v>
      </c>
      <c r="E134" t="s">
        <v>506</v>
      </c>
      <c r="F134" t="s">
        <v>507</v>
      </c>
      <c r="G134" t="s">
        <v>346</v>
      </c>
      <c r="H134" t="s">
        <v>439</v>
      </c>
      <c r="I134">
        <v>6</v>
      </c>
      <c r="J134">
        <v>1.4</v>
      </c>
      <c r="K134">
        <v>6.6</v>
      </c>
      <c r="L134">
        <v>0.92</v>
      </c>
      <c r="M134">
        <v>50</v>
      </c>
      <c r="N134">
        <v>3000</v>
      </c>
      <c r="O134">
        <v>45</v>
      </c>
      <c r="P134">
        <v>65</v>
      </c>
      <c r="Q134">
        <v>2</v>
      </c>
      <c r="R134">
        <v>54</v>
      </c>
      <c r="S134" t="s">
        <v>49</v>
      </c>
      <c r="T134">
        <v>1001</v>
      </c>
      <c r="U134">
        <v>55</v>
      </c>
      <c r="V134" s="8" t="s">
        <v>33</v>
      </c>
      <c r="W134" t="s">
        <v>34</v>
      </c>
      <c r="X134" t="s">
        <v>41</v>
      </c>
      <c r="Z134" t="str">
        <f t="shared" si="2"/>
        <v>MS</v>
      </c>
      <c r="AA134" s="8"/>
      <c r="AB134">
        <f t="array" ref="AB134">_xlfn._xlws.FILTER(Projets!I$2:I$823,(Projets!A$2:A$823=A134), "")</f>
        <v>645.95000000000005</v>
      </c>
    </row>
    <row r="135" spans="1:28" x14ac:dyDescent="0.25">
      <c r="A135" s="1" t="s">
        <v>508</v>
      </c>
      <c r="B135" s="2">
        <v>43929</v>
      </c>
      <c r="C135" t="s">
        <v>509</v>
      </c>
      <c r="D135" s="1" t="s">
        <v>30</v>
      </c>
      <c r="E135" t="s">
        <v>510</v>
      </c>
      <c r="F135" t="s">
        <v>510</v>
      </c>
      <c r="G135" t="s">
        <v>511</v>
      </c>
      <c r="I135">
        <v>6</v>
      </c>
      <c r="J135">
        <v>0.78</v>
      </c>
      <c r="K135">
        <v>6.6</v>
      </c>
      <c r="L135">
        <v>0.87</v>
      </c>
      <c r="M135">
        <v>50</v>
      </c>
      <c r="N135">
        <v>1500</v>
      </c>
      <c r="O135">
        <v>46</v>
      </c>
      <c r="P135">
        <v>60</v>
      </c>
      <c r="Q135">
        <v>4</v>
      </c>
      <c r="R135">
        <v>60</v>
      </c>
      <c r="S135" t="s">
        <v>49</v>
      </c>
      <c r="T135">
        <v>3011</v>
      </c>
      <c r="U135">
        <v>55</v>
      </c>
      <c r="V135" s="8" t="s">
        <v>33</v>
      </c>
      <c r="W135" t="s">
        <v>34</v>
      </c>
      <c r="X135" t="s">
        <v>41</v>
      </c>
      <c r="Z135" t="str">
        <f t="shared" si="2"/>
        <v>MS</v>
      </c>
      <c r="AA135" s="8"/>
      <c r="AB135">
        <f t="array" ref="AB135">_xlfn._xlws.FILTER(Projets!I$2:I$823,(Projets!A$2:A$823=A135), "")</f>
        <v>367.3</v>
      </c>
    </row>
    <row r="136" spans="1:28" x14ac:dyDescent="0.25">
      <c r="A136" s="1" t="s">
        <v>512</v>
      </c>
      <c r="B136" s="2">
        <v>44202</v>
      </c>
      <c r="C136" t="s">
        <v>513</v>
      </c>
      <c r="D136" s="1" t="s">
        <v>30</v>
      </c>
      <c r="E136" t="s">
        <v>513</v>
      </c>
      <c r="F136" t="s">
        <v>473</v>
      </c>
      <c r="G136" t="s">
        <v>503</v>
      </c>
      <c r="H136" t="s">
        <v>500</v>
      </c>
      <c r="I136">
        <v>1</v>
      </c>
      <c r="J136">
        <v>1.3</v>
      </c>
      <c r="K136">
        <v>6.6</v>
      </c>
      <c r="L136">
        <v>0.9</v>
      </c>
      <c r="M136">
        <v>50</v>
      </c>
      <c r="N136">
        <v>1500</v>
      </c>
      <c r="O136">
        <v>58</v>
      </c>
      <c r="P136">
        <v>66</v>
      </c>
      <c r="Q136">
        <v>4</v>
      </c>
      <c r="R136">
        <v>72</v>
      </c>
      <c r="S136">
        <v>611</v>
      </c>
      <c r="T136">
        <v>4011</v>
      </c>
      <c r="U136">
        <v>54</v>
      </c>
      <c r="V136" s="8" t="s">
        <v>130</v>
      </c>
      <c r="W136" t="s">
        <v>34</v>
      </c>
      <c r="X136" t="s">
        <v>41</v>
      </c>
      <c r="Z136" t="str">
        <f t="shared" si="2"/>
        <v>MS</v>
      </c>
      <c r="AA136" s="8"/>
      <c r="AB136">
        <f t="array" ref="AB136">_xlfn._xlws.FILTER(Projets!I$2:I$823,(Projets!A$2:A$823=A136), "")</f>
        <v>7.7</v>
      </c>
    </row>
    <row r="137" spans="1:28" x14ac:dyDescent="0.25">
      <c r="A137" s="1" t="s">
        <v>514</v>
      </c>
      <c r="B137" s="2">
        <v>44081</v>
      </c>
      <c r="C137" t="s">
        <v>515</v>
      </c>
      <c r="D137" s="1" t="s">
        <v>30</v>
      </c>
      <c r="E137" t="s">
        <v>515</v>
      </c>
      <c r="F137" t="s">
        <v>516</v>
      </c>
      <c r="G137" t="s">
        <v>517</v>
      </c>
      <c r="I137">
        <v>1</v>
      </c>
      <c r="J137">
        <v>1.33</v>
      </c>
      <c r="K137">
        <v>5.5</v>
      </c>
      <c r="L137">
        <v>0.85</v>
      </c>
      <c r="M137">
        <v>50</v>
      </c>
      <c r="N137">
        <v>1000</v>
      </c>
      <c r="O137">
        <v>79</v>
      </c>
      <c r="P137">
        <v>79</v>
      </c>
      <c r="Q137">
        <v>6</v>
      </c>
      <c r="R137">
        <v>90</v>
      </c>
      <c r="S137">
        <v>611</v>
      </c>
      <c r="T137">
        <v>1001</v>
      </c>
      <c r="U137">
        <v>55</v>
      </c>
      <c r="V137" s="8" t="s">
        <v>130</v>
      </c>
      <c r="W137" t="s">
        <v>34</v>
      </c>
      <c r="X137" t="s">
        <v>41</v>
      </c>
      <c r="Z137" t="str">
        <f t="shared" si="2"/>
        <v>MS</v>
      </c>
      <c r="AA137" s="8"/>
      <c r="AB137">
        <f t="array" ref="AB137">_xlfn._xlws.FILTER(Projets!I$2:I$823,(Projets!A$2:A$823=A137), "")</f>
        <v>556.65000000000009</v>
      </c>
    </row>
    <row r="138" spans="1:28" x14ac:dyDescent="0.25">
      <c r="A138" s="1" t="s">
        <v>518</v>
      </c>
      <c r="B138" s="2">
        <v>44095</v>
      </c>
      <c r="C138" t="s">
        <v>519</v>
      </c>
      <c r="D138" s="1" t="s">
        <v>30</v>
      </c>
      <c r="E138" t="s">
        <v>519</v>
      </c>
      <c r="F138" t="s">
        <v>520</v>
      </c>
      <c r="G138" t="s">
        <v>396</v>
      </c>
      <c r="H138" t="s">
        <v>521</v>
      </c>
      <c r="I138">
        <v>4</v>
      </c>
      <c r="J138">
        <v>0.315</v>
      </c>
      <c r="K138">
        <v>6.6</v>
      </c>
      <c r="L138">
        <v>0.88</v>
      </c>
      <c r="M138">
        <v>50</v>
      </c>
      <c r="N138">
        <v>1500</v>
      </c>
      <c r="O138">
        <v>40</v>
      </c>
      <c r="P138">
        <v>49</v>
      </c>
      <c r="Q138">
        <v>4</v>
      </c>
      <c r="R138">
        <v>48</v>
      </c>
      <c r="S138">
        <v>611</v>
      </c>
      <c r="T138">
        <v>1001</v>
      </c>
      <c r="U138">
        <v>54</v>
      </c>
      <c r="V138" s="8" t="s">
        <v>33</v>
      </c>
      <c r="W138" t="s">
        <v>34</v>
      </c>
      <c r="X138" t="s">
        <v>41</v>
      </c>
      <c r="Z138" t="str">
        <f t="shared" si="2"/>
        <v>MS</v>
      </c>
      <c r="AA138" s="8"/>
      <c r="AB138">
        <f t="array" ref="AB138">_xlfn._xlws.FILTER(Projets!I$2:I$823,(Projets!A$2:A$823=A138), "")</f>
        <v>593.9</v>
      </c>
    </row>
    <row r="139" spans="1:28" x14ac:dyDescent="0.25">
      <c r="A139" s="1" t="s">
        <v>522</v>
      </c>
      <c r="B139" s="2">
        <v>44131</v>
      </c>
      <c r="C139" t="s">
        <v>523</v>
      </c>
      <c r="D139" s="1" t="s">
        <v>30</v>
      </c>
      <c r="E139" t="s">
        <v>524</v>
      </c>
      <c r="F139" t="s">
        <v>523</v>
      </c>
      <c r="G139" t="s">
        <v>449</v>
      </c>
      <c r="H139" t="s">
        <v>525</v>
      </c>
      <c r="I139">
        <v>6</v>
      </c>
      <c r="J139">
        <v>1.28</v>
      </c>
      <c r="K139">
        <v>6</v>
      </c>
      <c r="L139">
        <v>0.87</v>
      </c>
      <c r="M139">
        <v>50</v>
      </c>
      <c r="N139">
        <v>750</v>
      </c>
      <c r="O139">
        <v>70</v>
      </c>
      <c r="P139">
        <v>109</v>
      </c>
      <c r="Q139">
        <v>8</v>
      </c>
      <c r="R139">
        <v>96</v>
      </c>
      <c r="S139" t="s">
        <v>49</v>
      </c>
      <c r="T139">
        <v>1001</v>
      </c>
      <c r="U139">
        <v>55</v>
      </c>
      <c r="V139" s="8" t="s">
        <v>33</v>
      </c>
      <c r="W139" t="s">
        <v>34</v>
      </c>
      <c r="X139" t="s">
        <v>41</v>
      </c>
      <c r="Z139" t="str">
        <f t="shared" si="2"/>
        <v>MS</v>
      </c>
      <c r="AA139" s="8"/>
      <c r="AB139">
        <f t="array" ref="AB139">_xlfn._xlws.FILTER(Projets!I$2:I$823,(Projets!A$2:A$823=A139), "")</f>
        <v>33.099999999999987</v>
      </c>
    </row>
    <row r="140" spans="1:28" x14ac:dyDescent="0.25">
      <c r="A140" s="1" t="s">
        <v>526</v>
      </c>
      <c r="B140" s="2">
        <v>44148</v>
      </c>
      <c r="C140" t="s">
        <v>527</v>
      </c>
      <c r="D140" s="1" t="s">
        <v>30</v>
      </c>
      <c r="E140" t="s">
        <v>527</v>
      </c>
      <c r="F140" t="s">
        <v>527</v>
      </c>
      <c r="G140" t="s">
        <v>528</v>
      </c>
      <c r="H140" t="s">
        <v>307</v>
      </c>
      <c r="I140">
        <v>1</v>
      </c>
      <c r="J140">
        <v>2.35</v>
      </c>
      <c r="K140">
        <v>5.5</v>
      </c>
      <c r="L140">
        <v>0.89</v>
      </c>
      <c r="M140">
        <v>50</v>
      </c>
      <c r="N140">
        <v>1500</v>
      </c>
      <c r="O140">
        <v>59</v>
      </c>
      <c r="P140">
        <v>94</v>
      </c>
      <c r="Q140">
        <v>4</v>
      </c>
      <c r="R140">
        <v>72</v>
      </c>
      <c r="S140" t="s">
        <v>156</v>
      </c>
      <c r="T140">
        <v>1001</v>
      </c>
      <c r="U140">
        <v>55</v>
      </c>
      <c r="V140" s="8" t="s">
        <v>130</v>
      </c>
      <c r="W140" t="s">
        <v>34</v>
      </c>
      <c r="X140" t="s">
        <v>41</v>
      </c>
      <c r="Z140" t="str">
        <f t="shared" si="2"/>
        <v>MS</v>
      </c>
      <c r="AA140" s="8"/>
      <c r="AB140">
        <f t="array" ref="AB140">_xlfn._xlws.FILTER(Projets!I$2:I$823,(Projets!A$2:A$823=A140), "")</f>
        <v>757.15</v>
      </c>
    </row>
    <row r="141" spans="1:28" x14ac:dyDescent="0.25">
      <c r="A141" s="1" t="s">
        <v>529</v>
      </c>
      <c r="B141" s="2">
        <v>44153</v>
      </c>
      <c r="C141" t="s">
        <v>530</v>
      </c>
      <c r="D141" s="1" t="s">
        <v>30</v>
      </c>
      <c r="E141" t="s">
        <v>530</v>
      </c>
      <c r="F141" t="s">
        <v>530</v>
      </c>
      <c r="G141" t="s">
        <v>531</v>
      </c>
      <c r="I141">
        <v>1</v>
      </c>
      <c r="J141">
        <v>0.44</v>
      </c>
      <c r="K141">
        <v>11</v>
      </c>
      <c r="L141">
        <v>0.74</v>
      </c>
      <c r="M141">
        <v>50</v>
      </c>
      <c r="N141">
        <v>1000</v>
      </c>
      <c r="O141">
        <v>44</v>
      </c>
      <c r="P141">
        <v>80</v>
      </c>
      <c r="Q141">
        <v>6</v>
      </c>
      <c r="R141">
        <v>54</v>
      </c>
      <c r="S141">
        <v>611</v>
      </c>
      <c r="T141">
        <v>1001</v>
      </c>
      <c r="U141">
        <v>55</v>
      </c>
      <c r="V141" s="8" t="s">
        <v>33</v>
      </c>
      <c r="W141" t="s">
        <v>34</v>
      </c>
      <c r="X141" t="s">
        <v>41</v>
      </c>
      <c r="Z141" t="str">
        <f t="shared" si="2"/>
        <v>MS</v>
      </c>
      <c r="AA141" s="8"/>
      <c r="AB141">
        <f t="array" ref="AB141">_xlfn._xlws.FILTER(Projets!I$2:I$823,(Projets!A$2:A$823=A141), "")</f>
        <v>108.4</v>
      </c>
    </row>
    <row r="142" spans="1:28" x14ac:dyDescent="0.25">
      <c r="A142" s="1" t="s">
        <v>532</v>
      </c>
      <c r="B142" s="2">
        <v>44173</v>
      </c>
      <c r="C142" t="s">
        <v>533</v>
      </c>
      <c r="D142" s="1" t="s">
        <v>30</v>
      </c>
      <c r="E142" t="s">
        <v>534</v>
      </c>
      <c r="F142" t="s">
        <v>534</v>
      </c>
      <c r="G142" t="s">
        <v>535</v>
      </c>
      <c r="H142" t="s">
        <v>424</v>
      </c>
      <c r="I142">
        <v>4</v>
      </c>
      <c r="J142">
        <v>3.5</v>
      </c>
      <c r="K142">
        <v>11</v>
      </c>
      <c r="L142">
        <v>0.77</v>
      </c>
      <c r="M142">
        <v>60</v>
      </c>
      <c r="N142">
        <v>720</v>
      </c>
      <c r="O142">
        <v>86</v>
      </c>
      <c r="P142">
        <v>129</v>
      </c>
      <c r="Q142">
        <v>10</v>
      </c>
      <c r="R142">
        <v>90</v>
      </c>
      <c r="S142" t="s">
        <v>156</v>
      </c>
      <c r="T142">
        <v>4011</v>
      </c>
      <c r="U142">
        <v>55</v>
      </c>
      <c r="V142" s="8" t="s">
        <v>33</v>
      </c>
      <c r="W142" t="s">
        <v>34</v>
      </c>
      <c r="X142" t="s">
        <v>41</v>
      </c>
      <c r="Z142" t="str">
        <f t="shared" si="2"/>
        <v>MS</v>
      </c>
      <c r="AA142" s="8"/>
      <c r="AB142">
        <f t="array" ref="AB142">_xlfn._xlws.FILTER(Projets!I$2:I$823,(Projets!A$2:A$823=A142), "")</f>
        <v>148.55000000000001</v>
      </c>
    </row>
    <row r="143" spans="1:28" x14ac:dyDescent="0.25">
      <c r="A143" s="1" t="s">
        <v>536</v>
      </c>
      <c r="B143" s="2">
        <v>44277</v>
      </c>
      <c r="C143" t="s">
        <v>537</v>
      </c>
      <c r="D143" s="1" t="s">
        <v>30</v>
      </c>
      <c r="E143" t="s">
        <v>78</v>
      </c>
      <c r="F143" t="s">
        <v>538</v>
      </c>
      <c r="G143" t="s">
        <v>539</v>
      </c>
      <c r="H143" t="s">
        <v>500</v>
      </c>
      <c r="I143">
        <v>1</v>
      </c>
      <c r="J143">
        <v>1.3</v>
      </c>
      <c r="K143">
        <v>6.6</v>
      </c>
      <c r="L143">
        <v>0.91</v>
      </c>
      <c r="M143">
        <v>50</v>
      </c>
      <c r="N143">
        <v>1500</v>
      </c>
      <c r="O143">
        <v>58</v>
      </c>
      <c r="P143">
        <v>66</v>
      </c>
      <c r="Q143">
        <v>4</v>
      </c>
      <c r="R143">
        <v>72</v>
      </c>
      <c r="S143">
        <v>611</v>
      </c>
      <c r="T143">
        <v>4011</v>
      </c>
      <c r="U143">
        <v>54</v>
      </c>
      <c r="V143" s="8" t="s">
        <v>130</v>
      </c>
      <c r="W143" t="s">
        <v>34</v>
      </c>
      <c r="X143" t="s">
        <v>41</v>
      </c>
      <c r="Z143" t="str">
        <f t="shared" si="2"/>
        <v>MS</v>
      </c>
      <c r="AA143" s="8"/>
      <c r="AB143">
        <f t="array" ref="AB143">_xlfn._xlws.FILTER(Projets!I$2:I$823,(Projets!A$2:A$823=A143), "")</f>
        <v>18</v>
      </c>
    </row>
    <row r="144" spans="1:28" x14ac:dyDescent="0.25">
      <c r="A144" s="1" t="s">
        <v>540</v>
      </c>
      <c r="B144" s="2">
        <v>44266</v>
      </c>
      <c r="C144" t="s">
        <v>332</v>
      </c>
      <c r="D144" s="1" t="s">
        <v>30</v>
      </c>
      <c r="E144" t="s">
        <v>541</v>
      </c>
      <c r="F144" t="s">
        <v>333</v>
      </c>
      <c r="G144" t="s">
        <v>542</v>
      </c>
      <c r="H144" t="s">
        <v>543</v>
      </c>
      <c r="I144">
        <v>1</v>
      </c>
      <c r="J144">
        <v>1.8</v>
      </c>
      <c r="K144">
        <v>5.5</v>
      </c>
      <c r="L144">
        <v>0.87</v>
      </c>
      <c r="M144">
        <v>50</v>
      </c>
      <c r="N144">
        <v>1000</v>
      </c>
      <c r="O144">
        <v>79</v>
      </c>
      <c r="P144">
        <v>84</v>
      </c>
      <c r="Q144">
        <v>6</v>
      </c>
      <c r="R144">
        <v>90</v>
      </c>
      <c r="S144">
        <v>611</v>
      </c>
      <c r="T144">
        <v>1001</v>
      </c>
      <c r="U144">
        <v>54</v>
      </c>
      <c r="V144" s="8" t="s">
        <v>33</v>
      </c>
      <c r="W144" t="s">
        <v>34</v>
      </c>
      <c r="X144" t="s">
        <v>302</v>
      </c>
      <c r="Z144" t="str">
        <f t="shared" si="2"/>
        <v>MS</v>
      </c>
      <c r="AA144" s="8"/>
      <c r="AB144">
        <f t="array" ref="AB144">_xlfn._xlws.FILTER(Projets!I$2:I$823,(Projets!A$2:A$823=A144), "")</f>
        <v>547.35</v>
      </c>
    </row>
    <row r="145" spans="1:28" x14ac:dyDescent="0.25">
      <c r="A145" s="1" t="s">
        <v>544</v>
      </c>
      <c r="B145" s="2">
        <v>44320</v>
      </c>
      <c r="C145" t="s">
        <v>545</v>
      </c>
      <c r="D145" s="1" t="s">
        <v>30</v>
      </c>
      <c r="E145" t="s">
        <v>498</v>
      </c>
      <c r="F145" t="s">
        <v>498</v>
      </c>
      <c r="G145" t="s">
        <v>546</v>
      </c>
      <c r="I145">
        <v>1</v>
      </c>
      <c r="J145">
        <v>1.3</v>
      </c>
      <c r="K145">
        <v>6.6</v>
      </c>
      <c r="L145">
        <v>0.87</v>
      </c>
      <c r="M145">
        <v>60</v>
      </c>
      <c r="N145">
        <v>1800</v>
      </c>
      <c r="O145">
        <v>59</v>
      </c>
      <c r="P145">
        <v>95</v>
      </c>
      <c r="Q145">
        <v>4</v>
      </c>
      <c r="R145">
        <v>144</v>
      </c>
      <c r="S145" t="s">
        <v>156</v>
      </c>
      <c r="T145">
        <v>3001</v>
      </c>
      <c r="U145">
        <v>55</v>
      </c>
      <c r="V145" s="8" t="s">
        <v>33</v>
      </c>
      <c r="W145" t="s">
        <v>34</v>
      </c>
      <c r="X145" t="s">
        <v>41</v>
      </c>
      <c r="Z145" t="str">
        <f t="shared" si="2"/>
        <v>MS</v>
      </c>
      <c r="AA145" s="8"/>
      <c r="AB145">
        <f t="array" ref="AB145">_xlfn._xlws.FILTER(Projets!I$2:I$823,(Projets!A$2:A$823=A145), "")</f>
        <v>4.4000000000000004</v>
      </c>
    </row>
    <row r="146" spans="1:28" x14ac:dyDescent="0.25">
      <c r="A146" s="1" t="s">
        <v>547</v>
      </c>
      <c r="B146" s="2">
        <v>44361</v>
      </c>
      <c r="C146" t="s">
        <v>548</v>
      </c>
      <c r="D146" s="1" t="s">
        <v>30</v>
      </c>
      <c r="E146" t="s">
        <v>494</v>
      </c>
      <c r="F146" t="s">
        <v>494</v>
      </c>
      <c r="G146" t="s">
        <v>549</v>
      </c>
      <c r="I146">
        <v>2</v>
      </c>
      <c r="J146">
        <v>3</v>
      </c>
      <c r="K146">
        <v>6</v>
      </c>
      <c r="L146">
        <v>0.85</v>
      </c>
      <c r="M146">
        <v>50</v>
      </c>
      <c r="N146">
        <v>600</v>
      </c>
      <c r="O146">
        <v>108</v>
      </c>
      <c r="P146">
        <v>114</v>
      </c>
      <c r="Q146">
        <v>10</v>
      </c>
      <c r="R146">
        <v>120</v>
      </c>
      <c r="S146">
        <v>616</v>
      </c>
      <c r="T146">
        <v>1001</v>
      </c>
      <c r="U146">
        <v>55</v>
      </c>
      <c r="V146" s="8" t="s">
        <v>33</v>
      </c>
      <c r="W146" t="s">
        <v>34</v>
      </c>
      <c r="X146" t="s">
        <v>302</v>
      </c>
      <c r="Z146" t="str">
        <f t="shared" si="2"/>
        <v>MS</v>
      </c>
      <c r="AA146" s="8"/>
      <c r="AB146">
        <f t="array" ref="AB146">_xlfn._xlws.FILTER(Projets!I$2:I$823,(Projets!A$2:A$823=A146), "")</f>
        <v>1851.15</v>
      </c>
    </row>
    <row r="147" spans="1:28" x14ac:dyDescent="0.25">
      <c r="A147" s="1" t="s">
        <v>550</v>
      </c>
      <c r="B147" s="2">
        <v>44362</v>
      </c>
      <c r="C147" t="s">
        <v>551</v>
      </c>
      <c r="D147" s="1" t="s">
        <v>30</v>
      </c>
      <c r="E147" t="s">
        <v>552</v>
      </c>
      <c r="F147" t="s">
        <v>552</v>
      </c>
      <c r="G147" t="s">
        <v>553</v>
      </c>
      <c r="I147">
        <v>1</v>
      </c>
      <c r="J147">
        <v>2.4</v>
      </c>
      <c r="K147">
        <v>6</v>
      </c>
      <c r="L147">
        <v>0.9</v>
      </c>
      <c r="M147">
        <v>50</v>
      </c>
      <c r="N147">
        <v>1500</v>
      </c>
      <c r="O147">
        <v>66</v>
      </c>
      <c r="P147">
        <v>94</v>
      </c>
      <c r="Q147">
        <v>4</v>
      </c>
      <c r="R147">
        <v>72</v>
      </c>
      <c r="S147" t="s">
        <v>156</v>
      </c>
      <c r="T147">
        <v>1005</v>
      </c>
      <c r="U147">
        <v>56</v>
      </c>
      <c r="V147" s="8" t="s">
        <v>33</v>
      </c>
      <c r="W147" t="s">
        <v>34</v>
      </c>
      <c r="X147" t="s">
        <v>41</v>
      </c>
      <c r="Z147" t="str">
        <f t="shared" si="2"/>
        <v>MS</v>
      </c>
      <c r="AA147" s="8"/>
      <c r="AB147">
        <f t="array" ref="AB147">_xlfn._xlws.FILTER(Projets!I$2:I$823,(Projets!A$2:A$823=A147), "")</f>
        <v>58</v>
      </c>
    </row>
    <row r="148" spans="1:28" x14ac:dyDescent="0.25">
      <c r="A148" s="1" t="s">
        <v>554</v>
      </c>
      <c r="B148" s="2">
        <v>44414</v>
      </c>
      <c r="C148" t="s">
        <v>555</v>
      </c>
      <c r="D148" s="1" t="s">
        <v>30</v>
      </c>
      <c r="E148" t="s">
        <v>189</v>
      </c>
      <c r="F148" t="s">
        <v>189</v>
      </c>
      <c r="G148" t="s">
        <v>556</v>
      </c>
      <c r="I148">
        <v>1</v>
      </c>
      <c r="J148">
        <v>1.36</v>
      </c>
      <c r="K148">
        <v>6.6</v>
      </c>
      <c r="L148">
        <v>0.81</v>
      </c>
      <c r="M148">
        <v>50</v>
      </c>
      <c r="N148">
        <v>428</v>
      </c>
      <c r="O148">
        <v>99</v>
      </c>
      <c r="P148">
        <v>88</v>
      </c>
      <c r="Q148">
        <v>14</v>
      </c>
      <c r="R148">
        <v>126</v>
      </c>
      <c r="S148" t="s">
        <v>156</v>
      </c>
      <c r="T148">
        <v>1005</v>
      </c>
      <c r="U148">
        <v>55</v>
      </c>
      <c r="V148" s="8" t="s">
        <v>33</v>
      </c>
      <c r="W148" t="s">
        <v>34</v>
      </c>
      <c r="X148" t="s">
        <v>41</v>
      </c>
      <c r="Z148" t="str">
        <f t="shared" si="2"/>
        <v>MS</v>
      </c>
      <c r="AA148" s="8"/>
      <c r="AB148">
        <f t="array" ref="AB148">_xlfn._xlws.FILTER(Projets!I$2:I$823,(Projets!A$2:A$823=A148), "")</f>
        <v>92.449999999999989</v>
      </c>
    </row>
    <row r="149" spans="1:28" x14ac:dyDescent="0.25">
      <c r="A149" s="1" t="s">
        <v>557</v>
      </c>
      <c r="B149" s="2">
        <v>44487</v>
      </c>
      <c r="C149" t="s">
        <v>558</v>
      </c>
      <c r="D149" s="1" t="s">
        <v>30</v>
      </c>
      <c r="E149" t="s">
        <v>559</v>
      </c>
      <c r="F149" t="s">
        <v>189</v>
      </c>
      <c r="G149" t="s">
        <v>560</v>
      </c>
      <c r="I149">
        <v>1</v>
      </c>
      <c r="J149">
        <v>1.1200000000000001</v>
      </c>
      <c r="K149">
        <v>6</v>
      </c>
      <c r="L149">
        <v>0.87</v>
      </c>
      <c r="M149">
        <v>50</v>
      </c>
      <c r="N149">
        <v>1000</v>
      </c>
      <c r="O149">
        <v>57</v>
      </c>
      <c r="P149">
        <v>86</v>
      </c>
      <c r="Q149">
        <v>6</v>
      </c>
      <c r="R149">
        <v>72</v>
      </c>
      <c r="S149">
        <v>611</v>
      </c>
      <c r="T149">
        <v>1001</v>
      </c>
      <c r="U149">
        <v>55</v>
      </c>
      <c r="V149" s="8" t="s">
        <v>33</v>
      </c>
      <c r="W149" t="s">
        <v>34</v>
      </c>
      <c r="X149" t="s">
        <v>41</v>
      </c>
      <c r="Z149" t="str">
        <f t="shared" si="2"/>
        <v>MS</v>
      </c>
      <c r="AA149" s="8"/>
      <c r="AB149">
        <f t="array" ref="AB149">_xlfn._xlws.FILTER(Projets!I$2:I$823,(Projets!A$2:A$823=A149), "")</f>
        <v>373.05</v>
      </c>
    </row>
    <row r="150" spans="1:28" x14ac:dyDescent="0.25">
      <c r="A150" s="1" t="s">
        <v>561</v>
      </c>
      <c r="B150" s="2">
        <v>44522</v>
      </c>
      <c r="C150" t="s">
        <v>562</v>
      </c>
      <c r="D150" s="1" t="s">
        <v>30</v>
      </c>
      <c r="E150" t="s">
        <v>563</v>
      </c>
      <c r="F150" t="s">
        <v>563</v>
      </c>
      <c r="G150" t="s">
        <v>564</v>
      </c>
      <c r="I150">
        <v>1</v>
      </c>
      <c r="J150">
        <v>1.3</v>
      </c>
      <c r="K150">
        <v>11</v>
      </c>
      <c r="L150">
        <v>0.85</v>
      </c>
      <c r="M150">
        <v>50</v>
      </c>
      <c r="N150">
        <v>1500</v>
      </c>
      <c r="O150">
        <v>48</v>
      </c>
      <c r="P150">
        <v>68</v>
      </c>
      <c r="Q150">
        <v>4</v>
      </c>
      <c r="R150">
        <v>48</v>
      </c>
      <c r="S150" t="s">
        <v>156</v>
      </c>
      <c r="T150">
        <v>1001</v>
      </c>
      <c r="U150">
        <v>55</v>
      </c>
      <c r="V150" s="8" t="s">
        <v>33</v>
      </c>
      <c r="W150" t="s">
        <v>34</v>
      </c>
      <c r="X150" t="s">
        <v>41</v>
      </c>
      <c r="Z150" t="str">
        <f t="shared" si="2"/>
        <v>MS</v>
      </c>
      <c r="AA150" s="8"/>
      <c r="AB150">
        <f t="array" ref="AB150">_xlfn._xlws.FILTER(Projets!I$2:I$823,(Projets!A$2:A$823=A150), "")</f>
        <v>46.45</v>
      </c>
    </row>
    <row r="151" spans="1:28" x14ac:dyDescent="0.25">
      <c r="A151" s="1" t="s">
        <v>565</v>
      </c>
      <c r="B151" s="2">
        <v>44529</v>
      </c>
      <c r="C151" t="s">
        <v>566</v>
      </c>
      <c r="D151" s="1" t="s">
        <v>30</v>
      </c>
      <c r="E151" t="s">
        <v>78</v>
      </c>
      <c r="F151" t="s">
        <v>566</v>
      </c>
      <c r="G151" t="s">
        <v>539</v>
      </c>
      <c r="H151" t="s">
        <v>567</v>
      </c>
      <c r="I151">
        <v>1</v>
      </c>
      <c r="J151">
        <v>1.3</v>
      </c>
      <c r="K151">
        <v>6.6</v>
      </c>
      <c r="L151">
        <v>0.91</v>
      </c>
      <c r="M151">
        <v>50</v>
      </c>
      <c r="N151">
        <v>1500</v>
      </c>
      <c r="O151">
        <v>58</v>
      </c>
      <c r="P151">
        <v>66</v>
      </c>
      <c r="Q151">
        <v>4</v>
      </c>
      <c r="R151">
        <v>72</v>
      </c>
      <c r="S151" t="s">
        <v>49</v>
      </c>
      <c r="T151">
        <v>4011</v>
      </c>
      <c r="U151">
        <v>54</v>
      </c>
      <c r="V151" s="8" t="s">
        <v>130</v>
      </c>
      <c r="W151" t="s">
        <v>34</v>
      </c>
      <c r="X151" t="s">
        <v>41</v>
      </c>
      <c r="Z151" t="str">
        <f t="shared" si="2"/>
        <v>MS</v>
      </c>
      <c r="AA151" s="8"/>
      <c r="AB151">
        <f t="array" ref="AB151">_xlfn._xlws.FILTER(Projets!I$2:I$823,(Projets!A$2:A$823=A151), "")</f>
        <v>1</v>
      </c>
    </row>
    <row r="152" spans="1:28" x14ac:dyDescent="0.25">
      <c r="A152" s="1" t="s">
        <v>568</v>
      </c>
      <c r="B152" s="2">
        <v>44531</v>
      </c>
      <c r="C152" t="s">
        <v>569</v>
      </c>
      <c r="D152" s="1" t="s">
        <v>30</v>
      </c>
      <c r="E152" t="s">
        <v>570</v>
      </c>
      <c r="F152" t="s">
        <v>570</v>
      </c>
      <c r="G152" t="s">
        <v>571</v>
      </c>
      <c r="H152" t="s">
        <v>572</v>
      </c>
      <c r="I152">
        <v>6</v>
      </c>
      <c r="J152">
        <v>0.78</v>
      </c>
      <c r="K152">
        <v>6.6</v>
      </c>
      <c r="L152">
        <v>0.87</v>
      </c>
      <c r="M152">
        <v>50</v>
      </c>
      <c r="N152">
        <v>1500</v>
      </c>
      <c r="O152">
        <v>46</v>
      </c>
      <c r="P152">
        <v>60</v>
      </c>
      <c r="Q152">
        <v>4</v>
      </c>
      <c r="R152">
        <v>60</v>
      </c>
      <c r="S152">
        <v>611</v>
      </c>
      <c r="T152">
        <v>3011</v>
      </c>
      <c r="U152">
        <v>55</v>
      </c>
      <c r="V152" s="8" t="s">
        <v>33</v>
      </c>
      <c r="W152" t="s">
        <v>34</v>
      </c>
      <c r="X152" t="s">
        <v>41</v>
      </c>
      <c r="Z152" t="str">
        <f t="shared" si="2"/>
        <v>MS</v>
      </c>
      <c r="AA152" s="8"/>
      <c r="AB152">
        <f t="array" ref="AB152">_xlfn._xlws.FILTER(Projets!I$2:I$823,(Projets!A$2:A$823=A152), "")</f>
        <v>14.2</v>
      </c>
    </row>
    <row r="153" spans="1:28" x14ac:dyDescent="0.25">
      <c r="A153" s="1" t="s">
        <v>573</v>
      </c>
      <c r="B153" s="2">
        <v>44531</v>
      </c>
      <c r="C153" t="s">
        <v>574</v>
      </c>
      <c r="D153" s="1" t="s">
        <v>30</v>
      </c>
      <c r="E153" t="s">
        <v>575</v>
      </c>
      <c r="F153" t="s">
        <v>575</v>
      </c>
      <c r="G153" t="s">
        <v>576</v>
      </c>
      <c r="H153" t="s">
        <v>577</v>
      </c>
      <c r="I153">
        <v>12</v>
      </c>
      <c r="J153">
        <v>1.4</v>
      </c>
      <c r="K153">
        <v>6.6</v>
      </c>
      <c r="L153">
        <v>0.92</v>
      </c>
      <c r="M153">
        <v>50</v>
      </c>
      <c r="N153">
        <v>3000</v>
      </c>
      <c r="O153">
        <v>45</v>
      </c>
      <c r="P153">
        <v>65</v>
      </c>
      <c r="Q153">
        <v>2</v>
      </c>
      <c r="R153">
        <v>54</v>
      </c>
      <c r="S153">
        <v>611</v>
      </c>
      <c r="T153">
        <v>1001</v>
      </c>
      <c r="U153">
        <v>55</v>
      </c>
      <c r="V153" s="8" t="s">
        <v>33</v>
      </c>
      <c r="W153" t="s">
        <v>34</v>
      </c>
      <c r="X153" t="s">
        <v>41</v>
      </c>
      <c r="Z153" t="str">
        <f t="shared" si="2"/>
        <v>MS</v>
      </c>
      <c r="AA153" s="8"/>
      <c r="AB153">
        <f t="array" ref="AB153">_xlfn._xlws.FILTER(Projets!I$2:I$823,(Projets!A$2:A$823=A153), "")</f>
        <v>14.2</v>
      </c>
    </row>
    <row r="154" spans="1:28" x14ac:dyDescent="0.25">
      <c r="A154" s="1" t="s">
        <v>578</v>
      </c>
      <c r="B154" s="2">
        <v>44547</v>
      </c>
      <c r="C154" t="s">
        <v>579</v>
      </c>
      <c r="D154" s="1" t="s">
        <v>30</v>
      </c>
      <c r="E154" t="s">
        <v>579</v>
      </c>
      <c r="F154" t="s">
        <v>580</v>
      </c>
      <c r="G154" t="s">
        <v>581</v>
      </c>
      <c r="H154" t="s">
        <v>582</v>
      </c>
      <c r="I154">
        <v>1</v>
      </c>
      <c r="J154">
        <v>1.2</v>
      </c>
      <c r="K154">
        <v>5.5</v>
      </c>
      <c r="L154">
        <v>0.83</v>
      </c>
      <c r="M154">
        <v>50</v>
      </c>
      <c r="N154">
        <v>1000</v>
      </c>
      <c r="O154">
        <v>71</v>
      </c>
      <c r="P154">
        <v>79</v>
      </c>
      <c r="Q154">
        <v>6</v>
      </c>
      <c r="R154">
        <v>72</v>
      </c>
      <c r="S154">
        <v>611</v>
      </c>
      <c r="T154">
        <v>1001</v>
      </c>
      <c r="U154">
        <v>55</v>
      </c>
      <c r="V154" s="8" t="s">
        <v>33</v>
      </c>
      <c r="W154" t="s">
        <v>34</v>
      </c>
      <c r="X154" t="s">
        <v>302</v>
      </c>
      <c r="Z154" t="str">
        <f t="shared" si="2"/>
        <v>MS</v>
      </c>
      <c r="AA154" s="8"/>
      <c r="AB154">
        <f t="array" ref="AB154">_xlfn._xlws.FILTER(Projets!I$2:I$823,(Projets!A$2:A$823=A154), "")</f>
        <v>181.6</v>
      </c>
    </row>
    <row r="155" spans="1:28" x14ac:dyDescent="0.25">
      <c r="A155" s="1" t="s">
        <v>583</v>
      </c>
      <c r="B155" s="2">
        <v>44578</v>
      </c>
      <c r="C155" t="s">
        <v>584</v>
      </c>
      <c r="D155" s="1" t="s">
        <v>30</v>
      </c>
      <c r="E155" t="s">
        <v>585</v>
      </c>
      <c r="F155" t="s">
        <v>585</v>
      </c>
      <c r="G155" t="s">
        <v>586</v>
      </c>
      <c r="I155">
        <v>2</v>
      </c>
      <c r="J155">
        <v>1.36</v>
      </c>
      <c r="K155">
        <v>5.5</v>
      </c>
      <c r="L155">
        <v>0.89</v>
      </c>
      <c r="M155">
        <v>50</v>
      </c>
      <c r="N155">
        <v>1000</v>
      </c>
      <c r="O155">
        <v>69</v>
      </c>
      <c r="P155">
        <v>64</v>
      </c>
      <c r="Q155">
        <v>6</v>
      </c>
      <c r="R155">
        <v>90</v>
      </c>
      <c r="S155" t="s">
        <v>69</v>
      </c>
      <c r="T155">
        <v>3011</v>
      </c>
      <c r="U155">
        <v>23</v>
      </c>
      <c r="V155" s="8" t="s">
        <v>33</v>
      </c>
      <c r="W155" t="s">
        <v>34</v>
      </c>
      <c r="X155" t="s">
        <v>41</v>
      </c>
      <c r="Z155" t="str">
        <f t="shared" si="2"/>
        <v>MS</v>
      </c>
      <c r="AA155" s="8"/>
      <c r="AB155">
        <f t="array" ref="AB155">_xlfn._xlws.FILTER(Projets!I$2:I$823,(Projets!A$2:A$823=A155), "")</f>
        <v>102.95</v>
      </c>
    </row>
    <row r="156" spans="1:28" x14ac:dyDescent="0.25">
      <c r="A156" s="1" t="s">
        <v>587</v>
      </c>
      <c r="B156" s="2">
        <v>44631</v>
      </c>
      <c r="C156" t="s">
        <v>588</v>
      </c>
      <c r="D156" s="1" t="s">
        <v>30</v>
      </c>
      <c r="E156" t="s">
        <v>559</v>
      </c>
      <c r="F156" t="s">
        <v>589</v>
      </c>
      <c r="G156" t="s">
        <v>396</v>
      </c>
      <c r="I156">
        <v>1</v>
      </c>
      <c r="J156">
        <v>0.66</v>
      </c>
      <c r="K156">
        <v>6.6</v>
      </c>
      <c r="L156">
        <v>0.86</v>
      </c>
      <c r="M156">
        <v>50</v>
      </c>
      <c r="N156">
        <v>1500</v>
      </c>
      <c r="O156">
        <v>40</v>
      </c>
      <c r="P156">
        <v>53</v>
      </c>
      <c r="Q156">
        <v>4</v>
      </c>
      <c r="R156">
        <v>48</v>
      </c>
      <c r="S156">
        <v>611</v>
      </c>
      <c r="T156">
        <v>3011</v>
      </c>
      <c r="U156">
        <v>55</v>
      </c>
      <c r="V156" s="8" t="s">
        <v>33</v>
      </c>
      <c r="W156" t="s">
        <v>34</v>
      </c>
      <c r="X156" t="s">
        <v>41</v>
      </c>
      <c r="Z156" t="str">
        <f t="shared" si="2"/>
        <v>MS</v>
      </c>
      <c r="AA156" s="8"/>
      <c r="AB156">
        <f t="array" ref="AB156">_xlfn._xlws.FILTER(Projets!I$2:I$823,(Projets!A$2:A$823=A156), "")</f>
        <v>15.4</v>
      </c>
    </row>
    <row r="157" spans="1:28" x14ac:dyDescent="0.25">
      <c r="A157" s="1" t="s">
        <v>590</v>
      </c>
      <c r="B157" s="2">
        <v>44725</v>
      </c>
      <c r="C157" t="s">
        <v>591</v>
      </c>
      <c r="D157" s="1" t="s">
        <v>30</v>
      </c>
      <c r="E157" t="s">
        <v>189</v>
      </c>
      <c r="F157" t="s">
        <v>189</v>
      </c>
      <c r="G157" t="s">
        <v>592</v>
      </c>
      <c r="H157" t="s">
        <v>593</v>
      </c>
      <c r="I157">
        <v>1</v>
      </c>
      <c r="J157">
        <v>3.3</v>
      </c>
      <c r="K157">
        <v>6.6</v>
      </c>
      <c r="L157">
        <v>0.88</v>
      </c>
      <c r="M157">
        <v>50</v>
      </c>
      <c r="N157">
        <v>1500</v>
      </c>
      <c r="O157">
        <v>66</v>
      </c>
      <c r="P157">
        <v>94</v>
      </c>
      <c r="Q157">
        <v>4</v>
      </c>
      <c r="R157">
        <v>72</v>
      </c>
      <c r="S157" t="s">
        <v>156</v>
      </c>
      <c r="T157">
        <v>1001</v>
      </c>
      <c r="U157">
        <v>55</v>
      </c>
      <c r="V157" s="8" t="s">
        <v>33</v>
      </c>
      <c r="W157" t="s">
        <v>34</v>
      </c>
      <c r="X157" t="s">
        <v>41</v>
      </c>
      <c r="Z157" t="str">
        <f t="shared" si="2"/>
        <v>MS</v>
      </c>
      <c r="AA157" s="8"/>
      <c r="AB157">
        <f t="array" ref="AB157">_xlfn._xlws.FILTER(Projets!I$2:I$823,(Projets!A$2:A$823=A157), "")</f>
        <v>17.100000000000001</v>
      </c>
    </row>
    <row r="158" spans="1:28" x14ac:dyDescent="0.25">
      <c r="A158" s="1" t="s">
        <v>594</v>
      </c>
      <c r="B158" s="2">
        <v>44733</v>
      </c>
      <c r="C158" t="s">
        <v>494</v>
      </c>
      <c r="D158" s="1" t="s">
        <v>30</v>
      </c>
      <c r="E158" t="s">
        <v>494</v>
      </c>
      <c r="F158" t="s">
        <v>494</v>
      </c>
      <c r="G158" t="s">
        <v>495</v>
      </c>
      <c r="H158" t="s">
        <v>595</v>
      </c>
      <c r="I158">
        <v>2</v>
      </c>
      <c r="J158">
        <v>1.304</v>
      </c>
      <c r="K158">
        <v>6</v>
      </c>
      <c r="L158">
        <v>0.83</v>
      </c>
      <c r="M158">
        <v>50</v>
      </c>
      <c r="N158">
        <v>600</v>
      </c>
      <c r="O158">
        <v>87</v>
      </c>
      <c r="P158">
        <v>114</v>
      </c>
      <c r="Q158">
        <v>10</v>
      </c>
      <c r="R158">
        <v>120</v>
      </c>
      <c r="S158">
        <v>616</v>
      </c>
      <c r="T158">
        <v>1001</v>
      </c>
      <c r="U158">
        <v>55</v>
      </c>
      <c r="V158" s="8" t="s">
        <v>33</v>
      </c>
      <c r="W158" t="s">
        <v>34</v>
      </c>
      <c r="X158" t="s">
        <v>41</v>
      </c>
      <c r="Z158" t="str">
        <f t="shared" si="2"/>
        <v>MS</v>
      </c>
      <c r="AA158" s="8"/>
      <c r="AB158" t="str">
        <f t="array" ref="AB158">_xlfn._xlws.FILTER(Projets!I$2:I$823,(Projets!A$2:A$823=A158), "")</f>
        <v/>
      </c>
    </row>
    <row r="159" spans="1:28" x14ac:dyDescent="0.25">
      <c r="A159" s="1" t="s">
        <v>596</v>
      </c>
      <c r="B159" s="2">
        <v>44798</v>
      </c>
      <c r="C159" t="s">
        <v>597</v>
      </c>
      <c r="D159" s="1" t="s">
        <v>30</v>
      </c>
      <c r="E159" t="s">
        <v>598</v>
      </c>
      <c r="F159" t="s">
        <v>598</v>
      </c>
      <c r="G159" t="s">
        <v>564</v>
      </c>
      <c r="H159" t="s">
        <v>599</v>
      </c>
      <c r="I159">
        <v>1</v>
      </c>
      <c r="J159">
        <v>1.5</v>
      </c>
      <c r="K159">
        <v>5.5</v>
      </c>
      <c r="L159">
        <v>0.88</v>
      </c>
      <c r="M159">
        <v>50</v>
      </c>
      <c r="N159">
        <v>1500</v>
      </c>
      <c r="O159">
        <v>51</v>
      </c>
      <c r="P159">
        <v>68</v>
      </c>
      <c r="Q159">
        <v>4</v>
      </c>
      <c r="R159">
        <v>72</v>
      </c>
      <c r="S159" t="s">
        <v>156</v>
      </c>
      <c r="T159">
        <v>1001</v>
      </c>
      <c r="U159">
        <v>55</v>
      </c>
      <c r="V159" s="8" t="s">
        <v>212</v>
      </c>
      <c r="W159" t="s">
        <v>34</v>
      </c>
      <c r="X159" t="s">
        <v>41</v>
      </c>
      <c r="Z159" t="str">
        <f t="shared" si="2"/>
        <v>MS</v>
      </c>
      <c r="AA159" s="8"/>
      <c r="AB159" t="str">
        <f t="array" ref="AB159">_xlfn._xlws.FILTER(Projets!I$2:I$823,(Projets!A$2:A$823=A159), "")</f>
        <v/>
      </c>
    </row>
    <row r="160" spans="1:28" x14ac:dyDescent="0.25">
      <c r="A160" s="1" t="s">
        <v>600</v>
      </c>
      <c r="B160" s="2">
        <v>44911</v>
      </c>
      <c r="C160" t="s">
        <v>523</v>
      </c>
      <c r="D160" s="1" t="s">
        <v>30</v>
      </c>
      <c r="E160" t="s">
        <v>523</v>
      </c>
      <c r="F160" t="s">
        <v>523</v>
      </c>
      <c r="G160" t="s">
        <v>601</v>
      </c>
      <c r="I160">
        <v>3</v>
      </c>
      <c r="J160">
        <v>0.9</v>
      </c>
      <c r="K160">
        <v>6</v>
      </c>
      <c r="L160">
        <v>0.88</v>
      </c>
      <c r="M160">
        <v>50</v>
      </c>
      <c r="N160">
        <v>1500</v>
      </c>
      <c r="O160">
        <v>46</v>
      </c>
      <c r="P160">
        <v>70</v>
      </c>
      <c r="Q160">
        <v>4</v>
      </c>
      <c r="R160">
        <v>60</v>
      </c>
      <c r="S160" t="s">
        <v>49</v>
      </c>
      <c r="T160">
        <v>3011</v>
      </c>
      <c r="U160">
        <v>55</v>
      </c>
      <c r="V160" s="8" t="s">
        <v>33</v>
      </c>
      <c r="W160" t="s">
        <v>34</v>
      </c>
      <c r="X160" t="s">
        <v>41</v>
      </c>
      <c r="Z160" t="str">
        <f t="shared" si="2"/>
        <v>MS</v>
      </c>
      <c r="AA160" s="8"/>
      <c r="AB160" t="str">
        <f t="array" ref="AB160">_xlfn._xlws.FILTER(Projets!I$2:I$823,(Projets!A$2:A$823=A160), "")</f>
        <v/>
      </c>
    </row>
    <row r="161" spans="1:28" x14ac:dyDescent="0.25">
      <c r="A161" s="1" t="s">
        <v>602</v>
      </c>
      <c r="B161" s="2">
        <v>45414</v>
      </c>
      <c r="C161" t="s">
        <v>603</v>
      </c>
      <c r="D161" s="1" t="s">
        <v>30</v>
      </c>
      <c r="E161" t="s">
        <v>604</v>
      </c>
      <c r="F161" t="s">
        <v>604</v>
      </c>
      <c r="G161" t="s">
        <v>605</v>
      </c>
      <c r="H161" t="s">
        <v>606</v>
      </c>
      <c r="I161">
        <v>1</v>
      </c>
      <c r="J161">
        <v>3</v>
      </c>
      <c r="K161">
        <v>6.6</v>
      </c>
      <c r="L161">
        <v>0.93</v>
      </c>
      <c r="M161">
        <v>50</v>
      </c>
      <c r="N161">
        <v>3000</v>
      </c>
      <c r="O161">
        <v>55</v>
      </c>
      <c r="P161">
        <v>78</v>
      </c>
      <c r="Q161">
        <v>2</v>
      </c>
      <c r="R161">
        <v>60</v>
      </c>
      <c r="S161" t="s">
        <v>49</v>
      </c>
      <c r="T161">
        <v>1001</v>
      </c>
      <c r="U161">
        <v>55</v>
      </c>
      <c r="V161" s="8" t="s">
        <v>212</v>
      </c>
      <c r="W161" t="s">
        <v>34</v>
      </c>
      <c r="X161" t="s">
        <v>41</v>
      </c>
      <c r="Z161" t="str">
        <f t="shared" si="2"/>
        <v>MS</v>
      </c>
      <c r="AA161" s="8"/>
      <c r="AB161" t="str">
        <f t="array" ref="AB161">_xlfn._xlws.FILTER(Projets!I$2:I$823,(Projets!A$2:A$823=A161), "")</f>
        <v/>
      </c>
    </row>
    <row r="162" spans="1:28" x14ac:dyDescent="0.25">
      <c r="A162" s="1" t="s">
        <v>607</v>
      </c>
      <c r="B162" s="2">
        <v>42450</v>
      </c>
      <c r="C162" t="s">
        <v>608</v>
      </c>
      <c r="D162" s="1" t="s">
        <v>386</v>
      </c>
      <c r="E162" t="s">
        <v>272</v>
      </c>
      <c r="F162" t="s">
        <v>272</v>
      </c>
      <c r="G162" t="s">
        <v>609</v>
      </c>
      <c r="I162">
        <v>1</v>
      </c>
      <c r="J162">
        <v>1</v>
      </c>
      <c r="K162">
        <v>6</v>
      </c>
      <c r="L162">
        <v>1</v>
      </c>
      <c r="M162">
        <v>50</v>
      </c>
      <c r="N162">
        <v>1500</v>
      </c>
      <c r="O162">
        <v>45</v>
      </c>
      <c r="P162">
        <v>37</v>
      </c>
      <c r="Q162">
        <v>4</v>
      </c>
      <c r="R162">
        <v>66</v>
      </c>
      <c r="S162">
        <v>151</v>
      </c>
      <c r="T162">
        <v>1001</v>
      </c>
      <c r="U162">
        <v>55</v>
      </c>
      <c r="V162" s="8" t="s">
        <v>610</v>
      </c>
      <c r="W162" t="s">
        <v>34</v>
      </c>
      <c r="X162" t="s">
        <v>41</v>
      </c>
      <c r="Z162" t="str">
        <f t="shared" si="2"/>
        <v>NUC</v>
      </c>
      <c r="AA162" s="8"/>
      <c r="AB162">
        <f t="array" ref="AB162">_xlfn._xlws.FILTER(Projets!I$2:I$823,(Projets!A$2:A$823=A162), "")</f>
        <v>3435.02</v>
      </c>
    </row>
    <row r="163" spans="1:28" x14ac:dyDescent="0.25">
      <c r="A163" s="1" t="s">
        <v>607</v>
      </c>
      <c r="B163" s="2">
        <v>42450</v>
      </c>
      <c r="C163" t="s">
        <v>608</v>
      </c>
      <c r="D163" s="1" t="s">
        <v>341</v>
      </c>
      <c r="E163" t="s">
        <v>272</v>
      </c>
      <c r="F163" t="s">
        <v>272</v>
      </c>
      <c r="G163" t="s">
        <v>611</v>
      </c>
      <c r="I163">
        <v>1</v>
      </c>
      <c r="J163">
        <v>1</v>
      </c>
      <c r="K163">
        <v>6</v>
      </c>
      <c r="L163">
        <v>1</v>
      </c>
      <c r="M163">
        <v>50</v>
      </c>
      <c r="N163">
        <v>1500</v>
      </c>
      <c r="O163">
        <v>38</v>
      </c>
      <c r="P163">
        <v>38</v>
      </c>
      <c r="Q163">
        <v>4</v>
      </c>
      <c r="R163">
        <v>66</v>
      </c>
      <c r="S163">
        <v>151</v>
      </c>
      <c r="T163">
        <v>1001</v>
      </c>
      <c r="U163">
        <v>55</v>
      </c>
      <c r="V163" s="8" t="s">
        <v>33</v>
      </c>
      <c r="W163" t="s">
        <v>34</v>
      </c>
      <c r="X163" t="s">
        <v>41</v>
      </c>
      <c r="Z163" t="str">
        <f t="shared" si="2"/>
        <v>NUC</v>
      </c>
      <c r="AA163" s="8"/>
      <c r="AB163">
        <f t="array" ref="AB163">_xlfn._xlws.FILTER(Projets!I$2:I$823,(Projets!A$2:A$823=A163), "")</f>
        <v>3435.02</v>
      </c>
    </row>
    <row r="164" spans="1:28" x14ac:dyDescent="0.25">
      <c r="A164" s="1" t="s">
        <v>607</v>
      </c>
      <c r="B164" s="2">
        <v>42450</v>
      </c>
      <c r="C164" t="s">
        <v>608</v>
      </c>
      <c r="D164" s="1" t="s">
        <v>187</v>
      </c>
      <c r="E164" t="s">
        <v>272</v>
      </c>
      <c r="F164" t="s">
        <v>272</v>
      </c>
      <c r="G164" t="s">
        <v>612</v>
      </c>
      <c r="I164">
        <v>1</v>
      </c>
      <c r="J164">
        <v>9</v>
      </c>
      <c r="K164">
        <v>6</v>
      </c>
      <c r="L164">
        <v>1</v>
      </c>
      <c r="M164">
        <v>50</v>
      </c>
      <c r="N164">
        <v>1000</v>
      </c>
      <c r="O164">
        <v>118</v>
      </c>
      <c r="P164">
        <v>112</v>
      </c>
      <c r="Q164">
        <v>6</v>
      </c>
      <c r="R164">
        <v>108</v>
      </c>
      <c r="S164" t="s">
        <v>197</v>
      </c>
      <c r="T164">
        <v>3011</v>
      </c>
      <c r="U164">
        <v>55</v>
      </c>
      <c r="V164" s="8" t="s">
        <v>33</v>
      </c>
      <c r="W164" t="s">
        <v>34</v>
      </c>
      <c r="X164" t="s">
        <v>41</v>
      </c>
      <c r="Z164" t="str">
        <f t="shared" si="2"/>
        <v>NUC</v>
      </c>
      <c r="AA164" s="8"/>
      <c r="AB164">
        <f t="array" ref="AB164">_xlfn._xlws.FILTER(Projets!I$2:I$823,(Projets!A$2:A$823=A164), "")</f>
        <v>3435.02</v>
      </c>
    </row>
    <row r="165" spans="1:28" x14ac:dyDescent="0.25">
      <c r="A165" s="1" t="s">
        <v>607</v>
      </c>
      <c r="B165" s="2">
        <v>42450</v>
      </c>
      <c r="C165" t="s">
        <v>613</v>
      </c>
      <c r="D165" s="1" t="s">
        <v>145</v>
      </c>
      <c r="E165" t="s">
        <v>272</v>
      </c>
      <c r="F165" t="s">
        <v>272</v>
      </c>
      <c r="G165" t="s">
        <v>614</v>
      </c>
      <c r="H165" t="s">
        <v>615</v>
      </c>
      <c r="I165">
        <v>1</v>
      </c>
      <c r="J165">
        <v>1</v>
      </c>
      <c r="K165">
        <v>6</v>
      </c>
      <c r="L165">
        <v>1</v>
      </c>
      <c r="M165">
        <v>50</v>
      </c>
      <c r="N165">
        <v>1500</v>
      </c>
      <c r="O165">
        <v>52</v>
      </c>
      <c r="P165">
        <v>44</v>
      </c>
      <c r="Q165">
        <v>4</v>
      </c>
      <c r="R165">
        <v>72</v>
      </c>
      <c r="S165" t="s">
        <v>156</v>
      </c>
      <c r="T165">
        <v>3011</v>
      </c>
      <c r="U165">
        <v>55</v>
      </c>
      <c r="V165" s="8" t="s">
        <v>33</v>
      </c>
      <c r="W165" t="s">
        <v>34</v>
      </c>
      <c r="X165" t="s">
        <v>41</v>
      </c>
      <c r="Z165" t="str">
        <f t="shared" si="2"/>
        <v>NUC</v>
      </c>
      <c r="AA165" s="8"/>
      <c r="AB165">
        <f t="array" ref="AB165">_xlfn._xlws.FILTER(Projets!I$2:I$823,(Projets!A$2:A$823=A165), "")</f>
        <v>3435.02</v>
      </c>
    </row>
    <row r="166" spans="1:28" x14ac:dyDescent="0.25">
      <c r="A166" s="1" t="s">
        <v>607</v>
      </c>
      <c r="B166" s="2">
        <v>42450</v>
      </c>
      <c r="C166" t="s">
        <v>608</v>
      </c>
      <c r="D166" s="1" t="s">
        <v>30</v>
      </c>
      <c r="E166" t="s">
        <v>272</v>
      </c>
      <c r="F166" t="s">
        <v>272</v>
      </c>
      <c r="G166" t="s">
        <v>273</v>
      </c>
      <c r="H166" t="s">
        <v>274</v>
      </c>
      <c r="I166">
        <v>1</v>
      </c>
      <c r="J166">
        <v>5</v>
      </c>
      <c r="K166">
        <v>6</v>
      </c>
      <c r="L166">
        <v>1</v>
      </c>
      <c r="M166">
        <v>50</v>
      </c>
      <c r="N166">
        <v>1000</v>
      </c>
      <c r="O166">
        <v>115</v>
      </c>
      <c r="P166">
        <v>70</v>
      </c>
      <c r="Q166">
        <v>6</v>
      </c>
      <c r="R166">
        <v>108</v>
      </c>
      <c r="S166" t="s">
        <v>197</v>
      </c>
      <c r="T166">
        <v>3011</v>
      </c>
      <c r="U166">
        <v>55</v>
      </c>
      <c r="V166" s="8" t="s">
        <v>33</v>
      </c>
      <c r="W166" t="s">
        <v>34</v>
      </c>
      <c r="X166" t="s">
        <v>41</v>
      </c>
      <c r="Z166" t="str">
        <f t="shared" si="2"/>
        <v>NUC</v>
      </c>
      <c r="AA166" s="8"/>
      <c r="AB166">
        <f t="array" ref="AB166">_xlfn._xlws.FILTER(Projets!I$2:I$823,(Projets!A$2:A$823=A166), "")</f>
        <v>3435.02</v>
      </c>
    </row>
    <row r="167" spans="1:28" x14ac:dyDescent="0.25">
      <c r="A167" s="1" t="s">
        <v>616</v>
      </c>
      <c r="B167" s="2">
        <v>42509</v>
      </c>
      <c r="C167" t="s">
        <v>617</v>
      </c>
      <c r="D167" s="1" t="s">
        <v>30</v>
      </c>
      <c r="E167" t="s">
        <v>452</v>
      </c>
      <c r="F167" t="s">
        <v>272</v>
      </c>
      <c r="G167" t="s">
        <v>618</v>
      </c>
      <c r="I167">
        <v>30</v>
      </c>
      <c r="J167">
        <v>1</v>
      </c>
      <c r="K167">
        <v>6</v>
      </c>
      <c r="L167">
        <v>0.89100000000000001</v>
      </c>
      <c r="M167">
        <v>50</v>
      </c>
      <c r="N167">
        <v>1500</v>
      </c>
      <c r="O167">
        <v>589</v>
      </c>
      <c r="P167">
        <v>350</v>
      </c>
      <c r="Q167">
        <v>4</v>
      </c>
      <c r="R167">
        <v>72</v>
      </c>
      <c r="S167" t="s">
        <v>116</v>
      </c>
      <c r="T167">
        <v>3001</v>
      </c>
      <c r="U167">
        <v>54</v>
      </c>
      <c r="V167" s="8" t="s">
        <v>33</v>
      </c>
      <c r="W167" t="s">
        <v>34</v>
      </c>
      <c r="X167" t="s">
        <v>41</v>
      </c>
      <c r="Z167" t="str">
        <f t="shared" si="2"/>
        <v>NUC</v>
      </c>
      <c r="AA167" s="8"/>
      <c r="AB167">
        <f t="array" ref="AB167">_xlfn._xlws.FILTER(Projets!I$2:I$823,(Projets!A$2:A$823=A167), "")</f>
        <v>3927.5</v>
      </c>
    </row>
    <row r="168" spans="1:28" x14ac:dyDescent="0.25">
      <c r="A168" s="1" t="s">
        <v>619</v>
      </c>
      <c r="B168" s="2">
        <v>42661</v>
      </c>
      <c r="C168" t="s">
        <v>620</v>
      </c>
      <c r="D168" s="1" t="s">
        <v>30</v>
      </c>
      <c r="E168" t="s">
        <v>621</v>
      </c>
      <c r="F168" t="s">
        <v>38</v>
      </c>
      <c r="G168" t="s">
        <v>233</v>
      </c>
      <c r="H168" t="s">
        <v>181</v>
      </c>
      <c r="I168">
        <v>4</v>
      </c>
      <c r="J168">
        <v>1</v>
      </c>
      <c r="K168">
        <v>6</v>
      </c>
      <c r="L168">
        <v>1</v>
      </c>
      <c r="M168">
        <v>50</v>
      </c>
      <c r="N168">
        <v>1500</v>
      </c>
      <c r="O168">
        <v>52</v>
      </c>
      <c r="P168">
        <v>35</v>
      </c>
      <c r="Q168">
        <v>4</v>
      </c>
      <c r="R168">
        <v>72</v>
      </c>
      <c r="S168">
        <v>151</v>
      </c>
      <c r="T168">
        <v>1001</v>
      </c>
      <c r="U168">
        <v>55</v>
      </c>
      <c r="V168" s="8" t="s">
        <v>33</v>
      </c>
      <c r="W168" t="s">
        <v>34</v>
      </c>
      <c r="X168" t="s">
        <v>41</v>
      </c>
      <c r="Z168" t="str">
        <f t="shared" si="2"/>
        <v>NUC</v>
      </c>
      <c r="AA168" s="8"/>
      <c r="AB168">
        <f t="array" ref="AB168">_xlfn._xlws.FILTER(Projets!I$2:I$823,(Projets!A$2:A$823=A168), "")</f>
        <v>198.65</v>
      </c>
    </row>
    <row r="169" spans="1:28" x14ac:dyDescent="0.25">
      <c r="A169" s="1" t="s">
        <v>622</v>
      </c>
      <c r="B169" s="2">
        <v>42828</v>
      </c>
      <c r="C169" t="s">
        <v>623</v>
      </c>
      <c r="D169" s="1" t="s">
        <v>30</v>
      </c>
      <c r="E169" t="s">
        <v>624</v>
      </c>
      <c r="F169" t="s">
        <v>38</v>
      </c>
      <c r="G169" t="s">
        <v>233</v>
      </c>
      <c r="H169" t="s">
        <v>619</v>
      </c>
      <c r="I169">
        <v>1</v>
      </c>
      <c r="J169">
        <v>1</v>
      </c>
      <c r="K169">
        <v>6</v>
      </c>
      <c r="L169">
        <v>1</v>
      </c>
      <c r="M169">
        <v>50</v>
      </c>
      <c r="N169">
        <v>1500</v>
      </c>
      <c r="O169">
        <v>52</v>
      </c>
      <c r="P169">
        <v>35</v>
      </c>
      <c r="Q169">
        <v>4</v>
      </c>
      <c r="R169">
        <v>72</v>
      </c>
      <c r="S169">
        <v>151</v>
      </c>
      <c r="T169">
        <v>1001</v>
      </c>
      <c r="U169">
        <v>55</v>
      </c>
      <c r="V169" s="8" t="s">
        <v>33</v>
      </c>
      <c r="W169" t="s">
        <v>34</v>
      </c>
      <c r="X169" t="s">
        <v>41</v>
      </c>
      <c r="Z169" t="str">
        <f t="shared" si="2"/>
        <v>NUC</v>
      </c>
      <c r="AA169" s="8"/>
      <c r="AB169">
        <f t="array" ref="AB169">_xlfn._xlws.FILTER(Projets!I$2:I$823,(Projets!A$2:A$823=A169), "")</f>
        <v>69.699999999999989</v>
      </c>
    </row>
    <row r="170" spans="1:28" x14ac:dyDescent="0.25">
      <c r="A170" s="1" t="s">
        <v>625</v>
      </c>
      <c r="B170" s="2">
        <v>42797</v>
      </c>
      <c r="C170" t="s">
        <v>626</v>
      </c>
      <c r="D170" s="1" t="s">
        <v>30</v>
      </c>
      <c r="E170" t="s">
        <v>394</v>
      </c>
      <c r="F170" t="s">
        <v>272</v>
      </c>
      <c r="G170" t="s">
        <v>627</v>
      </c>
      <c r="H170" t="s">
        <v>628</v>
      </c>
      <c r="I170">
        <v>5</v>
      </c>
      <c r="J170">
        <v>1</v>
      </c>
      <c r="K170">
        <v>10</v>
      </c>
      <c r="L170">
        <v>0.85</v>
      </c>
      <c r="M170">
        <v>50</v>
      </c>
      <c r="N170">
        <v>3000</v>
      </c>
      <c r="O170">
        <v>40</v>
      </c>
      <c r="P170">
        <v>35</v>
      </c>
      <c r="Q170">
        <v>2</v>
      </c>
      <c r="R170">
        <v>48</v>
      </c>
      <c r="S170" t="s">
        <v>176</v>
      </c>
      <c r="T170">
        <v>3011</v>
      </c>
      <c r="U170">
        <v>55</v>
      </c>
      <c r="V170" s="8" t="s">
        <v>33</v>
      </c>
      <c r="W170" t="s">
        <v>34</v>
      </c>
      <c r="X170" t="s">
        <v>41</v>
      </c>
      <c r="Z170" t="str">
        <f t="shared" si="2"/>
        <v>NUC</v>
      </c>
      <c r="AA170" s="8"/>
      <c r="AB170">
        <f t="array" ref="AB170">_xlfn._xlws.FILTER(Projets!I$2:I$823,(Projets!A$2:A$823=A170), "")</f>
        <v>3227.1999999999989</v>
      </c>
    </row>
    <row r="171" spans="1:28" x14ac:dyDescent="0.25">
      <c r="A171" s="1" t="s">
        <v>629</v>
      </c>
      <c r="B171" s="2">
        <v>43019</v>
      </c>
      <c r="C171" t="s">
        <v>630</v>
      </c>
      <c r="D171" s="1" t="s">
        <v>30</v>
      </c>
      <c r="E171" t="s">
        <v>631</v>
      </c>
      <c r="F171" t="s">
        <v>632</v>
      </c>
      <c r="G171" t="s">
        <v>633</v>
      </c>
      <c r="H171" t="s">
        <v>634</v>
      </c>
      <c r="I171">
        <v>2</v>
      </c>
      <c r="J171">
        <v>1</v>
      </c>
      <c r="K171">
        <v>10</v>
      </c>
      <c r="L171">
        <v>1</v>
      </c>
      <c r="M171">
        <v>50</v>
      </c>
      <c r="N171">
        <v>3000</v>
      </c>
      <c r="O171">
        <v>53</v>
      </c>
      <c r="P171">
        <v>69</v>
      </c>
      <c r="Q171">
        <v>2</v>
      </c>
      <c r="R171">
        <v>54</v>
      </c>
      <c r="S171" t="s">
        <v>156</v>
      </c>
      <c r="T171">
        <v>1001</v>
      </c>
      <c r="U171">
        <v>55</v>
      </c>
      <c r="V171" s="8" t="s">
        <v>33</v>
      </c>
      <c r="W171" t="s">
        <v>34</v>
      </c>
      <c r="X171" t="s">
        <v>41</v>
      </c>
      <c r="Z171" t="str">
        <f t="shared" si="2"/>
        <v>NUC</v>
      </c>
      <c r="AA171" s="8"/>
      <c r="AB171">
        <f t="array" ref="AB171">_xlfn._xlws.FILTER(Projets!I$2:I$823,(Projets!A$2:A$823=A171), "")</f>
        <v>1624.51</v>
      </c>
    </row>
    <row r="172" spans="1:28" x14ac:dyDescent="0.25">
      <c r="A172" s="1" t="s">
        <v>635</v>
      </c>
      <c r="B172" s="2">
        <v>42984</v>
      </c>
      <c r="C172" t="s">
        <v>636</v>
      </c>
      <c r="D172" s="1" t="s">
        <v>30</v>
      </c>
      <c r="E172" t="s">
        <v>637</v>
      </c>
      <c r="F172" t="s">
        <v>58</v>
      </c>
      <c r="G172" t="s">
        <v>638</v>
      </c>
      <c r="H172" t="s">
        <v>60</v>
      </c>
      <c r="I172">
        <v>1</v>
      </c>
      <c r="J172">
        <v>1</v>
      </c>
      <c r="K172">
        <v>10</v>
      </c>
      <c r="L172">
        <v>1</v>
      </c>
      <c r="M172">
        <v>50</v>
      </c>
      <c r="N172">
        <v>1000</v>
      </c>
      <c r="O172">
        <v>63</v>
      </c>
      <c r="P172">
        <v>74</v>
      </c>
      <c r="Q172">
        <v>6</v>
      </c>
      <c r="R172">
        <v>72</v>
      </c>
      <c r="S172" t="s">
        <v>49</v>
      </c>
      <c r="T172">
        <v>1001</v>
      </c>
      <c r="U172">
        <v>55</v>
      </c>
      <c r="V172" s="8" t="s">
        <v>33</v>
      </c>
      <c r="W172" t="s">
        <v>34</v>
      </c>
      <c r="X172" t="s">
        <v>41</v>
      </c>
      <c r="Z172" t="str">
        <f t="shared" si="2"/>
        <v>NUC</v>
      </c>
      <c r="AA172" s="8"/>
      <c r="AB172">
        <f t="array" ref="AB172">_xlfn._xlws.FILTER(Projets!I$2:I$823,(Projets!A$2:A$823=A172), "")</f>
        <v>153.5</v>
      </c>
    </row>
    <row r="173" spans="1:28" x14ac:dyDescent="0.25">
      <c r="A173" s="1" t="s">
        <v>639</v>
      </c>
      <c r="B173" s="2">
        <v>43014</v>
      </c>
      <c r="C173" t="s">
        <v>640</v>
      </c>
      <c r="D173" s="1" t="s">
        <v>386</v>
      </c>
      <c r="E173" t="s">
        <v>641</v>
      </c>
      <c r="F173" t="s">
        <v>641</v>
      </c>
      <c r="G173" t="s">
        <v>642</v>
      </c>
      <c r="H173" t="s">
        <v>643</v>
      </c>
      <c r="I173">
        <v>2</v>
      </c>
      <c r="J173">
        <v>1</v>
      </c>
      <c r="K173">
        <v>6</v>
      </c>
      <c r="L173">
        <v>1</v>
      </c>
      <c r="M173">
        <v>50</v>
      </c>
      <c r="N173">
        <v>1500</v>
      </c>
      <c r="O173">
        <v>67</v>
      </c>
      <c r="P173">
        <v>62</v>
      </c>
      <c r="Q173">
        <v>4</v>
      </c>
      <c r="R173">
        <v>72</v>
      </c>
      <c r="S173" t="s">
        <v>156</v>
      </c>
      <c r="T173">
        <v>3011</v>
      </c>
      <c r="U173">
        <v>55</v>
      </c>
      <c r="V173" s="8" t="s">
        <v>33</v>
      </c>
      <c r="W173" t="s">
        <v>34</v>
      </c>
      <c r="X173" t="s">
        <v>41</v>
      </c>
      <c r="Z173" t="str">
        <f t="shared" si="2"/>
        <v>NUC</v>
      </c>
      <c r="AA173" s="8"/>
      <c r="AB173">
        <f t="array" ref="AB173">_xlfn._xlws.FILTER(Projets!I$2:I$823,(Projets!A$2:A$823=A173), "")</f>
        <v>1830.7</v>
      </c>
    </row>
    <row r="174" spans="1:28" x14ac:dyDescent="0.25">
      <c r="A174" s="1" t="s">
        <v>639</v>
      </c>
      <c r="B174" s="2">
        <v>43014</v>
      </c>
      <c r="C174" t="s">
        <v>640</v>
      </c>
      <c r="D174" s="1" t="s">
        <v>341</v>
      </c>
      <c r="E174" t="s">
        <v>641</v>
      </c>
      <c r="F174" t="s">
        <v>641</v>
      </c>
      <c r="G174" t="s">
        <v>644</v>
      </c>
      <c r="H174" t="s">
        <v>645</v>
      </c>
      <c r="I174">
        <v>2</v>
      </c>
      <c r="J174">
        <v>3</v>
      </c>
      <c r="K174">
        <v>6</v>
      </c>
      <c r="L174">
        <v>1</v>
      </c>
      <c r="M174">
        <v>50</v>
      </c>
      <c r="N174">
        <v>1000</v>
      </c>
      <c r="O174">
        <v>99</v>
      </c>
      <c r="P174">
        <v>80</v>
      </c>
      <c r="Q174">
        <v>6</v>
      </c>
      <c r="R174">
        <v>108</v>
      </c>
      <c r="S174" t="s">
        <v>49</v>
      </c>
      <c r="T174">
        <v>3011</v>
      </c>
      <c r="U174">
        <v>55</v>
      </c>
      <c r="V174" s="8" t="s">
        <v>33</v>
      </c>
      <c r="W174" t="s">
        <v>34</v>
      </c>
      <c r="X174" t="s">
        <v>41</v>
      </c>
      <c r="Z174" t="str">
        <f t="shared" si="2"/>
        <v>NUC</v>
      </c>
      <c r="AA174" s="8"/>
      <c r="AB174">
        <f t="array" ref="AB174">_xlfn._xlws.FILTER(Projets!I$2:I$823,(Projets!A$2:A$823=A174), "")</f>
        <v>1830.7</v>
      </c>
    </row>
    <row r="175" spans="1:28" x14ac:dyDescent="0.25">
      <c r="A175" s="1" t="s">
        <v>639</v>
      </c>
      <c r="B175" s="2">
        <v>43014</v>
      </c>
      <c r="C175" t="s">
        <v>640</v>
      </c>
      <c r="D175" s="1" t="s">
        <v>187</v>
      </c>
      <c r="E175" t="s">
        <v>641</v>
      </c>
      <c r="F175" t="s">
        <v>641</v>
      </c>
      <c r="G175" t="s">
        <v>646</v>
      </c>
      <c r="H175" t="s">
        <v>647</v>
      </c>
      <c r="I175">
        <v>2</v>
      </c>
      <c r="J175">
        <v>3</v>
      </c>
      <c r="K175">
        <v>6</v>
      </c>
      <c r="L175">
        <v>1</v>
      </c>
      <c r="M175">
        <v>50</v>
      </c>
      <c r="N175">
        <v>1000</v>
      </c>
      <c r="O175">
        <v>99</v>
      </c>
      <c r="P175">
        <v>70</v>
      </c>
      <c r="Q175">
        <v>6</v>
      </c>
      <c r="R175">
        <v>108</v>
      </c>
      <c r="S175" t="s">
        <v>49</v>
      </c>
      <c r="T175">
        <v>3011</v>
      </c>
      <c r="U175">
        <v>55</v>
      </c>
      <c r="V175" s="8" t="s">
        <v>33</v>
      </c>
      <c r="W175" t="s">
        <v>34</v>
      </c>
      <c r="X175" t="s">
        <v>41</v>
      </c>
      <c r="Z175" t="str">
        <f t="shared" si="2"/>
        <v>NUC</v>
      </c>
      <c r="AA175" s="8"/>
      <c r="AB175">
        <f t="array" ref="AB175">_xlfn._xlws.FILTER(Projets!I$2:I$823,(Projets!A$2:A$823=A175), "")</f>
        <v>1830.7</v>
      </c>
    </row>
    <row r="176" spans="1:28" x14ac:dyDescent="0.25">
      <c r="A176" s="1" t="s">
        <v>639</v>
      </c>
      <c r="B176" s="2">
        <v>43014</v>
      </c>
      <c r="C176" t="s">
        <v>640</v>
      </c>
      <c r="D176" s="1" t="s">
        <v>145</v>
      </c>
      <c r="E176" t="s">
        <v>641</v>
      </c>
      <c r="F176" t="s">
        <v>641</v>
      </c>
      <c r="G176" t="s">
        <v>648</v>
      </c>
      <c r="H176" t="s">
        <v>649</v>
      </c>
      <c r="I176">
        <v>1</v>
      </c>
      <c r="J176">
        <v>9</v>
      </c>
      <c r="K176">
        <v>6</v>
      </c>
      <c r="L176">
        <v>1</v>
      </c>
      <c r="M176">
        <v>50</v>
      </c>
      <c r="N176">
        <v>1000</v>
      </c>
      <c r="O176">
        <v>118</v>
      </c>
      <c r="P176">
        <v>112</v>
      </c>
      <c r="Q176">
        <v>6</v>
      </c>
      <c r="R176">
        <v>108</v>
      </c>
      <c r="S176" t="s">
        <v>197</v>
      </c>
      <c r="T176">
        <v>3011</v>
      </c>
      <c r="U176">
        <v>55</v>
      </c>
      <c r="V176" s="8" t="s">
        <v>33</v>
      </c>
      <c r="W176" t="s">
        <v>34</v>
      </c>
      <c r="X176" t="s">
        <v>41</v>
      </c>
      <c r="Z176" t="str">
        <f t="shared" si="2"/>
        <v>NUC</v>
      </c>
      <c r="AA176" s="8"/>
      <c r="AB176">
        <f t="array" ref="AB176">_xlfn._xlws.FILTER(Projets!I$2:I$823,(Projets!A$2:A$823=A176), "")</f>
        <v>1830.7</v>
      </c>
    </row>
    <row r="177" spans="1:28" x14ac:dyDescent="0.25">
      <c r="A177" s="1" t="s">
        <v>639</v>
      </c>
      <c r="B177" s="2">
        <v>43014</v>
      </c>
      <c r="C177" t="s">
        <v>640</v>
      </c>
      <c r="D177" s="1" t="s">
        <v>30</v>
      </c>
      <c r="E177" t="s">
        <v>641</v>
      </c>
      <c r="F177" t="s">
        <v>641</v>
      </c>
      <c r="G177" t="s">
        <v>273</v>
      </c>
      <c r="H177" t="s">
        <v>649</v>
      </c>
      <c r="I177">
        <v>4</v>
      </c>
      <c r="J177">
        <v>5</v>
      </c>
      <c r="K177">
        <v>6</v>
      </c>
      <c r="L177">
        <v>1</v>
      </c>
      <c r="M177">
        <v>50</v>
      </c>
      <c r="N177">
        <v>1000</v>
      </c>
      <c r="O177">
        <v>115</v>
      </c>
      <c r="P177">
        <v>70</v>
      </c>
      <c r="Q177">
        <v>6</v>
      </c>
      <c r="R177">
        <v>108</v>
      </c>
      <c r="S177" t="s">
        <v>197</v>
      </c>
      <c r="T177">
        <v>3011</v>
      </c>
      <c r="U177">
        <v>55</v>
      </c>
      <c r="V177" s="8" t="s">
        <v>33</v>
      </c>
      <c r="W177" t="s">
        <v>34</v>
      </c>
      <c r="X177" t="s">
        <v>41</v>
      </c>
      <c r="Z177" t="str">
        <f t="shared" si="2"/>
        <v>NUC</v>
      </c>
      <c r="AA177" s="8"/>
      <c r="AB177">
        <f t="array" ref="AB177">_xlfn._xlws.FILTER(Projets!I$2:I$823,(Projets!A$2:A$823=A177), "")</f>
        <v>1830.7</v>
      </c>
    </row>
    <row r="178" spans="1:28" x14ac:dyDescent="0.25">
      <c r="A178" s="1" t="s">
        <v>650</v>
      </c>
      <c r="B178" s="2">
        <v>43049</v>
      </c>
      <c r="C178" t="s">
        <v>651</v>
      </c>
      <c r="D178" s="1" t="s">
        <v>30</v>
      </c>
      <c r="E178" t="s">
        <v>652</v>
      </c>
      <c r="F178" t="s">
        <v>653</v>
      </c>
      <c r="G178" t="s">
        <v>654</v>
      </c>
      <c r="H178" t="s">
        <v>655</v>
      </c>
      <c r="I178">
        <v>6</v>
      </c>
      <c r="J178">
        <v>1</v>
      </c>
      <c r="K178">
        <v>10</v>
      </c>
      <c r="L178">
        <v>1</v>
      </c>
      <c r="M178">
        <v>50</v>
      </c>
      <c r="N178">
        <v>1000</v>
      </c>
      <c r="O178">
        <v>44</v>
      </c>
      <c r="P178">
        <v>44</v>
      </c>
      <c r="Q178">
        <v>6</v>
      </c>
      <c r="R178">
        <v>54</v>
      </c>
      <c r="S178" t="s">
        <v>156</v>
      </c>
      <c r="T178">
        <v>1001</v>
      </c>
      <c r="U178">
        <v>55</v>
      </c>
      <c r="V178" s="8" t="s">
        <v>33</v>
      </c>
      <c r="W178" t="s">
        <v>34</v>
      </c>
      <c r="X178" t="s">
        <v>41</v>
      </c>
      <c r="Z178" t="str">
        <f t="shared" si="2"/>
        <v>NUC</v>
      </c>
      <c r="AA178" s="8"/>
      <c r="AB178">
        <f t="array" ref="AB178">_xlfn._xlws.FILTER(Projets!I$2:I$823,(Projets!A$2:A$823=A178), "")</f>
        <v>408.7</v>
      </c>
    </row>
    <row r="179" spans="1:28" x14ac:dyDescent="0.25">
      <c r="A179" s="1" t="s">
        <v>656</v>
      </c>
      <c r="B179" s="2">
        <v>43494</v>
      </c>
      <c r="C179" t="s">
        <v>657</v>
      </c>
      <c r="D179" s="1" t="s">
        <v>145</v>
      </c>
      <c r="E179" t="s">
        <v>658</v>
      </c>
      <c r="F179" t="s">
        <v>659</v>
      </c>
      <c r="G179" t="s">
        <v>660</v>
      </c>
      <c r="I179">
        <v>8</v>
      </c>
      <c r="J179">
        <v>1</v>
      </c>
      <c r="K179">
        <v>10</v>
      </c>
      <c r="L179">
        <v>1</v>
      </c>
      <c r="M179">
        <v>50</v>
      </c>
      <c r="N179">
        <v>600</v>
      </c>
      <c r="O179">
        <v>74</v>
      </c>
      <c r="P179">
        <v>104</v>
      </c>
      <c r="Q179">
        <v>10</v>
      </c>
      <c r="R179">
        <v>90</v>
      </c>
      <c r="S179" t="s">
        <v>49</v>
      </c>
      <c r="T179">
        <v>3011</v>
      </c>
      <c r="U179">
        <v>55</v>
      </c>
      <c r="V179" s="8" t="s">
        <v>33</v>
      </c>
      <c r="W179" t="s">
        <v>34</v>
      </c>
      <c r="X179" t="s">
        <v>41</v>
      </c>
      <c r="Z179" t="str">
        <f t="shared" si="2"/>
        <v>NUC</v>
      </c>
      <c r="AA179" s="8"/>
      <c r="AB179">
        <f t="array" ref="AB179">_xlfn._xlws.FILTER(Projets!I$2:I$823,(Projets!A$2:A$823=A179), "")</f>
        <v>2237.6999999999998</v>
      </c>
    </row>
    <row r="180" spans="1:28" x14ac:dyDescent="0.25">
      <c r="A180" s="1" t="s">
        <v>656</v>
      </c>
      <c r="B180" s="2">
        <v>43494</v>
      </c>
      <c r="C180" t="s">
        <v>661</v>
      </c>
      <c r="D180" s="1" t="s">
        <v>30</v>
      </c>
      <c r="E180" t="s">
        <v>658</v>
      </c>
      <c r="F180" t="s">
        <v>659</v>
      </c>
      <c r="G180" t="s">
        <v>662</v>
      </c>
      <c r="I180">
        <v>8</v>
      </c>
      <c r="J180">
        <v>1</v>
      </c>
      <c r="K180">
        <v>10</v>
      </c>
      <c r="L180">
        <v>1</v>
      </c>
      <c r="M180">
        <v>50</v>
      </c>
      <c r="N180">
        <v>750</v>
      </c>
      <c r="O180">
        <v>73</v>
      </c>
      <c r="P180">
        <v>84</v>
      </c>
      <c r="Q180">
        <v>8</v>
      </c>
      <c r="R180">
        <v>96</v>
      </c>
      <c r="S180" t="s">
        <v>49</v>
      </c>
      <c r="T180">
        <v>3011</v>
      </c>
      <c r="U180">
        <v>55</v>
      </c>
      <c r="V180" s="8" t="s">
        <v>33</v>
      </c>
      <c r="W180" t="s">
        <v>34</v>
      </c>
      <c r="X180" t="s">
        <v>41</v>
      </c>
      <c r="Z180" t="str">
        <f t="shared" si="2"/>
        <v>NUC</v>
      </c>
      <c r="AA180" s="8"/>
      <c r="AB180">
        <f t="array" ref="AB180">_xlfn._xlws.FILTER(Projets!I$2:I$823,(Projets!A$2:A$823=A180), "")</f>
        <v>2237.6999999999998</v>
      </c>
    </row>
    <row r="181" spans="1:28" x14ac:dyDescent="0.25">
      <c r="A181" s="1" t="s">
        <v>663</v>
      </c>
      <c r="B181" s="2">
        <v>43404</v>
      </c>
      <c r="C181" t="s">
        <v>664</v>
      </c>
      <c r="D181" s="1" t="s">
        <v>30</v>
      </c>
      <c r="E181" t="s">
        <v>665</v>
      </c>
      <c r="F181" t="s">
        <v>666</v>
      </c>
      <c r="G181" t="s">
        <v>233</v>
      </c>
      <c r="H181" t="s">
        <v>117</v>
      </c>
      <c r="I181">
        <v>1</v>
      </c>
      <c r="J181">
        <v>1</v>
      </c>
      <c r="K181">
        <v>6</v>
      </c>
      <c r="L181">
        <v>1</v>
      </c>
      <c r="M181">
        <v>50</v>
      </c>
      <c r="N181">
        <v>1500</v>
      </c>
      <c r="O181">
        <v>52</v>
      </c>
      <c r="P181">
        <v>35</v>
      </c>
      <c r="Q181">
        <v>4</v>
      </c>
      <c r="R181">
        <v>72</v>
      </c>
      <c r="S181">
        <v>151</v>
      </c>
      <c r="T181">
        <v>1001</v>
      </c>
      <c r="U181">
        <v>55</v>
      </c>
      <c r="V181" s="8" t="s">
        <v>33</v>
      </c>
      <c r="W181" t="s">
        <v>34</v>
      </c>
      <c r="X181" t="s">
        <v>41</v>
      </c>
      <c r="Z181" t="str">
        <f t="shared" si="2"/>
        <v>NUC</v>
      </c>
      <c r="AA181" s="8"/>
      <c r="AB181">
        <f t="array" ref="AB181">_xlfn._xlws.FILTER(Projets!I$2:I$823,(Projets!A$2:A$823=A181), "")</f>
        <v>34.799999999999997</v>
      </c>
    </row>
    <row r="182" spans="1:28" x14ac:dyDescent="0.25">
      <c r="A182" s="1" t="s">
        <v>667</v>
      </c>
      <c r="B182" s="2">
        <v>43447</v>
      </c>
      <c r="C182" t="s">
        <v>668</v>
      </c>
      <c r="D182" s="1" t="s">
        <v>145</v>
      </c>
      <c r="E182" t="s">
        <v>669</v>
      </c>
      <c r="F182" t="s">
        <v>668</v>
      </c>
      <c r="G182" t="s">
        <v>233</v>
      </c>
      <c r="H182" t="s">
        <v>670</v>
      </c>
      <c r="I182">
        <v>1</v>
      </c>
      <c r="J182">
        <v>1</v>
      </c>
      <c r="K182">
        <v>6</v>
      </c>
      <c r="L182">
        <v>1</v>
      </c>
      <c r="M182">
        <v>50</v>
      </c>
      <c r="N182">
        <v>1500</v>
      </c>
      <c r="O182">
        <v>52</v>
      </c>
      <c r="P182">
        <v>35</v>
      </c>
      <c r="Q182">
        <v>4</v>
      </c>
      <c r="R182">
        <v>72</v>
      </c>
      <c r="S182">
        <v>151</v>
      </c>
      <c r="T182">
        <v>1001</v>
      </c>
      <c r="U182">
        <v>54</v>
      </c>
      <c r="V182" s="8" t="s">
        <v>33</v>
      </c>
      <c r="W182" t="s">
        <v>34</v>
      </c>
      <c r="X182" t="s">
        <v>41</v>
      </c>
      <c r="Z182" t="str">
        <f t="shared" si="2"/>
        <v>NUC</v>
      </c>
      <c r="AA182" s="8"/>
      <c r="AB182">
        <f t="array" ref="AB182">_xlfn._xlws.FILTER(Projets!I$2:I$823,(Projets!A$2:A$823=A182), "")</f>
        <v>68.55</v>
      </c>
    </row>
    <row r="183" spans="1:28" x14ac:dyDescent="0.25">
      <c r="A183" s="1" t="s">
        <v>667</v>
      </c>
      <c r="B183" s="2">
        <v>43447</v>
      </c>
      <c r="C183" t="s">
        <v>668</v>
      </c>
      <c r="D183" s="1" t="s">
        <v>30</v>
      </c>
      <c r="E183" t="s">
        <v>669</v>
      </c>
      <c r="F183" t="s">
        <v>668</v>
      </c>
      <c r="G183" t="s">
        <v>671</v>
      </c>
      <c r="H183" t="s">
        <v>167</v>
      </c>
      <c r="I183">
        <v>1</v>
      </c>
      <c r="J183">
        <v>1</v>
      </c>
      <c r="K183">
        <v>6</v>
      </c>
      <c r="L183">
        <v>1</v>
      </c>
      <c r="M183">
        <v>50</v>
      </c>
      <c r="N183">
        <v>1500</v>
      </c>
      <c r="O183">
        <v>52</v>
      </c>
      <c r="P183">
        <v>53</v>
      </c>
      <c r="Q183">
        <v>4</v>
      </c>
      <c r="R183">
        <v>72</v>
      </c>
      <c r="S183">
        <v>151</v>
      </c>
      <c r="T183">
        <v>1001</v>
      </c>
      <c r="U183">
        <v>55</v>
      </c>
      <c r="V183" s="8" t="s">
        <v>33</v>
      </c>
      <c r="W183" t="s">
        <v>34</v>
      </c>
      <c r="X183" t="s">
        <v>41</v>
      </c>
      <c r="Z183" t="str">
        <f t="shared" si="2"/>
        <v>NUC</v>
      </c>
      <c r="AA183" s="8"/>
      <c r="AB183">
        <f t="array" ref="AB183">_xlfn._xlws.FILTER(Projets!I$2:I$823,(Projets!A$2:A$823=A183), "")</f>
        <v>68.55</v>
      </c>
    </row>
    <row r="184" spans="1:28" x14ac:dyDescent="0.25">
      <c r="A184" s="1" t="s">
        <v>672</v>
      </c>
      <c r="B184" s="2">
        <v>43494</v>
      </c>
      <c r="C184" t="s">
        <v>673</v>
      </c>
      <c r="D184" s="1" t="s">
        <v>145</v>
      </c>
      <c r="E184" t="s">
        <v>674</v>
      </c>
      <c r="F184" t="s">
        <v>675</v>
      </c>
      <c r="G184" t="s">
        <v>676</v>
      </c>
      <c r="I184">
        <v>8</v>
      </c>
      <c r="J184">
        <v>1</v>
      </c>
      <c r="K184">
        <v>10</v>
      </c>
      <c r="L184">
        <v>1</v>
      </c>
      <c r="M184">
        <v>50</v>
      </c>
      <c r="N184">
        <v>1500</v>
      </c>
      <c r="O184">
        <v>45</v>
      </c>
      <c r="P184">
        <v>76</v>
      </c>
      <c r="Q184">
        <v>4</v>
      </c>
      <c r="R184">
        <v>48</v>
      </c>
      <c r="S184" t="s">
        <v>156</v>
      </c>
      <c r="T184">
        <v>1001</v>
      </c>
      <c r="U184">
        <v>55</v>
      </c>
      <c r="V184" s="8" t="s">
        <v>33</v>
      </c>
      <c r="W184" t="s">
        <v>34</v>
      </c>
      <c r="X184" t="s">
        <v>41</v>
      </c>
      <c r="Z184" t="str">
        <f t="shared" si="2"/>
        <v>NUC</v>
      </c>
      <c r="AA184" s="8"/>
      <c r="AB184">
        <f t="array" ref="AB184">_xlfn._xlws.FILTER(Projets!I$2:I$823,(Projets!A$2:A$823=A184), "")</f>
        <v>4084.35</v>
      </c>
    </row>
    <row r="185" spans="1:28" x14ac:dyDescent="0.25">
      <c r="A185" s="1" t="s">
        <v>672</v>
      </c>
      <c r="B185" s="2">
        <v>43494</v>
      </c>
      <c r="C185" t="s">
        <v>677</v>
      </c>
      <c r="D185" s="1" t="s">
        <v>30</v>
      </c>
      <c r="E185" t="s">
        <v>674</v>
      </c>
      <c r="F185" t="s">
        <v>675</v>
      </c>
      <c r="G185" t="s">
        <v>678</v>
      </c>
      <c r="I185">
        <v>4</v>
      </c>
      <c r="J185">
        <v>1</v>
      </c>
      <c r="K185">
        <v>10</v>
      </c>
      <c r="L185">
        <v>1</v>
      </c>
      <c r="M185">
        <v>50</v>
      </c>
      <c r="N185">
        <v>3000</v>
      </c>
      <c r="O185">
        <v>40</v>
      </c>
      <c r="P185">
        <v>45</v>
      </c>
      <c r="Q185">
        <v>2</v>
      </c>
      <c r="R185">
        <v>48</v>
      </c>
      <c r="S185" t="s">
        <v>156</v>
      </c>
      <c r="T185">
        <v>1001</v>
      </c>
      <c r="U185">
        <v>55</v>
      </c>
      <c r="V185" s="8" t="s">
        <v>33</v>
      </c>
      <c r="W185" t="s">
        <v>34</v>
      </c>
      <c r="X185" t="s">
        <v>41</v>
      </c>
      <c r="Z185" t="str">
        <f t="shared" si="2"/>
        <v>NUC</v>
      </c>
      <c r="AA185" s="8"/>
      <c r="AB185">
        <f t="array" ref="AB185">_xlfn._xlws.FILTER(Projets!I$2:I$823,(Projets!A$2:A$823=A185), "")</f>
        <v>4084.35</v>
      </c>
    </row>
    <row r="186" spans="1:28" x14ac:dyDescent="0.25">
      <c r="A186" s="1" t="s">
        <v>679</v>
      </c>
      <c r="B186" s="2">
        <v>44203</v>
      </c>
      <c r="C186" t="s">
        <v>680</v>
      </c>
      <c r="D186" s="1" t="s">
        <v>681</v>
      </c>
      <c r="E186" t="s">
        <v>641</v>
      </c>
      <c r="F186" t="s">
        <v>641</v>
      </c>
      <c r="G186" t="s">
        <v>682</v>
      </c>
      <c r="H186" t="s">
        <v>683</v>
      </c>
      <c r="I186">
        <v>1</v>
      </c>
      <c r="J186">
        <v>5</v>
      </c>
      <c r="K186">
        <v>6</v>
      </c>
      <c r="L186">
        <v>1</v>
      </c>
      <c r="M186">
        <v>50</v>
      </c>
      <c r="N186">
        <v>1000</v>
      </c>
      <c r="O186">
        <v>55</v>
      </c>
      <c r="P186">
        <v>50</v>
      </c>
      <c r="Q186">
        <v>6</v>
      </c>
      <c r="R186">
        <v>72</v>
      </c>
      <c r="S186" t="s">
        <v>49</v>
      </c>
      <c r="T186">
        <v>3011</v>
      </c>
      <c r="U186">
        <v>55</v>
      </c>
      <c r="V186" s="8" t="s">
        <v>33</v>
      </c>
      <c r="W186" t="s">
        <v>34</v>
      </c>
      <c r="X186" t="s">
        <v>41</v>
      </c>
      <c r="Z186" t="str">
        <f t="shared" si="2"/>
        <v>NUC</v>
      </c>
      <c r="AA186" s="8"/>
      <c r="AB186">
        <f t="array" ref="AB186">_xlfn._xlws.FILTER(Projets!I$2:I$823,(Projets!A$2:A$823=A186), "")</f>
        <v>4387.05</v>
      </c>
    </row>
    <row r="187" spans="1:28" x14ac:dyDescent="0.25">
      <c r="A187" s="1" t="s">
        <v>679</v>
      </c>
      <c r="B187" s="2">
        <v>44203</v>
      </c>
      <c r="C187" t="s">
        <v>680</v>
      </c>
      <c r="D187" s="1" t="s">
        <v>382</v>
      </c>
      <c r="E187" t="s">
        <v>641</v>
      </c>
      <c r="F187" t="s">
        <v>641</v>
      </c>
      <c r="G187" t="s">
        <v>684</v>
      </c>
      <c r="I187">
        <v>1</v>
      </c>
      <c r="J187">
        <v>4</v>
      </c>
      <c r="K187">
        <v>6</v>
      </c>
      <c r="L187">
        <v>1</v>
      </c>
      <c r="M187">
        <v>50</v>
      </c>
      <c r="N187">
        <v>1000</v>
      </c>
      <c r="O187">
        <v>50</v>
      </c>
      <c r="P187">
        <v>50</v>
      </c>
      <c r="Q187">
        <v>6</v>
      </c>
      <c r="R187">
        <v>72</v>
      </c>
      <c r="S187">
        <v>151</v>
      </c>
      <c r="T187">
        <v>3011</v>
      </c>
      <c r="U187">
        <v>55</v>
      </c>
      <c r="V187" s="8" t="s">
        <v>33</v>
      </c>
      <c r="W187" t="s">
        <v>34</v>
      </c>
      <c r="X187" t="s">
        <v>41</v>
      </c>
      <c r="Z187" t="str">
        <f t="shared" si="2"/>
        <v>NUC</v>
      </c>
      <c r="AA187" s="8"/>
      <c r="AB187">
        <f t="array" ref="AB187">_xlfn._xlws.FILTER(Projets!I$2:I$823,(Projets!A$2:A$823=A187), "")</f>
        <v>4387.05</v>
      </c>
    </row>
    <row r="188" spans="1:28" x14ac:dyDescent="0.25">
      <c r="A188" s="1" t="s">
        <v>679</v>
      </c>
      <c r="B188" s="2">
        <v>44203</v>
      </c>
      <c r="C188" t="s">
        <v>680</v>
      </c>
      <c r="D188" s="1" t="s">
        <v>386</v>
      </c>
      <c r="E188" t="s">
        <v>641</v>
      </c>
      <c r="F188" t="s">
        <v>641</v>
      </c>
      <c r="G188" t="s">
        <v>685</v>
      </c>
      <c r="H188" t="s">
        <v>686</v>
      </c>
      <c r="I188">
        <v>1</v>
      </c>
      <c r="J188">
        <v>3</v>
      </c>
      <c r="K188">
        <v>6</v>
      </c>
      <c r="L188">
        <v>1</v>
      </c>
      <c r="M188">
        <v>50</v>
      </c>
      <c r="N188">
        <v>1000</v>
      </c>
      <c r="O188">
        <v>48</v>
      </c>
      <c r="P188">
        <v>47</v>
      </c>
      <c r="Q188">
        <v>6</v>
      </c>
      <c r="R188">
        <v>72</v>
      </c>
      <c r="S188" t="s">
        <v>116</v>
      </c>
      <c r="T188">
        <v>3011</v>
      </c>
      <c r="U188">
        <v>55</v>
      </c>
      <c r="V188" s="8" t="s">
        <v>33</v>
      </c>
      <c r="W188" t="s">
        <v>34</v>
      </c>
      <c r="X188" t="s">
        <v>41</v>
      </c>
      <c r="Z188" t="str">
        <f t="shared" si="2"/>
        <v>NUC</v>
      </c>
      <c r="AA188" s="8"/>
      <c r="AB188">
        <f t="array" ref="AB188">_xlfn._xlws.FILTER(Projets!I$2:I$823,(Projets!A$2:A$823=A188), "")</f>
        <v>4387.05</v>
      </c>
    </row>
    <row r="189" spans="1:28" x14ac:dyDescent="0.25">
      <c r="A189" s="1" t="s">
        <v>679</v>
      </c>
      <c r="B189" s="2">
        <v>44203</v>
      </c>
      <c r="C189" t="s">
        <v>680</v>
      </c>
      <c r="D189" s="1" t="s">
        <v>341</v>
      </c>
      <c r="E189" t="s">
        <v>641</v>
      </c>
      <c r="F189" t="s">
        <v>641</v>
      </c>
      <c r="G189" t="s">
        <v>687</v>
      </c>
      <c r="H189" t="s">
        <v>688</v>
      </c>
      <c r="I189">
        <v>1</v>
      </c>
      <c r="J189">
        <v>63</v>
      </c>
      <c r="K189">
        <v>6</v>
      </c>
      <c r="L189">
        <v>1</v>
      </c>
      <c r="M189">
        <v>50</v>
      </c>
      <c r="N189">
        <v>1500</v>
      </c>
      <c r="O189">
        <v>52</v>
      </c>
      <c r="P189">
        <v>51</v>
      </c>
      <c r="Q189">
        <v>4</v>
      </c>
      <c r="R189">
        <v>72</v>
      </c>
      <c r="S189" t="s">
        <v>49</v>
      </c>
      <c r="T189">
        <v>1001</v>
      </c>
      <c r="U189">
        <v>55</v>
      </c>
      <c r="V189" s="8" t="s">
        <v>33</v>
      </c>
      <c r="W189" t="s">
        <v>34</v>
      </c>
      <c r="X189" t="s">
        <v>41</v>
      </c>
      <c r="Z189" t="str">
        <f t="shared" si="2"/>
        <v>NUC</v>
      </c>
      <c r="AA189" s="8"/>
      <c r="AB189">
        <f t="array" ref="AB189">_xlfn._xlws.FILTER(Projets!I$2:I$823,(Projets!A$2:A$823=A189), "")</f>
        <v>4387.05</v>
      </c>
    </row>
    <row r="190" spans="1:28" x14ac:dyDescent="0.25">
      <c r="A190" s="1" t="s">
        <v>679</v>
      </c>
      <c r="B190" s="2">
        <v>44203</v>
      </c>
      <c r="C190" t="s">
        <v>680</v>
      </c>
      <c r="D190" s="1" t="s">
        <v>187</v>
      </c>
      <c r="E190" t="s">
        <v>641</v>
      </c>
      <c r="F190" t="s">
        <v>641</v>
      </c>
      <c r="G190" t="s">
        <v>689</v>
      </c>
      <c r="H190" t="s">
        <v>690</v>
      </c>
      <c r="I190">
        <v>1</v>
      </c>
      <c r="J190">
        <v>5</v>
      </c>
      <c r="K190">
        <v>6</v>
      </c>
      <c r="L190">
        <v>1</v>
      </c>
      <c r="M190">
        <v>50</v>
      </c>
      <c r="N190">
        <v>1500</v>
      </c>
      <c r="O190">
        <v>52</v>
      </c>
      <c r="P190">
        <v>38</v>
      </c>
      <c r="Q190">
        <v>4</v>
      </c>
      <c r="R190">
        <v>72</v>
      </c>
      <c r="S190">
        <v>151</v>
      </c>
      <c r="T190">
        <v>1001</v>
      </c>
      <c r="U190">
        <v>55</v>
      </c>
      <c r="V190" s="8" t="s">
        <v>33</v>
      </c>
      <c r="W190" t="s">
        <v>34</v>
      </c>
      <c r="X190" t="s">
        <v>41</v>
      </c>
      <c r="Z190" t="str">
        <f t="shared" si="2"/>
        <v>NUC</v>
      </c>
      <c r="AA190" s="8"/>
      <c r="AB190">
        <f t="array" ref="AB190">_xlfn._xlws.FILTER(Projets!I$2:I$823,(Projets!A$2:A$823=A190), "")</f>
        <v>4387.05</v>
      </c>
    </row>
    <row r="191" spans="1:28" x14ac:dyDescent="0.25">
      <c r="A191" s="1" t="s">
        <v>679</v>
      </c>
      <c r="B191" s="2">
        <v>44203</v>
      </c>
      <c r="C191" t="s">
        <v>680</v>
      </c>
      <c r="D191" s="1" t="s">
        <v>145</v>
      </c>
      <c r="E191" t="s">
        <v>641</v>
      </c>
      <c r="F191" t="s">
        <v>641</v>
      </c>
      <c r="G191" t="s">
        <v>691</v>
      </c>
      <c r="H191" t="s">
        <v>692</v>
      </c>
      <c r="I191">
        <v>1</v>
      </c>
      <c r="J191">
        <v>28</v>
      </c>
      <c r="K191">
        <v>6</v>
      </c>
      <c r="L191">
        <v>1</v>
      </c>
      <c r="M191">
        <v>50</v>
      </c>
      <c r="N191">
        <v>1500</v>
      </c>
      <c r="O191">
        <v>38</v>
      </c>
      <c r="P191">
        <v>46</v>
      </c>
      <c r="Q191">
        <v>4</v>
      </c>
      <c r="R191">
        <v>66</v>
      </c>
      <c r="S191" t="s">
        <v>49</v>
      </c>
      <c r="T191">
        <v>1001</v>
      </c>
      <c r="U191">
        <v>55</v>
      </c>
      <c r="V191" s="8" t="s">
        <v>33</v>
      </c>
      <c r="W191" t="s">
        <v>34</v>
      </c>
      <c r="X191" t="s">
        <v>41</v>
      </c>
      <c r="Z191" t="str">
        <f t="shared" si="2"/>
        <v>NUC</v>
      </c>
      <c r="AA191" s="8"/>
      <c r="AB191">
        <f t="array" ref="AB191">_xlfn._xlws.FILTER(Projets!I$2:I$823,(Projets!A$2:A$823=A191), "")</f>
        <v>4387.05</v>
      </c>
    </row>
    <row r="192" spans="1:28" x14ac:dyDescent="0.25">
      <c r="A192" s="1" t="s">
        <v>679</v>
      </c>
      <c r="B192" s="2">
        <v>44202</v>
      </c>
      <c r="C192" t="s">
        <v>680</v>
      </c>
      <c r="D192" s="1" t="s">
        <v>30</v>
      </c>
      <c r="E192" t="s">
        <v>641</v>
      </c>
      <c r="F192" t="s">
        <v>641</v>
      </c>
      <c r="G192" t="s">
        <v>680</v>
      </c>
      <c r="I192">
        <v>7</v>
      </c>
      <c r="J192">
        <v>1</v>
      </c>
      <c r="K192">
        <v>6</v>
      </c>
      <c r="L192">
        <v>1</v>
      </c>
      <c r="M192">
        <v>50</v>
      </c>
      <c r="N192">
        <v>1500</v>
      </c>
      <c r="O192">
        <v>20</v>
      </c>
      <c r="P192">
        <v>111</v>
      </c>
      <c r="Q192">
        <v>4</v>
      </c>
      <c r="R192">
        <v>50</v>
      </c>
      <c r="S192">
        <v>0</v>
      </c>
      <c r="T192">
        <v>1000</v>
      </c>
      <c r="U192">
        <v>0</v>
      </c>
      <c r="V192" s="8" t="s">
        <v>33</v>
      </c>
      <c r="W192" t="s">
        <v>34</v>
      </c>
      <c r="Z192" t="str">
        <f t="shared" si="2"/>
        <v>NUC</v>
      </c>
      <c r="AA192" s="8"/>
      <c r="AB192">
        <f t="array" ref="AB192">_xlfn._xlws.FILTER(Projets!I$2:I$823,(Projets!A$2:A$823=A192), "")</f>
        <v>4387.05</v>
      </c>
    </row>
    <row r="193" spans="1:28" x14ac:dyDescent="0.25">
      <c r="A193" s="1" t="s">
        <v>679</v>
      </c>
      <c r="B193" s="2">
        <v>44202</v>
      </c>
      <c r="C193" t="s">
        <v>693</v>
      </c>
      <c r="D193" s="1" t="s">
        <v>30</v>
      </c>
      <c r="E193" t="s">
        <v>641</v>
      </c>
      <c r="F193" t="s">
        <v>641</v>
      </c>
      <c r="G193" t="s">
        <v>694</v>
      </c>
      <c r="I193">
        <v>1</v>
      </c>
      <c r="J193">
        <v>35</v>
      </c>
      <c r="K193">
        <v>6</v>
      </c>
      <c r="L193">
        <v>1</v>
      </c>
      <c r="M193">
        <v>50</v>
      </c>
      <c r="N193">
        <v>1500</v>
      </c>
      <c r="O193">
        <v>522</v>
      </c>
      <c r="P193">
        <v>350</v>
      </c>
      <c r="Q193">
        <v>4</v>
      </c>
      <c r="R193">
        <v>58</v>
      </c>
      <c r="S193">
        <v>151</v>
      </c>
      <c r="T193">
        <v>1001</v>
      </c>
      <c r="U193">
        <v>55</v>
      </c>
      <c r="V193" s="8" t="s">
        <v>33</v>
      </c>
      <c r="W193" t="s">
        <v>34</v>
      </c>
      <c r="X193" t="s">
        <v>41</v>
      </c>
      <c r="Z193" t="str">
        <f t="shared" si="2"/>
        <v>NUC</v>
      </c>
      <c r="AA193" s="8"/>
      <c r="AB193">
        <f t="array" ref="AB193">_xlfn._xlws.FILTER(Projets!I$2:I$823,(Projets!A$2:A$823=A193), "")</f>
        <v>4387.05</v>
      </c>
    </row>
    <row r="194" spans="1:28" x14ac:dyDescent="0.25">
      <c r="A194" s="1" t="s">
        <v>695</v>
      </c>
      <c r="B194" s="2">
        <v>44858</v>
      </c>
      <c r="C194" t="s">
        <v>696</v>
      </c>
      <c r="D194" s="1" t="s">
        <v>30</v>
      </c>
      <c r="E194" t="s">
        <v>641</v>
      </c>
      <c r="F194" t="s">
        <v>641</v>
      </c>
      <c r="G194" t="s">
        <v>694</v>
      </c>
      <c r="I194">
        <v>13</v>
      </c>
      <c r="J194">
        <v>35</v>
      </c>
      <c r="K194">
        <v>6</v>
      </c>
      <c r="L194">
        <v>1</v>
      </c>
      <c r="M194">
        <v>50</v>
      </c>
      <c r="N194">
        <v>1500</v>
      </c>
      <c r="O194">
        <v>522</v>
      </c>
      <c r="P194">
        <v>350</v>
      </c>
      <c r="Q194">
        <v>4</v>
      </c>
      <c r="R194">
        <v>58</v>
      </c>
      <c r="S194">
        <v>151</v>
      </c>
      <c r="T194">
        <v>1001</v>
      </c>
      <c r="U194">
        <v>55</v>
      </c>
      <c r="V194" s="8" t="s">
        <v>33</v>
      </c>
      <c r="W194" t="s">
        <v>34</v>
      </c>
      <c r="X194" t="s">
        <v>41</v>
      </c>
      <c r="Z194" t="str">
        <f t="shared" ref="Z194:Z209" si="3">IF(MID(A194, 2, 1)="M", "MIL", IF(MID(A194, 2, 1)="N", "NUC", "MS"))</f>
        <v>NUC</v>
      </c>
      <c r="AA194" s="8"/>
      <c r="AB194">
        <f t="array" ref="AB194">_xlfn._xlws.FILTER(Projets!I$2:I$823,(Projets!A$2:A$823=A194), "")</f>
        <v>71.099999999999994</v>
      </c>
    </row>
    <row r="195" spans="1:28" x14ac:dyDescent="0.25">
      <c r="A195" s="1" t="s">
        <v>697</v>
      </c>
      <c r="B195" s="2">
        <v>44858</v>
      </c>
      <c r="C195" t="s">
        <v>698</v>
      </c>
      <c r="D195" s="1" t="s">
        <v>30</v>
      </c>
      <c r="E195" t="s">
        <v>74</v>
      </c>
      <c r="F195" t="s">
        <v>272</v>
      </c>
      <c r="G195" t="s">
        <v>699</v>
      </c>
      <c r="H195" t="s">
        <v>700</v>
      </c>
      <c r="I195">
        <v>4</v>
      </c>
      <c r="J195">
        <v>7.55</v>
      </c>
      <c r="K195">
        <v>10</v>
      </c>
      <c r="L195">
        <v>0.91</v>
      </c>
      <c r="M195">
        <v>50</v>
      </c>
      <c r="N195">
        <v>1000</v>
      </c>
      <c r="O195">
        <v>118</v>
      </c>
      <c r="P195">
        <v>105</v>
      </c>
      <c r="Q195">
        <v>6</v>
      </c>
      <c r="R195">
        <v>108</v>
      </c>
      <c r="S195" t="s">
        <v>156</v>
      </c>
      <c r="T195">
        <v>3011</v>
      </c>
      <c r="U195">
        <v>55</v>
      </c>
      <c r="V195" s="8" t="s">
        <v>33</v>
      </c>
      <c r="W195" t="s">
        <v>34</v>
      </c>
      <c r="X195" t="s">
        <v>41</v>
      </c>
      <c r="Z195" t="str">
        <f t="shared" si="3"/>
        <v>NUC</v>
      </c>
      <c r="AA195" s="8"/>
      <c r="AB195">
        <f t="array" ref="AB195">_xlfn._xlws.FILTER(Projets!I$2:I$823,(Projets!A$2:A$823=A195), "")</f>
        <v>5754.3499999999995</v>
      </c>
    </row>
    <row r="196" spans="1:28" x14ac:dyDescent="0.25">
      <c r="A196" s="1" t="s">
        <v>701</v>
      </c>
      <c r="B196" s="2">
        <v>45293</v>
      </c>
      <c r="C196" t="s">
        <v>702</v>
      </c>
      <c r="D196" s="1" t="s">
        <v>30</v>
      </c>
      <c r="E196" t="s">
        <v>703</v>
      </c>
      <c r="F196" t="s">
        <v>272</v>
      </c>
      <c r="G196" t="s">
        <v>704</v>
      </c>
      <c r="H196" t="s">
        <v>705</v>
      </c>
      <c r="I196">
        <v>9</v>
      </c>
      <c r="J196">
        <v>8</v>
      </c>
      <c r="K196">
        <v>10</v>
      </c>
      <c r="L196">
        <v>1</v>
      </c>
      <c r="M196">
        <v>50</v>
      </c>
      <c r="N196">
        <v>1500</v>
      </c>
      <c r="O196">
        <v>112</v>
      </c>
      <c r="P196">
        <v>140</v>
      </c>
      <c r="Q196">
        <v>4</v>
      </c>
      <c r="R196">
        <v>120</v>
      </c>
      <c r="S196">
        <v>1</v>
      </c>
      <c r="T196">
        <v>3011</v>
      </c>
      <c r="U196">
        <v>12</v>
      </c>
      <c r="V196" s="8" t="s">
        <v>33</v>
      </c>
      <c r="W196" t="s">
        <v>34</v>
      </c>
      <c r="X196" t="s">
        <v>41</v>
      </c>
      <c r="Z196" t="str">
        <f t="shared" si="3"/>
        <v>NUC</v>
      </c>
      <c r="AA196" s="8"/>
      <c r="AB196">
        <f t="array" ref="AB196">_xlfn._xlws.FILTER(Projets!I$2:I$823,(Projets!A$2:A$823=A196), "")</f>
        <v>220.95</v>
      </c>
    </row>
    <row r="197" spans="1:28" x14ac:dyDescent="0.25">
      <c r="A197" s="1" t="s">
        <v>706</v>
      </c>
      <c r="B197" s="2">
        <v>45293</v>
      </c>
      <c r="C197" t="s">
        <v>707</v>
      </c>
      <c r="D197" s="1" t="s">
        <v>30</v>
      </c>
      <c r="E197" t="s">
        <v>703</v>
      </c>
      <c r="F197" t="s">
        <v>272</v>
      </c>
      <c r="G197" t="s">
        <v>708</v>
      </c>
      <c r="H197" t="s">
        <v>705</v>
      </c>
      <c r="I197">
        <v>9</v>
      </c>
      <c r="J197">
        <v>8</v>
      </c>
      <c r="K197">
        <v>10</v>
      </c>
      <c r="L197">
        <v>1</v>
      </c>
      <c r="M197">
        <v>50</v>
      </c>
      <c r="N197">
        <v>1500</v>
      </c>
      <c r="O197">
        <v>112</v>
      </c>
      <c r="P197">
        <v>140</v>
      </c>
      <c r="Q197">
        <v>4</v>
      </c>
      <c r="R197">
        <v>120</v>
      </c>
      <c r="S197">
        <v>1</v>
      </c>
      <c r="T197">
        <v>3011</v>
      </c>
      <c r="U197">
        <v>12</v>
      </c>
      <c r="V197" s="8" t="s">
        <v>33</v>
      </c>
      <c r="W197" t="s">
        <v>34</v>
      </c>
      <c r="X197" t="s">
        <v>41</v>
      </c>
      <c r="Z197" t="str">
        <f t="shared" si="3"/>
        <v>NUC</v>
      </c>
      <c r="AA197" s="8"/>
      <c r="AB197">
        <f t="array" ref="AB197">_xlfn._xlws.FILTER(Projets!I$2:I$823,(Projets!A$2:A$823=A197), "")</f>
        <v>163.4</v>
      </c>
    </row>
    <row r="198" spans="1:28" x14ac:dyDescent="0.25">
      <c r="A198" s="1" t="s">
        <v>709</v>
      </c>
      <c r="B198" s="2">
        <v>45366</v>
      </c>
      <c r="C198" t="s">
        <v>710</v>
      </c>
      <c r="D198" s="1" t="s">
        <v>30</v>
      </c>
      <c r="E198" t="s">
        <v>272</v>
      </c>
      <c r="F198" t="s">
        <v>272</v>
      </c>
      <c r="G198" t="s">
        <v>233</v>
      </c>
      <c r="H198" t="s">
        <v>695</v>
      </c>
      <c r="I198">
        <v>21</v>
      </c>
      <c r="J198">
        <v>3</v>
      </c>
      <c r="K198">
        <v>6</v>
      </c>
      <c r="L198">
        <v>1</v>
      </c>
      <c r="M198">
        <v>50</v>
      </c>
      <c r="N198">
        <v>1500</v>
      </c>
      <c r="O198">
        <v>52</v>
      </c>
      <c r="P198">
        <v>35</v>
      </c>
      <c r="Q198">
        <v>4</v>
      </c>
      <c r="R198">
        <v>72</v>
      </c>
      <c r="S198">
        <v>151</v>
      </c>
      <c r="T198">
        <v>1001</v>
      </c>
      <c r="U198">
        <v>55</v>
      </c>
      <c r="V198" s="8" t="s">
        <v>33</v>
      </c>
      <c r="W198" t="s">
        <v>34</v>
      </c>
      <c r="X198" t="s">
        <v>41</v>
      </c>
      <c r="Z198" t="str">
        <f t="shared" si="3"/>
        <v>NUC</v>
      </c>
      <c r="AA198" s="8"/>
      <c r="AB198">
        <f t="array" ref="AB198">_xlfn._xlws.FILTER(Projets!I$2:I$823,(Projets!A$2:A$823=A198), "")</f>
        <v>15.55</v>
      </c>
    </row>
    <row r="199" spans="1:28" x14ac:dyDescent="0.25">
      <c r="A199" s="1" t="s">
        <v>711</v>
      </c>
      <c r="B199" s="2">
        <v>45771</v>
      </c>
      <c r="C199" t="s">
        <v>712</v>
      </c>
      <c r="D199" s="1" t="s">
        <v>30</v>
      </c>
      <c r="E199" t="s">
        <v>703</v>
      </c>
      <c r="F199" t="s">
        <v>272</v>
      </c>
      <c r="G199" t="s">
        <v>713</v>
      </c>
      <c r="H199" t="s">
        <v>706</v>
      </c>
      <c r="I199">
        <v>25</v>
      </c>
      <c r="J199">
        <v>8</v>
      </c>
      <c r="K199">
        <v>10</v>
      </c>
      <c r="L199">
        <v>1</v>
      </c>
      <c r="M199">
        <v>50</v>
      </c>
      <c r="N199">
        <v>1500</v>
      </c>
      <c r="O199">
        <v>112</v>
      </c>
      <c r="P199">
        <v>140</v>
      </c>
      <c r="Q199">
        <v>4</v>
      </c>
      <c r="R199">
        <v>120</v>
      </c>
      <c r="S199">
        <v>1</v>
      </c>
      <c r="T199">
        <v>3011</v>
      </c>
      <c r="U199">
        <v>12</v>
      </c>
      <c r="V199" s="8" t="s">
        <v>33</v>
      </c>
      <c r="W199" t="s">
        <v>34</v>
      </c>
      <c r="X199" t="s">
        <v>41</v>
      </c>
      <c r="Z199" t="str">
        <f t="shared" si="3"/>
        <v>NUC</v>
      </c>
      <c r="AA199" s="8"/>
      <c r="AB199" t="str">
        <f t="array" ref="AB199">_xlfn._xlws.FILTER(Projets!I$2:I$823,(Projets!A$2:A$823=A199), "")</f>
        <v/>
      </c>
    </row>
    <row r="200" spans="1:28" x14ac:dyDescent="0.25">
      <c r="A200" s="1" t="s">
        <v>714</v>
      </c>
      <c r="B200" s="2">
        <v>45953</v>
      </c>
      <c r="C200" t="s">
        <v>715</v>
      </c>
      <c r="D200" s="1" t="s">
        <v>30</v>
      </c>
      <c r="E200" t="s">
        <v>716</v>
      </c>
      <c r="F200" t="s">
        <v>716</v>
      </c>
      <c r="G200" t="s">
        <v>717</v>
      </c>
      <c r="H200" t="s">
        <v>718</v>
      </c>
      <c r="I200">
        <v>1</v>
      </c>
      <c r="J200">
        <v>3</v>
      </c>
      <c r="K200">
        <v>6</v>
      </c>
      <c r="L200">
        <v>1</v>
      </c>
      <c r="M200">
        <v>50</v>
      </c>
      <c r="N200">
        <v>1500</v>
      </c>
      <c r="O200">
        <v>52</v>
      </c>
      <c r="P200">
        <v>35</v>
      </c>
      <c r="Q200">
        <v>4</v>
      </c>
      <c r="R200">
        <v>72</v>
      </c>
      <c r="S200">
        <v>151</v>
      </c>
      <c r="T200">
        <v>1001</v>
      </c>
      <c r="U200">
        <v>55</v>
      </c>
      <c r="V200" s="8" t="s">
        <v>33</v>
      </c>
      <c r="W200" t="s">
        <v>34</v>
      </c>
      <c r="X200" t="s">
        <v>41</v>
      </c>
      <c r="Z200" t="str">
        <f t="shared" si="3"/>
        <v>NUC</v>
      </c>
      <c r="AA200" s="8"/>
      <c r="AB200" t="str">
        <f t="array" ref="AB200">_xlfn._xlws.FILTER(Projets!I$2:I$823,(Projets!A$2:A$823=A200), "")</f>
        <v/>
      </c>
    </row>
    <row r="201" spans="1:28" x14ac:dyDescent="0.25">
      <c r="A201" s="1" t="s">
        <v>719</v>
      </c>
      <c r="B201" s="2">
        <v>39996</v>
      </c>
      <c r="C201" t="s">
        <v>720</v>
      </c>
      <c r="D201" s="1" t="s">
        <v>30</v>
      </c>
      <c r="E201" t="s">
        <v>86</v>
      </c>
      <c r="F201" t="s">
        <v>86</v>
      </c>
      <c r="G201" t="s">
        <v>721</v>
      </c>
      <c r="I201">
        <v>1</v>
      </c>
      <c r="J201">
        <v>3</v>
      </c>
      <c r="K201">
        <v>6</v>
      </c>
      <c r="L201">
        <v>0.8</v>
      </c>
      <c r="M201">
        <v>60</v>
      </c>
      <c r="N201">
        <v>900</v>
      </c>
      <c r="O201">
        <v>95</v>
      </c>
      <c r="P201">
        <v>94</v>
      </c>
      <c r="Q201">
        <v>8</v>
      </c>
      <c r="R201">
        <v>96</v>
      </c>
      <c r="S201" t="s">
        <v>156</v>
      </c>
      <c r="T201">
        <v>1001</v>
      </c>
      <c r="U201">
        <v>44</v>
      </c>
      <c r="V201" s="8" t="s">
        <v>33</v>
      </c>
      <c r="W201" t="s">
        <v>722</v>
      </c>
      <c r="X201" t="s">
        <v>723</v>
      </c>
      <c r="Z201" t="str">
        <f t="shared" si="3"/>
        <v>MS</v>
      </c>
      <c r="AA201" s="8"/>
      <c r="AB201">
        <f t="array" ref="AB201">_xlfn._xlws.FILTER(Projets!I$2:I$823,(Projets!A$2:A$823=A201), "")</f>
        <v>559.45000000000005</v>
      </c>
    </row>
    <row r="202" spans="1:28" x14ac:dyDescent="0.25">
      <c r="A202" s="1" t="s">
        <v>724</v>
      </c>
      <c r="B202" s="2">
        <v>40050</v>
      </c>
      <c r="C202" t="s">
        <v>725</v>
      </c>
      <c r="D202" s="1" t="s">
        <v>30</v>
      </c>
      <c r="E202" t="s">
        <v>534</v>
      </c>
      <c r="F202" t="s">
        <v>726</v>
      </c>
      <c r="G202" t="s">
        <v>727</v>
      </c>
      <c r="I202">
        <v>1</v>
      </c>
      <c r="J202">
        <v>14.05</v>
      </c>
      <c r="K202">
        <v>11</v>
      </c>
      <c r="L202">
        <v>0.8</v>
      </c>
      <c r="M202">
        <v>50</v>
      </c>
      <c r="N202">
        <v>1500</v>
      </c>
      <c r="O202">
        <v>102</v>
      </c>
      <c r="P202">
        <v>144</v>
      </c>
      <c r="Q202">
        <v>4</v>
      </c>
      <c r="R202">
        <v>72</v>
      </c>
      <c r="S202" t="s">
        <v>176</v>
      </c>
      <c r="T202">
        <v>1005</v>
      </c>
      <c r="U202">
        <v>54</v>
      </c>
      <c r="V202" s="8" t="s">
        <v>33</v>
      </c>
      <c r="W202" t="s">
        <v>722</v>
      </c>
      <c r="X202" t="s">
        <v>723</v>
      </c>
      <c r="Z202" t="str">
        <f t="shared" si="3"/>
        <v>MS</v>
      </c>
      <c r="AA202" s="8"/>
      <c r="AB202">
        <f t="array" ref="AB202">_xlfn._xlws.FILTER(Projets!I$2:I$823,(Projets!A$2:A$823=A202), "")</f>
        <v>570.15</v>
      </c>
    </row>
    <row r="203" spans="1:28" x14ac:dyDescent="0.25">
      <c r="A203" s="1" t="s">
        <v>728</v>
      </c>
      <c r="B203" s="2">
        <v>40077</v>
      </c>
      <c r="C203" t="s">
        <v>729</v>
      </c>
      <c r="D203" s="1" t="s">
        <v>30</v>
      </c>
      <c r="E203" t="s">
        <v>730</v>
      </c>
      <c r="F203" t="s">
        <v>731</v>
      </c>
      <c r="G203" t="s">
        <v>732</v>
      </c>
      <c r="H203" t="s">
        <v>733</v>
      </c>
      <c r="I203">
        <v>1</v>
      </c>
      <c r="J203">
        <v>35</v>
      </c>
      <c r="K203">
        <v>6</v>
      </c>
      <c r="L203">
        <v>0.8</v>
      </c>
      <c r="M203">
        <v>50</v>
      </c>
      <c r="N203">
        <v>3000</v>
      </c>
      <c r="O203">
        <v>84</v>
      </c>
      <c r="P203">
        <v>180</v>
      </c>
      <c r="Q203">
        <v>2</v>
      </c>
      <c r="R203">
        <v>300</v>
      </c>
      <c r="S203" t="s">
        <v>176</v>
      </c>
      <c r="T203">
        <v>1005</v>
      </c>
      <c r="U203">
        <v>54</v>
      </c>
      <c r="V203" s="8" t="s">
        <v>33</v>
      </c>
      <c r="W203" t="s">
        <v>722</v>
      </c>
      <c r="Z203" t="str">
        <f t="shared" si="3"/>
        <v>MS</v>
      </c>
      <c r="AA203" s="8"/>
      <c r="AB203">
        <f t="array" ref="AB203">_xlfn._xlws.FILTER(Projets!I$2:I$823,(Projets!A$2:A$823=A203), "")</f>
        <v>2292.5</v>
      </c>
    </row>
    <row r="204" spans="1:28" x14ac:dyDescent="0.25">
      <c r="A204" s="1" t="s">
        <v>734</v>
      </c>
      <c r="B204" s="2">
        <v>40154</v>
      </c>
      <c r="C204" t="s">
        <v>735</v>
      </c>
      <c r="D204" s="1" t="s">
        <v>30</v>
      </c>
      <c r="E204" t="s">
        <v>534</v>
      </c>
      <c r="F204" t="s">
        <v>736</v>
      </c>
      <c r="G204" t="s">
        <v>737</v>
      </c>
      <c r="H204" t="s">
        <v>733</v>
      </c>
      <c r="I204">
        <v>1</v>
      </c>
      <c r="J204">
        <v>8.8000000000000007</v>
      </c>
      <c r="K204">
        <v>11</v>
      </c>
      <c r="L204">
        <v>0.8</v>
      </c>
      <c r="M204">
        <v>50</v>
      </c>
      <c r="N204">
        <v>1500</v>
      </c>
      <c r="O204">
        <v>116</v>
      </c>
      <c r="P204">
        <v>89</v>
      </c>
      <c r="Q204">
        <v>4</v>
      </c>
      <c r="R204">
        <v>72</v>
      </c>
      <c r="S204" t="s">
        <v>176</v>
      </c>
      <c r="T204">
        <v>1005</v>
      </c>
      <c r="U204">
        <v>54</v>
      </c>
      <c r="V204" s="8" t="s">
        <v>33</v>
      </c>
      <c r="W204" t="s">
        <v>722</v>
      </c>
      <c r="X204" t="s">
        <v>723</v>
      </c>
      <c r="Z204" t="str">
        <f t="shared" si="3"/>
        <v>MS</v>
      </c>
      <c r="AA204" s="8"/>
      <c r="AB204">
        <f t="array" ref="AB204">_xlfn._xlws.FILTER(Projets!I$2:I$823,(Projets!A$2:A$823=A204), "")</f>
        <v>759.40000000000009</v>
      </c>
    </row>
    <row r="205" spans="1:28" x14ac:dyDescent="0.25">
      <c r="A205" s="1" t="s">
        <v>738</v>
      </c>
      <c r="B205" s="2">
        <v>40226</v>
      </c>
      <c r="C205" t="s">
        <v>739</v>
      </c>
      <c r="D205" s="1" t="s">
        <v>30</v>
      </c>
      <c r="E205" t="s">
        <v>740</v>
      </c>
      <c r="F205" t="s">
        <v>741</v>
      </c>
      <c r="G205" t="s">
        <v>742</v>
      </c>
      <c r="H205" t="s">
        <v>743</v>
      </c>
      <c r="I205">
        <v>1</v>
      </c>
      <c r="J205">
        <v>60</v>
      </c>
      <c r="K205">
        <v>10</v>
      </c>
      <c r="L205">
        <v>0.8</v>
      </c>
      <c r="M205">
        <v>50</v>
      </c>
      <c r="N205">
        <v>3000</v>
      </c>
      <c r="O205">
        <v>89</v>
      </c>
      <c r="P205">
        <v>255</v>
      </c>
      <c r="Q205">
        <v>2</v>
      </c>
      <c r="R205">
        <v>48</v>
      </c>
      <c r="S205" t="s">
        <v>744</v>
      </c>
      <c r="T205">
        <v>1005</v>
      </c>
      <c r="U205">
        <v>54</v>
      </c>
      <c r="V205" s="8" t="s">
        <v>33</v>
      </c>
      <c r="W205" t="s">
        <v>722</v>
      </c>
      <c r="X205" t="s">
        <v>745</v>
      </c>
      <c r="Z205" t="str">
        <f t="shared" si="3"/>
        <v>MS</v>
      </c>
      <c r="AA205" s="8"/>
      <c r="AB205">
        <f t="array" ref="AB205">_xlfn._xlws.FILTER(Projets!I$2:I$823,(Projets!A$2:A$823=A205), "")</f>
        <v>1198.2</v>
      </c>
    </row>
    <row r="206" spans="1:28" x14ac:dyDescent="0.25">
      <c r="A206" s="1" t="s">
        <v>746</v>
      </c>
      <c r="B206" s="2">
        <v>40315</v>
      </c>
      <c r="C206" t="s">
        <v>747</v>
      </c>
      <c r="D206" s="1" t="s">
        <v>30</v>
      </c>
      <c r="E206" t="s">
        <v>748</v>
      </c>
      <c r="F206" t="s">
        <v>748</v>
      </c>
      <c r="G206" t="s">
        <v>749</v>
      </c>
      <c r="I206">
        <v>2</v>
      </c>
      <c r="J206">
        <v>6</v>
      </c>
      <c r="K206">
        <v>11</v>
      </c>
      <c r="L206">
        <v>0.85</v>
      </c>
      <c r="M206">
        <v>50</v>
      </c>
      <c r="N206">
        <v>750</v>
      </c>
      <c r="O206">
        <v>179</v>
      </c>
      <c r="P206">
        <v>89</v>
      </c>
      <c r="Q206">
        <v>8</v>
      </c>
      <c r="R206">
        <v>144</v>
      </c>
      <c r="S206" t="s">
        <v>176</v>
      </c>
      <c r="T206">
        <v>8421</v>
      </c>
      <c r="U206">
        <v>54</v>
      </c>
      <c r="V206" s="8" t="s">
        <v>33</v>
      </c>
      <c r="W206" t="s">
        <v>722</v>
      </c>
      <c r="X206" t="s">
        <v>723</v>
      </c>
      <c r="Z206" t="str">
        <f t="shared" si="3"/>
        <v>MS</v>
      </c>
      <c r="AA206" s="8"/>
      <c r="AB206">
        <f t="array" ref="AB206">_xlfn._xlws.FILTER(Projets!I$2:I$823,(Projets!A$2:A$823=A206), "")</f>
        <v>5344.3</v>
      </c>
    </row>
    <row r="207" spans="1:28" x14ac:dyDescent="0.25">
      <c r="A207" s="1" t="s">
        <v>750</v>
      </c>
      <c r="B207" s="2">
        <v>40296</v>
      </c>
      <c r="C207" t="s">
        <v>124</v>
      </c>
      <c r="D207" s="1" t="s">
        <v>30</v>
      </c>
      <c r="E207" t="s">
        <v>124</v>
      </c>
      <c r="F207" t="s">
        <v>124</v>
      </c>
      <c r="G207" t="s">
        <v>751</v>
      </c>
      <c r="H207" t="s">
        <v>733</v>
      </c>
      <c r="I207">
        <v>16</v>
      </c>
      <c r="J207">
        <v>25</v>
      </c>
      <c r="K207">
        <v>11</v>
      </c>
      <c r="L207">
        <v>0.8</v>
      </c>
      <c r="M207">
        <v>50</v>
      </c>
      <c r="N207">
        <v>3000</v>
      </c>
      <c r="O207">
        <v>84</v>
      </c>
      <c r="P207">
        <v>180</v>
      </c>
      <c r="Q207">
        <v>2</v>
      </c>
      <c r="R207">
        <v>84</v>
      </c>
      <c r="S207" t="s">
        <v>176</v>
      </c>
      <c r="T207">
        <v>1005</v>
      </c>
      <c r="U207">
        <v>54</v>
      </c>
      <c r="V207" s="8" t="s">
        <v>33</v>
      </c>
      <c r="W207" t="s">
        <v>722</v>
      </c>
      <c r="X207" t="s">
        <v>745</v>
      </c>
      <c r="Z207" t="str">
        <f t="shared" si="3"/>
        <v>MS</v>
      </c>
      <c r="AA207" s="8"/>
      <c r="AB207">
        <f t="array" ref="AB207">_xlfn._xlws.FILTER(Projets!I$2:I$823,(Projets!A$2:A$823=A207), "")</f>
        <v>6760.7200000000012</v>
      </c>
    </row>
    <row r="208" spans="1:28" x14ac:dyDescent="0.25">
      <c r="A208" s="1" t="s">
        <v>752</v>
      </c>
      <c r="B208" s="2">
        <v>40325</v>
      </c>
      <c r="C208" t="s">
        <v>753</v>
      </c>
      <c r="D208" s="1" t="s">
        <v>30</v>
      </c>
      <c r="E208" t="s">
        <v>534</v>
      </c>
      <c r="F208" t="s">
        <v>754</v>
      </c>
      <c r="G208" t="s">
        <v>727</v>
      </c>
      <c r="H208" t="s">
        <v>724</v>
      </c>
      <c r="I208">
        <v>1</v>
      </c>
      <c r="J208">
        <v>14</v>
      </c>
      <c r="K208">
        <v>11</v>
      </c>
      <c r="L208">
        <v>0.8</v>
      </c>
      <c r="M208">
        <v>50</v>
      </c>
      <c r="N208">
        <v>1500</v>
      </c>
      <c r="O208">
        <v>102</v>
      </c>
      <c r="P208">
        <v>144</v>
      </c>
      <c r="Q208">
        <v>4</v>
      </c>
      <c r="R208">
        <v>72</v>
      </c>
      <c r="S208" t="s">
        <v>176</v>
      </c>
      <c r="T208">
        <v>1005</v>
      </c>
      <c r="U208">
        <v>54</v>
      </c>
      <c r="V208" s="8" t="s">
        <v>33</v>
      </c>
      <c r="W208" t="s">
        <v>722</v>
      </c>
      <c r="X208" t="s">
        <v>723</v>
      </c>
      <c r="Z208" t="str">
        <f t="shared" si="3"/>
        <v>MS</v>
      </c>
      <c r="AA208" s="8"/>
      <c r="AB208">
        <f t="array" ref="AB208">_xlfn._xlws.FILTER(Projets!I$2:I$823,(Projets!A$2:A$823=A208), "")</f>
        <v>1026.2</v>
      </c>
    </row>
    <row r="209" spans="1:28" x14ac:dyDescent="0.25">
      <c r="A209" s="1" t="s">
        <v>755</v>
      </c>
      <c r="B209" s="2">
        <v>40371</v>
      </c>
      <c r="C209" t="s">
        <v>756</v>
      </c>
      <c r="D209" s="1" t="s">
        <v>30</v>
      </c>
      <c r="E209" t="s">
        <v>757</v>
      </c>
      <c r="F209" t="s">
        <v>758</v>
      </c>
      <c r="G209" t="s">
        <v>759</v>
      </c>
      <c r="H209" t="s">
        <v>760</v>
      </c>
      <c r="I209">
        <v>2</v>
      </c>
      <c r="J209">
        <v>16</v>
      </c>
      <c r="K209">
        <v>11</v>
      </c>
      <c r="L209">
        <v>0.8</v>
      </c>
      <c r="M209">
        <v>50</v>
      </c>
      <c r="N209">
        <v>1500</v>
      </c>
      <c r="O209">
        <v>118</v>
      </c>
      <c r="P209">
        <v>133</v>
      </c>
      <c r="Q209">
        <v>4</v>
      </c>
      <c r="R209">
        <v>66</v>
      </c>
      <c r="S209" t="s">
        <v>176</v>
      </c>
      <c r="T209">
        <v>1005</v>
      </c>
      <c r="U209">
        <v>54</v>
      </c>
      <c r="V209" s="8" t="s">
        <v>33</v>
      </c>
      <c r="W209" t="s">
        <v>722</v>
      </c>
      <c r="X209" t="s">
        <v>761</v>
      </c>
      <c r="Z209" t="str">
        <f t="shared" si="3"/>
        <v>MS</v>
      </c>
      <c r="AA209" s="8"/>
      <c r="AB209">
        <f t="array" ref="AB209">_xlfn._xlws.FILTER(Projets!I$2:I$823,(Projets!A$2:A$823=A209), "")</f>
        <v>737.34999999999991</v>
      </c>
    </row>
    <row r="210" spans="1:28" x14ac:dyDescent="0.25">
      <c r="A210" s="1" t="s">
        <v>762</v>
      </c>
      <c r="B210" s="2">
        <v>40428</v>
      </c>
      <c r="C210" t="s">
        <v>763</v>
      </c>
      <c r="D210" s="1" t="s">
        <v>30</v>
      </c>
      <c r="E210" t="s">
        <v>764</v>
      </c>
      <c r="F210" t="s">
        <v>765</v>
      </c>
      <c r="G210" t="s">
        <v>766</v>
      </c>
      <c r="H210" t="s">
        <v>767</v>
      </c>
      <c r="I210">
        <v>4</v>
      </c>
      <c r="J210">
        <v>35</v>
      </c>
      <c r="K210">
        <v>15</v>
      </c>
      <c r="L210">
        <v>0.8</v>
      </c>
      <c r="M210">
        <v>50</v>
      </c>
      <c r="N210">
        <v>3000</v>
      </c>
      <c r="O210">
        <v>84</v>
      </c>
      <c r="P210">
        <v>210</v>
      </c>
      <c r="Q210">
        <v>2</v>
      </c>
      <c r="R210">
        <v>30</v>
      </c>
      <c r="S210" t="s">
        <v>176</v>
      </c>
      <c r="T210">
        <v>1005</v>
      </c>
      <c r="U210">
        <v>55</v>
      </c>
      <c r="V210" s="8" t="s">
        <v>212</v>
      </c>
      <c r="W210" t="s">
        <v>722</v>
      </c>
      <c r="Z210" t="s">
        <v>768</v>
      </c>
      <c r="AA210" s="8" t="s">
        <v>769</v>
      </c>
      <c r="AB210">
        <f t="array" ref="AB210">_xlfn._xlws.FILTER(Projets!I$2:I$823,(Projets!A$2:A$823=A210), "")</f>
        <v>3575.6999999999989</v>
      </c>
    </row>
    <row r="211" spans="1:28" x14ac:dyDescent="0.25">
      <c r="A211" s="1" t="s">
        <v>770</v>
      </c>
      <c r="B211" s="2">
        <v>40452</v>
      </c>
      <c r="C211" t="s">
        <v>771</v>
      </c>
      <c r="D211" s="1" t="s">
        <v>30</v>
      </c>
      <c r="E211" t="s">
        <v>771</v>
      </c>
      <c r="F211" t="s">
        <v>772</v>
      </c>
      <c r="G211" t="s">
        <v>773</v>
      </c>
      <c r="H211" t="s">
        <v>728</v>
      </c>
      <c r="I211">
        <v>1</v>
      </c>
      <c r="J211">
        <v>28</v>
      </c>
      <c r="K211">
        <v>11</v>
      </c>
      <c r="L211">
        <v>0.8</v>
      </c>
      <c r="M211">
        <v>50</v>
      </c>
      <c r="N211">
        <v>3000</v>
      </c>
      <c r="O211">
        <v>84</v>
      </c>
      <c r="P211">
        <v>180</v>
      </c>
      <c r="Q211">
        <v>2</v>
      </c>
      <c r="R211">
        <v>30</v>
      </c>
      <c r="S211" t="s">
        <v>176</v>
      </c>
      <c r="T211">
        <v>7326</v>
      </c>
      <c r="U211">
        <v>7326</v>
      </c>
      <c r="V211" s="8" t="s">
        <v>33</v>
      </c>
      <c r="W211" t="s">
        <v>722</v>
      </c>
      <c r="Z211" t="str">
        <f t="shared" ref="Z211:Z242" si="4">IF(MID(A211, 2, 1)="M", "MIL", IF(MID(A211, 2, 1)="N", "NUC", "MS"))</f>
        <v>MS</v>
      </c>
      <c r="AA211" s="8"/>
      <c r="AB211">
        <f t="array" ref="AB211">_xlfn._xlws.FILTER(Projets!I$2:I$823,(Projets!A$2:A$823=A211), "")</f>
        <v>2043.88</v>
      </c>
    </row>
    <row r="212" spans="1:28" x14ac:dyDescent="0.25">
      <c r="A212" s="1" t="s">
        <v>774</v>
      </c>
      <c r="B212" s="2">
        <v>40560</v>
      </c>
      <c r="C212" t="s">
        <v>775</v>
      </c>
      <c r="D212" s="1" t="s">
        <v>30</v>
      </c>
      <c r="E212" t="s">
        <v>86</v>
      </c>
      <c r="F212" t="s">
        <v>87</v>
      </c>
      <c r="G212" t="s">
        <v>776</v>
      </c>
      <c r="I212">
        <v>4</v>
      </c>
      <c r="J212">
        <v>5.8</v>
      </c>
      <c r="K212">
        <v>6.6</v>
      </c>
      <c r="L212">
        <v>0.85</v>
      </c>
      <c r="M212">
        <v>60</v>
      </c>
      <c r="N212">
        <v>514</v>
      </c>
      <c r="O212">
        <v>148</v>
      </c>
      <c r="P212">
        <v>99</v>
      </c>
      <c r="Q212">
        <v>14</v>
      </c>
      <c r="R212">
        <v>168</v>
      </c>
      <c r="S212" t="s">
        <v>176</v>
      </c>
      <c r="T212">
        <v>1101</v>
      </c>
      <c r="U212">
        <v>44</v>
      </c>
      <c r="V212" s="8" t="s">
        <v>33</v>
      </c>
      <c r="W212" t="s">
        <v>722</v>
      </c>
      <c r="X212" t="s">
        <v>723</v>
      </c>
      <c r="Z212" t="str">
        <f t="shared" si="4"/>
        <v>MS</v>
      </c>
      <c r="AA212" s="8"/>
      <c r="AB212">
        <f t="array" ref="AB212">_xlfn._xlws.FILTER(Projets!I$2:I$823,(Projets!A$2:A$823=A212), "")</f>
        <v>225.55</v>
      </c>
    </row>
    <row r="213" spans="1:28" x14ac:dyDescent="0.25">
      <c r="A213" s="1" t="s">
        <v>777</v>
      </c>
      <c r="B213" s="2">
        <v>40569</v>
      </c>
      <c r="C213" t="s">
        <v>778</v>
      </c>
      <c r="D213" s="1" t="s">
        <v>30</v>
      </c>
      <c r="E213" t="s">
        <v>779</v>
      </c>
      <c r="F213" t="s">
        <v>780</v>
      </c>
      <c r="G213" t="s">
        <v>781</v>
      </c>
      <c r="I213">
        <v>2</v>
      </c>
      <c r="J213">
        <v>100</v>
      </c>
      <c r="K213">
        <v>13</v>
      </c>
      <c r="L213">
        <v>0.85</v>
      </c>
      <c r="M213">
        <v>60</v>
      </c>
      <c r="N213">
        <v>450</v>
      </c>
      <c r="O213">
        <v>404</v>
      </c>
      <c r="P213">
        <v>165</v>
      </c>
      <c r="Q213">
        <v>16</v>
      </c>
      <c r="R213">
        <v>240</v>
      </c>
      <c r="S213" t="s">
        <v>176</v>
      </c>
      <c r="T213">
        <v>1005</v>
      </c>
      <c r="U213">
        <v>44</v>
      </c>
      <c r="V213" s="8" t="s">
        <v>33</v>
      </c>
      <c r="W213" t="s">
        <v>722</v>
      </c>
      <c r="X213" t="s">
        <v>782</v>
      </c>
      <c r="Z213" t="str">
        <f t="shared" si="4"/>
        <v>MS</v>
      </c>
      <c r="AA213" s="8"/>
      <c r="AB213">
        <f t="array" ref="AB213">_xlfn._xlws.FILTER(Projets!I$2:I$823,(Projets!A$2:A$823=A213), "")</f>
        <v>15003</v>
      </c>
    </row>
    <row r="214" spans="1:28" x14ac:dyDescent="0.25">
      <c r="A214" s="1" t="s">
        <v>783</v>
      </c>
      <c r="B214" s="2">
        <v>40603</v>
      </c>
      <c r="C214" t="s">
        <v>784</v>
      </c>
      <c r="D214" s="1" t="s">
        <v>30</v>
      </c>
      <c r="E214" t="s">
        <v>534</v>
      </c>
      <c r="F214" t="s">
        <v>785</v>
      </c>
      <c r="G214" t="s">
        <v>786</v>
      </c>
      <c r="H214" t="s">
        <v>752</v>
      </c>
      <c r="I214">
        <v>1</v>
      </c>
      <c r="J214">
        <v>14</v>
      </c>
      <c r="K214">
        <v>6</v>
      </c>
      <c r="L214">
        <v>0.8</v>
      </c>
      <c r="M214">
        <v>50</v>
      </c>
      <c r="N214">
        <v>1500</v>
      </c>
      <c r="O214">
        <v>115</v>
      </c>
      <c r="P214">
        <v>99</v>
      </c>
      <c r="Q214">
        <v>4</v>
      </c>
      <c r="R214">
        <v>84</v>
      </c>
      <c r="S214" t="s">
        <v>156</v>
      </c>
      <c r="T214">
        <v>1005</v>
      </c>
      <c r="U214">
        <v>54</v>
      </c>
      <c r="V214" s="8" t="s">
        <v>33</v>
      </c>
      <c r="W214" t="s">
        <v>722</v>
      </c>
      <c r="X214" t="s">
        <v>723</v>
      </c>
      <c r="Z214" t="str">
        <f t="shared" si="4"/>
        <v>MS</v>
      </c>
      <c r="AA214" s="8"/>
      <c r="AB214">
        <f t="array" ref="AB214">_xlfn._xlws.FILTER(Projets!I$2:I$823,(Projets!A$2:A$823=A214), "")</f>
        <v>406.85</v>
      </c>
    </row>
    <row r="215" spans="1:28" x14ac:dyDescent="0.25">
      <c r="A215" s="1" t="s">
        <v>787</v>
      </c>
      <c r="B215" s="2">
        <v>40666</v>
      </c>
      <c r="C215" t="s">
        <v>788</v>
      </c>
      <c r="D215" s="1" t="s">
        <v>30</v>
      </c>
      <c r="E215" t="s">
        <v>789</v>
      </c>
      <c r="F215" t="s">
        <v>789</v>
      </c>
      <c r="I215">
        <v>1</v>
      </c>
      <c r="J215">
        <v>3</v>
      </c>
      <c r="K215">
        <v>6</v>
      </c>
      <c r="L215">
        <v>0.8</v>
      </c>
      <c r="M215">
        <v>50</v>
      </c>
      <c r="N215">
        <v>1500</v>
      </c>
      <c r="O215">
        <v>75</v>
      </c>
      <c r="P215">
        <v>89</v>
      </c>
      <c r="Q215">
        <v>4</v>
      </c>
      <c r="R215">
        <v>72</v>
      </c>
      <c r="S215">
        <v>1</v>
      </c>
      <c r="T215">
        <v>1001</v>
      </c>
      <c r="U215">
        <v>23</v>
      </c>
      <c r="V215" s="8" t="s">
        <v>33</v>
      </c>
      <c r="W215" t="s">
        <v>722</v>
      </c>
      <c r="Z215" t="str">
        <f t="shared" si="4"/>
        <v>MS</v>
      </c>
      <c r="AA215" s="8"/>
      <c r="AB215">
        <f t="array" ref="AB215">_xlfn._xlws.FILTER(Projets!I$2:I$823,(Projets!A$2:A$823=A215), "")</f>
        <v>325.75000000000011</v>
      </c>
    </row>
    <row r="216" spans="1:28" x14ac:dyDescent="0.25">
      <c r="A216" s="1" t="s">
        <v>790</v>
      </c>
      <c r="B216" s="2">
        <v>40703</v>
      </c>
      <c r="C216" t="s">
        <v>791</v>
      </c>
      <c r="D216" s="1" t="s">
        <v>30</v>
      </c>
      <c r="E216" t="s">
        <v>791</v>
      </c>
      <c r="F216" t="s">
        <v>791</v>
      </c>
      <c r="G216" t="s">
        <v>792</v>
      </c>
      <c r="I216">
        <v>1</v>
      </c>
      <c r="J216">
        <v>14</v>
      </c>
      <c r="K216">
        <v>6.3</v>
      </c>
      <c r="L216">
        <v>0.7</v>
      </c>
      <c r="M216">
        <v>50</v>
      </c>
      <c r="N216">
        <v>3000</v>
      </c>
      <c r="O216">
        <v>77</v>
      </c>
      <c r="P216">
        <v>140</v>
      </c>
      <c r="Q216">
        <v>2</v>
      </c>
      <c r="R216">
        <v>48</v>
      </c>
      <c r="S216" t="s">
        <v>156</v>
      </c>
      <c r="T216">
        <v>1005</v>
      </c>
      <c r="U216">
        <v>54</v>
      </c>
      <c r="V216" s="8" t="s">
        <v>33</v>
      </c>
      <c r="W216" t="s">
        <v>722</v>
      </c>
      <c r="X216" t="s">
        <v>745</v>
      </c>
      <c r="Z216" t="str">
        <f t="shared" si="4"/>
        <v>MS</v>
      </c>
      <c r="AA216" s="8"/>
      <c r="AB216">
        <f t="array" ref="AB216">_xlfn._xlws.FILTER(Projets!I$2:I$823,(Projets!A$2:A$823=A216), "")</f>
        <v>2118.27</v>
      </c>
    </row>
    <row r="217" spans="1:28" x14ac:dyDescent="0.25">
      <c r="A217" s="1" t="s">
        <v>793</v>
      </c>
      <c r="B217" s="2">
        <v>40717</v>
      </c>
      <c r="C217" t="s">
        <v>794</v>
      </c>
      <c r="D217" s="1" t="s">
        <v>30</v>
      </c>
      <c r="E217" t="s">
        <v>795</v>
      </c>
      <c r="F217" t="s">
        <v>795</v>
      </c>
      <c r="I217">
        <v>5</v>
      </c>
      <c r="J217">
        <v>17.2</v>
      </c>
      <c r="K217">
        <v>15</v>
      </c>
      <c r="L217">
        <v>0.8</v>
      </c>
      <c r="M217">
        <v>50</v>
      </c>
      <c r="N217">
        <v>500</v>
      </c>
      <c r="O217">
        <v>196</v>
      </c>
      <c r="P217">
        <v>124</v>
      </c>
      <c r="Q217">
        <v>12</v>
      </c>
      <c r="R217">
        <v>144</v>
      </c>
      <c r="S217" t="s">
        <v>69</v>
      </c>
      <c r="T217">
        <v>1001</v>
      </c>
      <c r="U217">
        <v>23</v>
      </c>
      <c r="V217" s="8" t="s">
        <v>33</v>
      </c>
      <c r="W217" t="s">
        <v>722</v>
      </c>
      <c r="Z217" t="str">
        <f t="shared" si="4"/>
        <v>MS</v>
      </c>
      <c r="AA217" s="8"/>
      <c r="AB217">
        <f t="array" ref="AB217">_xlfn._xlws.FILTER(Projets!I$2:I$823,(Projets!A$2:A$823=A217), "")</f>
        <v>467.65</v>
      </c>
    </row>
    <row r="218" spans="1:28" x14ac:dyDescent="0.25">
      <c r="A218" s="1" t="s">
        <v>796</v>
      </c>
      <c r="B218" s="2">
        <v>40788</v>
      </c>
      <c r="C218" t="s">
        <v>797</v>
      </c>
      <c r="D218" s="1" t="s">
        <v>30</v>
      </c>
      <c r="E218" t="s">
        <v>798</v>
      </c>
      <c r="F218" t="s">
        <v>799</v>
      </c>
      <c r="G218" t="s">
        <v>800</v>
      </c>
      <c r="H218" t="s">
        <v>801</v>
      </c>
      <c r="I218">
        <v>1</v>
      </c>
      <c r="J218">
        <v>27</v>
      </c>
      <c r="K218">
        <v>11</v>
      </c>
      <c r="L218">
        <v>0.8</v>
      </c>
      <c r="M218">
        <v>50</v>
      </c>
      <c r="N218">
        <v>1500</v>
      </c>
      <c r="O218">
        <v>135</v>
      </c>
      <c r="P218">
        <v>201</v>
      </c>
      <c r="Q218">
        <v>4</v>
      </c>
      <c r="R218">
        <v>84</v>
      </c>
      <c r="S218">
        <v>616</v>
      </c>
      <c r="T218">
        <v>1005</v>
      </c>
      <c r="U218">
        <v>54</v>
      </c>
      <c r="V218" s="8" t="s">
        <v>33</v>
      </c>
      <c r="W218" t="s">
        <v>722</v>
      </c>
      <c r="X218" t="s">
        <v>761</v>
      </c>
      <c r="Z218" t="str">
        <f t="shared" si="4"/>
        <v>MS</v>
      </c>
      <c r="AA218" s="8"/>
      <c r="AB218">
        <f t="array" ref="AB218">_xlfn._xlws.FILTER(Projets!I$2:I$823,(Projets!A$2:A$823=A218), "")</f>
        <v>1297.8499999999999</v>
      </c>
    </row>
    <row r="219" spans="1:28" x14ac:dyDescent="0.25">
      <c r="A219" s="1" t="s">
        <v>802</v>
      </c>
      <c r="B219" s="2">
        <v>40868</v>
      </c>
      <c r="C219" t="s">
        <v>803</v>
      </c>
      <c r="D219" s="1" t="s">
        <v>30</v>
      </c>
      <c r="E219" t="s">
        <v>804</v>
      </c>
      <c r="F219" t="s">
        <v>805</v>
      </c>
      <c r="G219" t="s">
        <v>806</v>
      </c>
      <c r="I219">
        <v>1</v>
      </c>
      <c r="J219">
        <v>17</v>
      </c>
      <c r="K219">
        <v>10.5</v>
      </c>
      <c r="L219">
        <v>0.95</v>
      </c>
      <c r="M219">
        <v>50</v>
      </c>
      <c r="N219">
        <v>187</v>
      </c>
      <c r="O219">
        <v>406</v>
      </c>
      <c r="P219">
        <v>80</v>
      </c>
      <c r="Q219">
        <v>32</v>
      </c>
      <c r="R219">
        <v>336</v>
      </c>
      <c r="S219" t="s">
        <v>176</v>
      </c>
      <c r="T219">
        <v>7125</v>
      </c>
      <c r="U219">
        <v>55</v>
      </c>
      <c r="V219" s="8" t="s">
        <v>212</v>
      </c>
      <c r="W219" t="s">
        <v>722</v>
      </c>
      <c r="X219" t="s">
        <v>723</v>
      </c>
      <c r="Z219" t="str">
        <f t="shared" si="4"/>
        <v>MS</v>
      </c>
      <c r="AA219" s="8"/>
      <c r="AB219">
        <f t="array" ref="AB219">_xlfn._xlws.FILTER(Projets!I$2:I$823,(Projets!A$2:A$823=A219), "")</f>
        <v>2533.8200000000002</v>
      </c>
    </row>
    <row r="220" spans="1:28" x14ac:dyDescent="0.25">
      <c r="A220" s="1" t="s">
        <v>807</v>
      </c>
      <c r="B220" s="2">
        <v>40816</v>
      </c>
      <c r="C220" t="s">
        <v>808</v>
      </c>
      <c r="D220" s="1" t="s">
        <v>30</v>
      </c>
      <c r="E220" t="s">
        <v>809</v>
      </c>
      <c r="F220" t="s">
        <v>810</v>
      </c>
      <c r="G220" t="s">
        <v>811</v>
      </c>
      <c r="I220">
        <v>16</v>
      </c>
      <c r="J220">
        <v>4</v>
      </c>
      <c r="K220">
        <v>6</v>
      </c>
      <c r="L220">
        <v>0.8</v>
      </c>
      <c r="M220">
        <v>50</v>
      </c>
      <c r="N220">
        <v>1000</v>
      </c>
      <c r="O220">
        <v>115</v>
      </c>
      <c r="P220">
        <v>94</v>
      </c>
      <c r="Q220">
        <v>6</v>
      </c>
      <c r="R220">
        <v>72</v>
      </c>
      <c r="S220">
        <v>1</v>
      </c>
      <c r="T220">
        <v>1001</v>
      </c>
      <c r="U220">
        <v>23</v>
      </c>
      <c r="V220" s="8" t="s">
        <v>33</v>
      </c>
      <c r="W220" t="s">
        <v>722</v>
      </c>
      <c r="X220" t="s">
        <v>723</v>
      </c>
      <c r="Z220" t="str">
        <f t="shared" si="4"/>
        <v>MS</v>
      </c>
      <c r="AA220" s="8"/>
      <c r="AB220">
        <f t="array" ref="AB220">_xlfn._xlws.FILTER(Projets!I$2:I$823,(Projets!A$2:A$823=A220), "")</f>
        <v>6095.5999999999995</v>
      </c>
    </row>
    <row r="221" spans="1:28" x14ac:dyDescent="0.25">
      <c r="A221" s="1" t="s">
        <v>812</v>
      </c>
      <c r="B221" s="2">
        <v>40854</v>
      </c>
      <c r="C221" t="s">
        <v>813</v>
      </c>
      <c r="D221" s="1" t="s">
        <v>145</v>
      </c>
      <c r="E221" t="s">
        <v>109</v>
      </c>
      <c r="F221" t="s">
        <v>110</v>
      </c>
      <c r="G221" t="s">
        <v>814</v>
      </c>
      <c r="I221">
        <v>1</v>
      </c>
      <c r="J221">
        <v>5.44</v>
      </c>
      <c r="K221">
        <v>6</v>
      </c>
      <c r="L221">
        <v>0.8</v>
      </c>
      <c r="M221">
        <v>50</v>
      </c>
      <c r="N221">
        <v>1000</v>
      </c>
      <c r="O221">
        <v>99</v>
      </c>
      <c r="P221">
        <v>94</v>
      </c>
      <c r="Q221">
        <v>6</v>
      </c>
      <c r="R221">
        <v>72</v>
      </c>
      <c r="S221" t="s">
        <v>156</v>
      </c>
      <c r="T221">
        <v>1101</v>
      </c>
      <c r="U221">
        <v>44</v>
      </c>
      <c r="V221" s="8" t="s">
        <v>33</v>
      </c>
      <c r="W221" t="s">
        <v>722</v>
      </c>
      <c r="X221" t="s">
        <v>723</v>
      </c>
      <c r="Z221" t="str">
        <f t="shared" si="4"/>
        <v>MS</v>
      </c>
      <c r="AA221" s="8"/>
      <c r="AB221">
        <f t="array" ref="AB221">_xlfn._xlws.FILTER(Projets!I$2:I$823,(Projets!A$2:A$823=A221), "")</f>
        <v>859.34999999999991</v>
      </c>
    </row>
    <row r="222" spans="1:28" x14ac:dyDescent="0.25">
      <c r="A222" s="1" t="s">
        <v>812</v>
      </c>
      <c r="B222" s="2">
        <v>40854</v>
      </c>
      <c r="C222" t="s">
        <v>815</v>
      </c>
      <c r="D222" s="1" t="s">
        <v>30</v>
      </c>
      <c r="E222" t="s">
        <v>109</v>
      </c>
      <c r="F222" t="s">
        <v>110</v>
      </c>
      <c r="G222" t="s">
        <v>816</v>
      </c>
      <c r="I222">
        <v>3</v>
      </c>
      <c r="J222">
        <v>6</v>
      </c>
      <c r="K222">
        <v>6</v>
      </c>
      <c r="L222">
        <v>0.8</v>
      </c>
      <c r="M222">
        <v>50</v>
      </c>
      <c r="N222">
        <v>750</v>
      </c>
      <c r="O222">
        <v>105</v>
      </c>
      <c r="P222">
        <v>114</v>
      </c>
      <c r="Q222">
        <v>8</v>
      </c>
      <c r="R222">
        <v>96</v>
      </c>
      <c r="S222" t="s">
        <v>156</v>
      </c>
      <c r="T222">
        <v>1101</v>
      </c>
      <c r="U222">
        <v>44</v>
      </c>
      <c r="V222" s="8" t="s">
        <v>33</v>
      </c>
      <c r="W222" t="s">
        <v>722</v>
      </c>
      <c r="X222" t="s">
        <v>723</v>
      </c>
      <c r="Z222" t="str">
        <f t="shared" si="4"/>
        <v>MS</v>
      </c>
      <c r="AA222" s="8"/>
      <c r="AB222">
        <f t="array" ref="AB222">_xlfn._xlws.FILTER(Projets!I$2:I$823,(Projets!A$2:A$823=A222), "")</f>
        <v>859.34999999999991</v>
      </c>
    </row>
    <row r="223" spans="1:28" x14ac:dyDescent="0.25">
      <c r="A223" s="1" t="s">
        <v>817</v>
      </c>
      <c r="B223" s="2">
        <v>40897</v>
      </c>
      <c r="C223" t="s">
        <v>818</v>
      </c>
      <c r="D223" s="1" t="s">
        <v>30</v>
      </c>
      <c r="E223" t="s">
        <v>819</v>
      </c>
      <c r="F223" t="s">
        <v>820</v>
      </c>
      <c r="G223" t="s">
        <v>821</v>
      </c>
      <c r="I223">
        <v>1</v>
      </c>
      <c r="J223">
        <v>12</v>
      </c>
      <c r="K223">
        <v>6.3</v>
      </c>
      <c r="L223">
        <v>0.8</v>
      </c>
      <c r="M223">
        <v>50</v>
      </c>
      <c r="N223">
        <v>1500</v>
      </c>
      <c r="O223">
        <v>103</v>
      </c>
      <c r="P223">
        <v>109</v>
      </c>
      <c r="Q223">
        <v>4</v>
      </c>
      <c r="R223">
        <v>72</v>
      </c>
      <c r="S223" t="s">
        <v>176</v>
      </c>
      <c r="T223">
        <v>1001</v>
      </c>
      <c r="U223">
        <v>55</v>
      </c>
      <c r="V223" s="8" t="s">
        <v>33</v>
      </c>
      <c r="W223" t="s">
        <v>722</v>
      </c>
      <c r="X223" t="s">
        <v>723</v>
      </c>
      <c r="Z223" t="str">
        <f t="shared" si="4"/>
        <v>MS</v>
      </c>
      <c r="AA223" s="8"/>
      <c r="AB223">
        <f t="array" ref="AB223">_xlfn._xlws.FILTER(Projets!I$2:I$823,(Projets!A$2:A$823=A223), "")</f>
        <v>281.95</v>
      </c>
    </row>
    <row r="224" spans="1:28" x14ac:dyDescent="0.25">
      <c r="A224" s="1" t="s">
        <v>822</v>
      </c>
      <c r="B224" s="2">
        <v>40938</v>
      </c>
      <c r="C224" t="s">
        <v>823</v>
      </c>
      <c r="D224" s="1" t="s">
        <v>30</v>
      </c>
      <c r="E224" t="s">
        <v>740</v>
      </c>
      <c r="F224" t="s">
        <v>824</v>
      </c>
      <c r="G224" t="s">
        <v>825</v>
      </c>
      <c r="H224" t="s">
        <v>826</v>
      </c>
      <c r="I224">
        <v>1</v>
      </c>
      <c r="J224">
        <v>45</v>
      </c>
      <c r="K224">
        <v>11</v>
      </c>
      <c r="L224">
        <v>0.8</v>
      </c>
      <c r="M224">
        <v>50</v>
      </c>
      <c r="N224">
        <v>1500</v>
      </c>
      <c r="O224">
        <v>134</v>
      </c>
      <c r="P224">
        <v>241</v>
      </c>
      <c r="Q224">
        <v>4</v>
      </c>
      <c r="R224">
        <v>60</v>
      </c>
      <c r="S224" t="s">
        <v>156</v>
      </c>
      <c r="T224">
        <v>1005</v>
      </c>
      <c r="U224">
        <v>54</v>
      </c>
      <c r="V224" s="8" t="s">
        <v>33</v>
      </c>
      <c r="W224" t="s">
        <v>722</v>
      </c>
      <c r="X224" t="s">
        <v>761</v>
      </c>
      <c r="Z224" t="str">
        <f t="shared" si="4"/>
        <v>MS</v>
      </c>
      <c r="AA224" s="8"/>
      <c r="AB224">
        <f t="array" ref="AB224">_xlfn._xlws.FILTER(Projets!I$2:I$823,(Projets!A$2:A$823=A224), "")</f>
        <v>906.19999999999993</v>
      </c>
    </row>
    <row r="225" spans="1:28" x14ac:dyDescent="0.25">
      <c r="A225" s="1" t="s">
        <v>827</v>
      </c>
      <c r="B225" s="2">
        <v>41004</v>
      </c>
      <c r="C225" t="s">
        <v>828</v>
      </c>
      <c r="D225" s="1" t="s">
        <v>30</v>
      </c>
      <c r="E225" t="s">
        <v>829</v>
      </c>
      <c r="F225" t="s">
        <v>829</v>
      </c>
      <c r="G225" t="s">
        <v>830</v>
      </c>
      <c r="I225">
        <v>1</v>
      </c>
      <c r="J225">
        <v>7</v>
      </c>
      <c r="K225">
        <v>6</v>
      </c>
      <c r="L225">
        <v>0.9</v>
      </c>
      <c r="M225">
        <v>50</v>
      </c>
      <c r="N225">
        <v>750</v>
      </c>
      <c r="O225">
        <v>120</v>
      </c>
      <c r="P225">
        <v>109</v>
      </c>
      <c r="Q225">
        <v>8</v>
      </c>
      <c r="R225">
        <v>96</v>
      </c>
      <c r="S225" t="s">
        <v>156</v>
      </c>
      <c r="T225">
        <v>1101</v>
      </c>
      <c r="U225">
        <v>44</v>
      </c>
      <c r="V225" s="8" t="s">
        <v>33</v>
      </c>
      <c r="W225" t="s">
        <v>722</v>
      </c>
      <c r="X225" t="s">
        <v>723</v>
      </c>
      <c r="Z225" t="str">
        <f t="shared" si="4"/>
        <v>MS</v>
      </c>
      <c r="AA225" s="8"/>
      <c r="AB225">
        <f t="array" ref="AB225">_xlfn._xlws.FILTER(Projets!I$2:I$823,(Projets!A$2:A$823=A225), "")</f>
        <v>2785.6</v>
      </c>
    </row>
    <row r="226" spans="1:28" x14ac:dyDescent="0.25">
      <c r="A226" s="1" t="s">
        <v>831</v>
      </c>
      <c r="B226" s="2">
        <v>40969</v>
      </c>
      <c r="C226" t="s">
        <v>832</v>
      </c>
      <c r="D226" s="1" t="s">
        <v>30</v>
      </c>
      <c r="E226" t="s">
        <v>833</v>
      </c>
      <c r="F226" t="s">
        <v>834</v>
      </c>
      <c r="G226" t="s">
        <v>835</v>
      </c>
      <c r="H226" t="s">
        <v>752</v>
      </c>
      <c r="I226">
        <v>1</v>
      </c>
      <c r="J226">
        <v>17</v>
      </c>
      <c r="K226">
        <v>15</v>
      </c>
      <c r="L226">
        <v>0.8</v>
      </c>
      <c r="M226">
        <v>50</v>
      </c>
      <c r="N226">
        <v>1500</v>
      </c>
      <c r="O226">
        <v>116</v>
      </c>
      <c r="P226">
        <v>114</v>
      </c>
      <c r="Q226">
        <v>4</v>
      </c>
      <c r="R226">
        <v>72</v>
      </c>
      <c r="S226" t="s">
        <v>69</v>
      </c>
      <c r="T226">
        <v>1001</v>
      </c>
      <c r="U226">
        <v>12</v>
      </c>
      <c r="V226" s="8" t="s">
        <v>33</v>
      </c>
      <c r="W226" t="s">
        <v>722</v>
      </c>
      <c r="X226" t="s">
        <v>723</v>
      </c>
      <c r="Z226" t="str">
        <f t="shared" si="4"/>
        <v>MS</v>
      </c>
      <c r="AA226" s="8"/>
      <c r="AB226">
        <f t="array" ref="AB226">_xlfn._xlws.FILTER(Projets!I$2:I$823,(Projets!A$2:A$823=A226), "")</f>
        <v>517.65</v>
      </c>
    </row>
    <row r="227" spans="1:28" x14ac:dyDescent="0.25">
      <c r="A227" s="1" t="s">
        <v>836</v>
      </c>
      <c r="B227" s="2">
        <v>41010</v>
      </c>
      <c r="C227" t="s">
        <v>837</v>
      </c>
      <c r="D227" s="1" t="s">
        <v>30</v>
      </c>
      <c r="E227" t="s">
        <v>838</v>
      </c>
      <c r="F227" t="s">
        <v>839</v>
      </c>
      <c r="G227" t="s">
        <v>840</v>
      </c>
      <c r="I227">
        <v>3</v>
      </c>
      <c r="J227">
        <v>18</v>
      </c>
      <c r="K227">
        <v>13.8</v>
      </c>
      <c r="L227">
        <v>0.8</v>
      </c>
      <c r="M227">
        <v>50</v>
      </c>
      <c r="N227">
        <v>500</v>
      </c>
      <c r="O227">
        <v>194</v>
      </c>
      <c r="P227">
        <v>129</v>
      </c>
      <c r="Q227">
        <v>12</v>
      </c>
      <c r="R227">
        <v>120</v>
      </c>
      <c r="S227" t="s">
        <v>69</v>
      </c>
      <c r="T227">
        <v>1001</v>
      </c>
      <c r="U227">
        <v>54</v>
      </c>
      <c r="V227" s="8" t="s">
        <v>33</v>
      </c>
      <c r="W227" t="s">
        <v>722</v>
      </c>
      <c r="X227" t="s">
        <v>723</v>
      </c>
      <c r="Z227" t="str">
        <f t="shared" si="4"/>
        <v>MS</v>
      </c>
      <c r="AA227" s="8"/>
      <c r="AB227">
        <f t="array" ref="AB227">_xlfn._xlws.FILTER(Projets!I$2:I$823,(Projets!A$2:A$823=A227), "")</f>
        <v>206.1</v>
      </c>
    </row>
    <row r="228" spans="1:28" x14ac:dyDescent="0.25">
      <c r="A228" s="1" t="s">
        <v>841</v>
      </c>
      <c r="B228" s="2">
        <v>41150</v>
      </c>
      <c r="C228" t="s">
        <v>842</v>
      </c>
      <c r="D228" s="1" t="s">
        <v>30</v>
      </c>
      <c r="E228" t="s">
        <v>95</v>
      </c>
      <c r="F228" t="s">
        <v>95</v>
      </c>
      <c r="G228" t="s">
        <v>843</v>
      </c>
      <c r="H228" t="s">
        <v>719</v>
      </c>
      <c r="I228">
        <v>2</v>
      </c>
      <c r="J228">
        <v>2.56</v>
      </c>
      <c r="K228">
        <v>6.6</v>
      </c>
      <c r="L228">
        <v>0.8</v>
      </c>
      <c r="M228">
        <v>50</v>
      </c>
      <c r="N228">
        <v>1000</v>
      </c>
      <c r="O228">
        <v>88</v>
      </c>
      <c r="P228">
        <v>89</v>
      </c>
      <c r="Q228">
        <v>6</v>
      </c>
      <c r="R228">
        <v>72</v>
      </c>
      <c r="S228">
        <v>1</v>
      </c>
      <c r="T228">
        <v>1006</v>
      </c>
      <c r="U228">
        <v>23</v>
      </c>
      <c r="V228" s="8" t="s">
        <v>33</v>
      </c>
      <c r="W228" t="s">
        <v>722</v>
      </c>
      <c r="X228" t="s">
        <v>844</v>
      </c>
      <c r="Z228" t="str">
        <f t="shared" si="4"/>
        <v>MS</v>
      </c>
      <c r="AA228" s="8"/>
      <c r="AB228">
        <f t="array" ref="AB228">_xlfn._xlws.FILTER(Projets!I$2:I$823,(Projets!A$2:A$823=A228), "")</f>
        <v>291.60000000000002</v>
      </c>
    </row>
    <row r="229" spans="1:28" x14ac:dyDescent="0.25">
      <c r="A229" s="1" t="s">
        <v>845</v>
      </c>
      <c r="B229" s="2">
        <v>41061</v>
      </c>
      <c r="C229" t="s">
        <v>846</v>
      </c>
      <c r="D229" s="1" t="s">
        <v>30</v>
      </c>
      <c r="E229" t="s">
        <v>847</v>
      </c>
      <c r="F229" t="s">
        <v>847</v>
      </c>
      <c r="G229" t="s">
        <v>848</v>
      </c>
      <c r="I229">
        <v>1</v>
      </c>
      <c r="J229">
        <v>4</v>
      </c>
      <c r="K229">
        <v>8</v>
      </c>
      <c r="L229">
        <v>0.85</v>
      </c>
      <c r="M229">
        <v>50</v>
      </c>
      <c r="N229">
        <v>750</v>
      </c>
      <c r="O229">
        <v>170</v>
      </c>
      <c r="P229">
        <v>89</v>
      </c>
      <c r="Q229">
        <v>8</v>
      </c>
      <c r="R229">
        <v>120</v>
      </c>
      <c r="S229" t="s">
        <v>156</v>
      </c>
      <c r="T229">
        <v>1101</v>
      </c>
      <c r="U229">
        <v>55</v>
      </c>
      <c r="V229" s="8" t="s">
        <v>33</v>
      </c>
      <c r="W229" t="s">
        <v>722</v>
      </c>
      <c r="X229" t="s">
        <v>723</v>
      </c>
      <c r="Z229" t="str">
        <f t="shared" si="4"/>
        <v>MS</v>
      </c>
      <c r="AA229" s="8"/>
      <c r="AB229">
        <f t="array" ref="AB229">_xlfn._xlws.FILTER(Projets!I$2:I$823,(Projets!A$2:A$823=A229), "")</f>
        <v>1174.7</v>
      </c>
    </row>
    <row r="230" spans="1:28" x14ac:dyDescent="0.25">
      <c r="A230" s="1" t="s">
        <v>849</v>
      </c>
      <c r="B230" s="2">
        <v>41071</v>
      </c>
      <c r="C230" t="s">
        <v>850</v>
      </c>
      <c r="D230" s="1" t="s">
        <v>30</v>
      </c>
      <c r="E230" t="s">
        <v>850</v>
      </c>
      <c r="F230" t="s">
        <v>851</v>
      </c>
      <c r="G230" t="s">
        <v>852</v>
      </c>
      <c r="I230">
        <v>5</v>
      </c>
      <c r="J230">
        <v>16</v>
      </c>
      <c r="K230">
        <v>11</v>
      </c>
      <c r="L230">
        <v>0.8</v>
      </c>
      <c r="M230">
        <v>50</v>
      </c>
      <c r="N230">
        <v>3000</v>
      </c>
      <c r="O230">
        <v>75</v>
      </c>
      <c r="P230">
        <v>179</v>
      </c>
      <c r="Q230">
        <v>2</v>
      </c>
      <c r="R230">
        <v>84</v>
      </c>
      <c r="S230">
        <v>616</v>
      </c>
      <c r="T230">
        <v>1005</v>
      </c>
      <c r="U230">
        <v>55</v>
      </c>
      <c r="V230" s="8" t="s">
        <v>33</v>
      </c>
      <c r="W230" t="s">
        <v>722</v>
      </c>
      <c r="X230" t="s">
        <v>745</v>
      </c>
      <c r="Z230" t="str">
        <f t="shared" si="4"/>
        <v>MS</v>
      </c>
      <c r="AA230" s="8"/>
      <c r="AB230">
        <f t="array" ref="AB230">_xlfn._xlws.FILTER(Projets!I$2:I$823,(Projets!A$2:A$823=A230), "")</f>
        <v>2869.79</v>
      </c>
    </row>
    <row r="231" spans="1:28" x14ac:dyDescent="0.25">
      <c r="A231" s="1" t="s">
        <v>853</v>
      </c>
      <c r="B231" s="2">
        <v>41068</v>
      </c>
      <c r="C231" t="s">
        <v>854</v>
      </c>
      <c r="D231" s="1" t="s">
        <v>30</v>
      </c>
      <c r="E231" t="s">
        <v>855</v>
      </c>
      <c r="F231" t="s">
        <v>856</v>
      </c>
      <c r="G231" t="s">
        <v>857</v>
      </c>
      <c r="I231">
        <v>4</v>
      </c>
      <c r="J231">
        <v>7.2</v>
      </c>
      <c r="K231">
        <v>4.16</v>
      </c>
      <c r="L231">
        <v>0.8</v>
      </c>
      <c r="M231">
        <v>60</v>
      </c>
      <c r="N231">
        <v>514</v>
      </c>
      <c r="O231">
        <v>160</v>
      </c>
      <c r="P231">
        <v>109</v>
      </c>
      <c r="Q231">
        <v>14</v>
      </c>
      <c r="R231">
        <v>168</v>
      </c>
      <c r="S231" t="s">
        <v>69</v>
      </c>
      <c r="T231">
        <v>1205</v>
      </c>
      <c r="U231">
        <v>23</v>
      </c>
      <c r="V231" s="8" t="s">
        <v>33</v>
      </c>
      <c r="W231" t="s">
        <v>722</v>
      </c>
      <c r="Z231" t="str">
        <f t="shared" si="4"/>
        <v>MS</v>
      </c>
      <c r="AA231" s="8"/>
      <c r="AB231">
        <f t="array" ref="AB231">_xlfn._xlws.FILTER(Projets!I$2:I$823,(Projets!A$2:A$823=A231), "")</f>
        <v>4661.5499999999993</v>
      </c>
    </row>
    <row r="232" spans="1:28" x14ac:dyDescent="0.25">
      <c r="A232" s="1" t="s">
        <v>858</v>
      </c>
      <c r="B232" s="2">
        <v>41158</v>
      </c>
      <c r="C232" t="s">
        <v>859</v>
      </c>
      <c r="D232" s="1" t="s">
        <v>145</v>
      </c>
      <c r="E232" t="s">
        <v>860</v>
      </c>
      <c r="F232" t="s">
        <v>861</v>
      </c>
      <c r="G232" t="s">
        <v>862</v>
      </c>
      <c r="H232" t="s">
        <v>796</v>
      </c>
      <c r="I232">
        <v>1</v>
      </c>
      <c r="J232">
        <v>33</v>
      </c>
      <c r="K232">
        <v>13.8</v>
      </c>
      <c r="L232">
        <v>0.8</v>
      </c>
      <c r="M232">
        <v>60</v>
      </c>
      <c r="N232">
        <v>1800</v>
      </c>
      <c r="O232">
        <v>135</v>
      </c>
      <c r="P232">
        <v>201</v>
      </c>
      <c r="Q232">
        <v>4</v>
      </c>
      <c r="R232">
        <v>84</v>
      </c>
      <c r="S232" t="s">
        <v>176</v>
      </c>
      <c r="T232">
        <v>1005</v>
      </c>
      <c r="U232">
        <v>54</v>
      </c>
      <c r="V232" s="8" t="s">
        <v>33</v>
      </c>
      <c r="W232" t="s">
        <v>722</v>
      </c>
      <c r="Z232" t="str">
        <f t="shared" si="4"/>
        <v>MS</v>
      </c>
      <c r="AA232" s="8"/>
      <c r="AB232">
        <f t="array" ref="AB232">_xlfn._xlws.FILTER(Projets!I$2:I$823,(Projets!A$2:A$823=A232), "")</f>
        <v>633.79999999999995</v>
      </c>
    </row>
    <row r="233" spans="1:28" x14ac:dyDescent="0.25">
      <c r="A233" s="1" t="s">
        <v>858</v>
      </c>
      <c r="B233" s="2">
        <v>41158</v>
      </c>
      <c r="C233" t="s">
        <v>859</v>
      </c>
      <c r="D233" s="1" t="s">
        <v>30</v>
      </c>
      <c r="E233" t="s">
        <v>860</v>
      </c>
      <c r="F233" t="s">
        <v>863</v>
      </c>
      <c r="G233" t="s">
        <v>862</v>
      </c>
      <c r="H233" t="s">
        <v>796</v>
      </c>
      <c r="I233">
        <v>1</v>
      </c>
      <c r="J233">
        <v>38</v>
      </c>
      <c r="K233">
        <v>13.8</v>
      </c>
      <c r="L233">
        <v>0.8</v>
      </c>
      <c r="M233">
        <v>60</v>
      </c>
      <c r="N233">
        <v>1800</v>
      </c>
      <c r="O233">
        <v>135</v>
      </c>
      <c r="P233">
        <v>201</v>
      </c>
      <c r="Q233">
        <v>4</v>
      </c>
      <c r="R233">
        <v>84</v>
      </c>
      <c r="S233" t="s">
        <v>176</v>
      </c>
      <c r="T233">
        <v>1005</v>
      </c>
      <c r="U233">
        <v>54</v>
      </c>
      <c r="V233" s="8" t="s">
        <v>33</v>
      </c>
      <c r="W233" t="s">
        <v>722</v>
      </c>
      <c r="Z233" t="str">
        <f t="shared" si="4"/>
        <v>MS</v>
      </c>
      <c r="AA233" s="8"/>
      <c r="AB233">
        <f t="array" ref="AB233">_xlfn._xlws.FILTER(Projets!I$2:I$823,(Projets!A$2:A$823=A233), "")</f>
        <v>633.79999999999995</v>
      </c>
    </row>
    <row r="234" spans="1:28" x14ac:dyDescent="0.25">
      <c r="A234" s="1" t="s">
        <v>864</v>
      </c>
      <c r="B234" s="2">
        <v>41193</v>
      </c>
      <c r="C234" t="s">
        <v>865</v>
      </c>
      <c r="D234" s="1" t="s">
        <v>30</v>
      </c>
      <c r="E234" t="s">
        <v>838</v>
      </c>
      <c r="F234" t="s">
        <v>866</v>
      </c>
      <c r="G234" t="s">
        <v>867</v>
      </c>
      <c r="I234">
        <v>3</v>
      </c>
      <c r="J234">
        <v>22</v>
      </c>
      <c r="K234">
        <v>13</v>
      </c>
      <c r="L234">
        <v>0.8</v>
      </c>
      <c r="M234">
        <v>60</v>
      </c>
      <c r="N234">
        <v>514</v>
      </c>
      <c r="O234">
        <v>222</v>
      </c>
      <c r="P234">
        <v>129</v>
      </c>
      <c r="Q234">
        <v>14</v>
      </c>
      <c r="R234">
        <v>168</v>
      </c>
      <c r="S234" t="s">
        <v>69</v>
      </c>
      <c r="T234">
        <v>1005</v>
      </c>
      <c r="U234">
        <v>23</v>
      </c>
      <c r="V234" s="8" t="s">
        <v>33</v>
      </c>
      <c r="W234" t="s">
        <v>722</v>
      </c>
      <c r="X234" t="s">
        <v>723</v>
      </c>
      <c r="Z234" t="str">
        <f t="shared" si="4"/>
        <v>MS</v>
      </c>
      <c r="AA234" s="8"/>
      <c r="AB234">
        <f t="array" ref="AB234">_xlfn._xlws.FILTER(Projets!I$2:I$823,(Projets!A$2:A$823=A234), "")</f>
        <v>947.09999999999991</v>
      </c>
    </row>
    <row r="235" spans="1:28" x14ac:dyDescent="0.25">
      <c r="A235" s="1" t="s">
        <v>868</v>
      </c>
      <c r="B235" s="2">
        <v>41178</v>
      </c>
      <c r="C235" t="s">
        <v>869</v>
      </c>
      <c r="D235" s="1" t="s">
        <v>30</v>
      </c>
      <c r="E235" t="s">
        <v>870</v>
      </c>
      <c r="F235" t="s">
        <v>871</v>
      </c>
      <c r="G235" t="s">
        <v>872</v>
      </c>
      <c r="H235" t="s">
        <v>762</v>
      </c>
      <c r="I235">
        <v>2</v>
      </c>
      <c r="J235">
        <v>32</v>
      </c>
      <c r="K235">
        <v>11</v>
      </c>
      <c r="L235">
        <v>0.8</v>
      </c>
      <c r="M235">
        <v>50</v>
      </c>
      <c r="N235">
        <v>3000</v>
      </c>
      <c r="O235">
        <v>84</v>
      </c>
      <c r="P235">
        <v>224</v>
      </c>
      <c r="Q235">
        <v>2</v>
      </c>
      <c r="R235">
        <v>54</v>
      </c>
      <c r="S235" t="s">
        <v>156</v>
      </c>
      <c r="T235">
        <v>1005</v>
      </c>
      <c r="U235">
        <v>56</v>
      </c>
      <c r="V235" s="8" t="s">
        <v>33</v>
      </c>
      <c r="W235" t="s">
        <v>722</v>
      </c>
      <c r="Z235" t="str">
        <f t="shared" si="4"/>
        <v>MS</v>
      </c>
      <c r="AA235" s="8"/>
      <c r="AB235">
        <f t="array" ref="AB235">_xlfn._xlws.FILTER(Projets!I$2:I$823,(Projets!A$2:A$823=A235), "")</f>
        <v>2389.84</v>
      </c>
    </row>
    <row r="236" spans="1:28" x14ac:dyDescent="0.25">
      <c r="A236" s="1" t="s">
        <v>873</v>
      </c>
      <c r="B236" s="2">
        <v>41474</v>
      </c>
      <c r="C236" t="s">
        <v>874</v>
      </c>
      <c r="D236" s="1" t="s">
        <v>30</v>
      </c>
      <c r="E236" t="s">
        <v>875</v>
      </c>
      <c r="F236" t="s">
        <v>272</v>
      </c>
      <c r="G236" t="s">
        <v>876</v>
      </c>
      <c r="I236">
        <v>99</v>
      </c>
      <c r="J236">
        <v>3.6</v>
      </c>
      <c r="K236">
        <v>6.6</v>
      </c>
      <c r="L236">
        <v>0.8</v>
      </c>
      <c r="M236">
        <v>50</v>
      </c>
      <c r="N236">
        <v>1000</v>
      </c>
      <c r="O236">
        <v>122</v>
      </c>
      <c r="P236">
        <v>104</v>
      </c>
      <c r="Q236">
        <v>6</v>
      </c>
      <c r="R236">
        <v>90</v>
      </c>
      <c r="S236">
        <v>1</v>
      </c>
      <c r="T236">
        <v>1101</v>
      </c>
      <c r="U236">
        <v>32</v>
      </c>
      <c r="V236" s="8" t="s">
        <v>33</v>
      </c>
      <c r="W236" t="s">
        <v>722</v>
      </c>
      <c r="X236" t="s">
        <v>723</v>
      </c>
      <c r="Z236" t="str">
        <f t="shared" si="4"/>
        <v>MS</v>
      </c>
      <c r="AA236" s="8"/>
      <c r="AB236">
        <f t="array" ref="AB236">_xlfn._xlws.FILTER(Projets!I$2:I$823,(Projets!A$2:A$823=A236), "")</f>
        <v>5376.05</v>
      </c>
    </row>
    <row r="237" spans="1:28" x14ac:dyDescent="0.25">
      <c r="A237" s="1" t="s">
        <v>877</v>
      </c>
      <c r="B237" s="2">
        <v>41326</v>
      </c>
      <c r="C237" t="s">
        <v>878</v>
      </c>
      <c r="D237" s="1" t="s">
        <v>30</v>
      </c>
      <c r="E237" t="s">
        <v>879</v>
      </c>
      <c r="F237" t="s">
        <v>146</v>
      </c>
      <c r="G237" t="s">
        <v>880</v>
      </c>
      <c r="I237">
        <v>1</v>
      </c>
      <c r="J237">
        <v>0.75</v>
      </c>
      <c r="K237">
        <v>6.3</v>
      </c>
      <c r="L237">
        <v>0.7</v>
      </c>
      <c r="M237">
        <v>150</v>
      </c>
      <c r="N237">
        <v>1800</v>
      </c>
      <c r="O237">
        <v>109</v>
      </c>
      <c r="P237">
        <v>84</v>
      </c>
      <c r="Q237">
        <v>10</v>
      </c>
      <c r="R237">
        <v>120</v>
      </c>
      <c r="S237">
        <v>1</v>
      </c>
      <c r="T237">
        <v>1001</v>
      </c>
      <c r="U237">
        <v>23</v>
      </c>
      <c r="V237" s="8" t="s">
        <v>33</v>
      </c>
      <c r="W237" t="s">
        <v>722</v>
      </c>
      <c r="X237" t="s">
        <v>723</v>
      </c>
      <c r="Z237" t="str">
        <f t="shared" si="4"/>
        <v>MS</v>
      </c>
      <c r="AA237" s="8"/>
      <c r="AB237">
        <f t="array" ref="AB237">_xlfn._xlws.FILTER(Projets!I$2:I$823,(Projets!A$2:A$823=A237), "")</f>
        <v>1333.3</v>
      </c>
    </row>
    <row r="238" spans="1:28" x14ac:dyDescent="0.25">
      <c r="A238" s="1" t="s">
        <v>881</v>
      </c>
      <c r="B238" s="2">
        <v>41344</v>
      </c>
      <c r="C238" t="s">
        <v>882</v>
      </c>
      <c r="D238" s="1" t="s">
        <v>30</v>
      </c>
      <c r="E238" t="s">
        <v>882</v>
      </c>
      <c r="F238" t="s">
        <v>882</v>
      </c>
      <c r="G238" t="s">
        <v>883</v>
      </c>
      <c r="H238" t="s">
        <v>884</v>
      </c>
      <c r="I238">
        <v>1</v>
      </c>
      <c r="J238">
        <v>5.4</v>
      </c>
      <c r="K238">
        <v>10</v>
      </c>
      <c r="L238">
        <v>0.85</v>
      </c>
      <c r="M238">
        <v>50</v>
      </c>
      <c r="N238">
        <v>1500</v>
      </c>
      <c r="O238">
        <v>80</v>
      </c>
      <c r="P238">
        <v>124</v>
      </c>
      <c r="Q238">
        <v>4</v>
      </c>
      <c r="R238">
        <v>72</v>
      </c>
      <c r="S238" t="s">
        <v>197</v>
      </c>
      <c r="T238">
        <v>1001</v>
      </c>
      <c r="U238">
        <v>54</v>
      </c>
      <c r="V238" s="8" t="s">
        <v>212</v>
      </c>
      <c r="W238" t="s">
        <v>722</v>
      </c>
      <c r="X238" t="s">
        <v>723</v>
      </c>
      <c r="Z238" t="str">
        <f t="shared" si="4"/>
        <v>MS</v>
      </c>
      <c r="AA238" s="8"/>
      <c r="AB238">
        <f t="array" ref="AB238">_xlfn._xlws.FILTER(Projets!I$2:I$823,(Projets!A$2:A$823=A238), "")</f>
        <v>243</v>
      </c>
    </row>
    <row r="239" spans="1:28" x14ac:dyDescent="0.25">
      <c r="A239" s="1" t="s">
        <v>885</v>
      </c>
      <c r="B239" s="2">
        <v>41351</v>
      </c>
      <c r="C239" t="s">
        <v>886</v>
      </c>
      <c r="D239" s="1" t="s">
        <v>30</v>
      </c>
      <c r="E239" t="s">
        <v>887</v>
      </c>
      <c r="F239" t="s">
        <v>888</v>
      </c>
      <c r="G239" t="s">
        <v>889</v>
      </c>
      <c r="H239" t="s">
        <v>746</v>
      </c>
      <c r="I239">
        <v>2</v>
      </c>
      <c r="J239">
        <v>10</v>
      </c>
      <c r="K239">
        <v>10</v>
      </c>
      <c r="L239">
        <v>0.9</v>
      </c>
      <c r="M239">
        <v>50</v>
      </c>
      <c r="N239">
        <v>600</v>
      </c>
      <c r="O239">
        <v>194</v>
      </c>
      <c r="P239">
        <v>69</v>
      </c>
      <c r="Q239">
        <v>10</v>
      </c>
      <c r="R239">
        <v>150</v>
      </c>
      <c r="S239" t="s">
        <v>156</v>
      </c>
      <c r="T239">
        <v>3011</v>
      </c>
      <c r="U239">
        <v>0</v>
      </c>
      <c r="V239" s="8" t="s">
        <v>33</v>
      </c>
      <c r="W239" t="s">
        <v>722</v>
      </c>
      <c r="X239" t="s">
        <v>723</v>
      </c>
      <c r="Z239" t="str">
        <f t="shared" si="4"/>
        <v>MS</v>
      </c>
      <c r="AA239" s="8"/>
      <c r="AB239">
        <f t="array" ref="AB239">_xlfn._xlws.FILTER(Projets!I$2:I$823,(Projets!A$2:A$823=A239), "")</f>
        <v>5091.1500000000005</v>
      </c>
    </row>
    <row r="240" spans="1:28" x14ac:dyDescent="0.25">
      <c r="A240" s="1" t="s">
        <v>890</v>
      </c>
      <c r="B240" s="2">
        <v>41351</v>
      </c>
      <c r="C240" t="s">
        <v>891</v>
      </c>
      <c r="D240" s="1" t="s">
        <v>30</v>
      </c>
      <c r="E240" t="s">
        <v>856</v>
      </c>
      <c r="F240" t="s">
        <v>856</v>
      </c>
      <c r="G240" t="s">
        <v>892</v>
      </c>
      <c r="I240">
        <v>1</v>
      </c>
      <c r="J240">
        <v>6</v>
      </c>
      <c r="K240">
        <v>4</v>
      </c>
      <c r="L240">
        <v>0.8</v>
      </c>
      <c r="M240">
        <v>60</v>
      </c>
      <c r="N240">
        <v>1200</v>
      </c>
      <c r="O240">
        <v>107</v>
      </c>
      <c r="P240">
        <v>100</v>
      </c>
      <c r="Q240">
        <v>6</v>
      </c>
      <c r="R240">
        <v>81</v>
      </c>
      <c r="S240">
        <v>1</v>
      </c>
      <c r="T240">
        <v>1002</v>
      </c>
      <c r="U240">
        <v>23</v>
      </c>
      <c r="V240" s="8" t="s">
        <v>33</v>
      </c>
      <c r="W240" t="s">
        <v>722</v>
      </c>
      <c r="X240" t="s">
        <v>723</v>
      </c>
      <c r="Z240" t="str">
        <f t="shared" si="4"/>
        <v>MS</v>
      </c>
      <c r="AA240" s="8"/>
      <c r="AB240">
        <f t="array" ref="AB240">_xlfn._xlws.FILTER(Projets!I$2:I$823,(Projets!A$2:A$823=A240), "")</f>
        <v>797.65</v>
      </c>
    </row>
    <row r="241" spans="1:28" x14ac:dyDescent="0.25">
      <c r="A241" s="1" t="s">
        <v>893</v>
      </c>
      <c r="B241" s="2">
        <v>41417</v>
      </c>
      <c r="C241" t="s">
        <v>894</v>
      </c>
      <c r="D241" s="1" t="s">
        <v>30</v>
      </c>
      <c r="E241" t="s">
        <v>78</v>
      </c>
      <c r="F241" t="s">
        <v>895</v>
      </c>
      <c r="G241" t="s">
        <v>896</v>
      </c>
      <c r="H241" t="s">
        <v>849</v>
      </c>
      <c r="I241">
        <v>5</v>
      </c>
      <c r="J241">
        <v>20</v>
      </c>
      <c r="K241">
        <v>11</v>
      </c>
      <c r="L241">
        <v>0.8</v>
      </c>
      <c r="M241">
        <v>50</v>
      </c>
      <c r="N241">
        <v>3000</v>
      </c>
      <c r="O241">
        <v>75</v>
      </c>
      <c r="P241">
        <v>159</v>
      </c>
      <c r="Q241">
        <v>2</v>
      </c>
      <c r="R241">
        <v>84</v>
      </c>
      <c r="S241" t="s">
        <v>156</v>
      </c>
      <c r="T241">
        <v>1001</v>
      </c>
      <c r="U241">
        <v>20</v>
      </c>
      <c r="V241" s="8" t="s">
        <v>33</v>
      </c>
      <c r="W241" t="s">
        <v>722</v>
      </c>
      <c r="Z241" t="str">
        <f t="shared" si="4"/>
        <v>MS</v>
      </c>
      <c r="AA241" s="8"/>
      <c r="AB241">
        <f t="array" ref="AB241">_xlfn._xlws.FILTER(Projets!I$2:I$823,(Projets!A$2:A$823=A241), "")</f>
        <v>5207.170000000001</v>
      </c>
    </row>
    <row r="242" spans="1:28" x14ac:dyDescent="0.25">
      <c r="A242" s="1" t="s">
        <v>897</v>
      </c>
      <c r="B242" s="2">
        <v>41506</v>
      </c>
      <c r="C242" t="s">
        <v>898</v>
      </c>
      <c r="D242" s="1" t="s">
        <v>30</v>
      </c>
      <c r="E242" t="s">
        <v>899</v>
      </c>
      <c r="F242" t="s">
        <v>900</v>
      </c>
      <c r="G242" t="s">
        <v>901</v>
      </c>
      <c r="H242" t="s">
        <v>831</v>
      </c>
      <c r="I242">
        <v>1</v>
      </c>
      <c r="J242">
        <v>17</v>
      </c>
      <c r="K242">
        <v>11</v>
      </c>
      <c r="L242">
        <v>0.8</v>
      </c>
      <c r="M242">
        <v>50</v>
      </c>
      <c r="N242">
        <v>1500</v>
      </c>
      <c r="O242">
        <v>116</v>
      </c>
      <c r="P242">
        <v>114</v>
      </c>
      <c r="Q242">
        <v>4</v>
      </c>
      <c r="R242">
        <v>84</v>
      </c>
      <c r="S242" t="s">
        <v>176</v>
      </c>
      <c r="T242">
        <v>1005</v>
      </c>
      <c r="U242">
        <v>55</v>
      </c>
      <c r="V242" s="8" t="s">
        <v>33</v>
      </c>
      <c r="W242" t="s">
        <v>722</v>
      </c>
      <c r="X242" t="s">
        <v>723</v>
      </c>
      <c r="Z242" t="str">
        <f t="shared" si="4"/>
        <v>MS</v>
      </c>
      <c r="AA242" s="8"/>
      <c r="AB242">
        <f t="array" ref="AB242">_xlfn._xlws.FILTER(Projets!I$2:I$823,(Projets!A$2:A$823=A242), "")</f>
        <v>427.15</v>
      </c>
    </row>
    <row r="243" spans="1:28" x14ac:dyDescent="0.25">
      <c r="A243" s="1" t="s">
        <v>902</v>
      </c>
      <c r="B243" s="2">
        <v>41474</v>
      </c>
      <c r="C243" t="s">
        <v>903</v>
      </c>
      <c r="D243" s="1" t="s">
        <v>30</v>
      </c>
      <c r="E243" t="s">
        <v>833</v>
      </c>
      <c r="F243" t="s">
        <v>272</v>
      </c>
      <c r="G243" t="s">
        <v>904</v>
      </c>
      <c r="I243">
        <v>99</v>
      </c>
      <c r="J243">
        <v>3.45</v>
      </c>
      <c r="K243">
        <v>6.6</v>
      </c>
      <c r="L243">
        <v>0.8</v>
      </c>
      <c r="M243">
        <v>50</v>
      </c>
      <c r="N243">
        <v>750</v>
      </c>
      <c r="O243">
        <v>106</v>
      </c>
      <c r="P243">
        <v>119</v>
      </c>
      <c r="Q243">
        <v>8</v>
      </c>
      <c r="R243">
        <v>96</v>
      </c>
      <c r="S243">
        <v>1</v>
      </c>
      <c r="T243">
        <v>1101</v>
      </c>
      <c r="U243">
        <v>23</v>
      </c>
      <c r="V243" s="8" t="s">
        <v>33</v>
      </c>
      <c r="W243" t="s">
        <v>722</v>
      </c>
      <c r="X243" t="s">
        <v>723</v>
      </c>
      <c r="Z243" t="str">
        <f t="shared" ref="Z243:Z274" si="5">IF(MID(A243, 2, 1)="M", "MIL", IF(MID(A243, 2, 1)="N", "NUC", "MS"))</f>
        <v>MS</v>
      </c>
      <c r="AA243" s="8"/>
      <c r="AB243">
        <f t="array" ref="AB243">_xlfn._xlws.FILTER(Projets!I$2:I$823,(Projets!A$2:A$823=A243), "")</f>
        <v>366.95</v>
      </c>
    </row>
    <row r="244" spans="1:28" x14ac:dyDescent="0.25">
      <c r="A244" s="1" t="s">
        <v>905</v>
      </c>
      <c r="B244" s="2">
        <v>41486</v>
      </c>
      <c r="C244" t="s">
        <v>906</v>
      </c>
      <c r="D244" s="1" t="s">
        <v>30</v>
      </c>
      <c r="E244" t="s">
        <v>795</v>
      </c>
      <c r="F244" t="s">
        <v>907</v>
      </c>
      <c r="G244" t="s">
        <v>908</v>
      </c>
      <c r="I244">
        <v>2</v>
      </c>
      <c r="J244">
        <v>12.25</v>
      </c>
      <c r="K244">
        <v>11</v>
      </c>
      <c r="L244">
        <v>0.8</v>
      </c>
      <c r="M244">
        <v>50</v>
      </c>
      <c r="N244">
        <v>500</v>
      </c>
      <c r="O244">
        <v>177</v>
      </c>
      <c r="P244">
        <v>109</v>
      </c>
      <c r="Q244">
        <v>12</v>
      </c>
      <c r="R244">
        <v>144</v>
      </c>
      <c r="S244" t="s">
        <v>909</v>
      </c>
      <c r="T244">
        <v>1001</v>
      </c>
      <c r="U244">
        <v>23</v>
      </c>
      <c r="V244" s="8" t="s">
        <v>33</v>
      </c>
      <c r="W244" t="s">
        <v>722</v>
      </c>
      <c r="X244" t="s">
        <v>723</v>
      </c>
      <c r="Z244" t="str">
        <f t="shared" si="5"/>
        <v>MS</v>
      </c>
      <c r="AA244" s="8"/>
      <c r="AB244">
        <f t="array" ref="AB244">_xlfn._xlws.FILTER(Projets!I$2:I$823,(Projets!A$2:A$823=A244), "")</f>
        <v>118.8</v>
      </c>
    </row>
    <row r="245" spans="1:28" x14ac:dyDescent="0.25">
      <c r="A245" s="1" t="s">
        <v>910</v>
      </c>
      <c r="B245" s="2">
        <v>41499</v>
      </c>
      <c r="C245" t="s">
        <v>911</v>
      </c>
      <c r="D245" s="1" t="s">
        <v>30</v>
      </c>
      <c r="E245" t="s">
        <v>912</v>
      </c>
      <c r="F245" t="s">
        <v>913</v>
      </c>
      <c r="G245" t="s">
        <v>914</v>
      </c>
      <c r="H245" t="s">
        <v>915</v>
      </c>
      <c r="I245">
        <v>1</v>
      </c>
      <c r="J245">
        <v>6.5</v>
      </c>
      <c r="K245">
        <v>13.8</v>
      </c>
      <c r="L245">
        <v>0.8</v>
      </c>
      <c r="M245">
        <v>60</v>
      </c>
      <c r="N245">
        <v>189</v>
      </c>
      <c r="O245">
        <v>386</v>
      </c>
      <c r="P245">
        <v>50</v>
      </c>
      <c r="Q245">
        <v>38</v>
      </c>
      <c r="R245">
        <v>342</v>
      </c>
      <c r="S245" t="s">
        <v>916</v>
      </c>
      <c r="T245">
        <v>7125</v>
      </c>
      <c r="U245">
        <v>54</v>
      </c>
      <c r="V245" s="8" t="s">
        <v>212</v>
      </c>
      <c r="W245" t="s">
        <v>722</v>
      </c>
      <c r="X245" t="s">
        <v>723</v>
      </c>
      <c r="Z245" t="str">
        <f t="shared" si="5"/>
        <v>MS</v>
      </c>
      <c r="AA245" s="8"/>
      <c r="AB245">
        <f t="array" ref="AB245">_xlfn._xlws.FILTER(Projets!I$2:I$823,(Projets!A$2:A$823=A245), "")</f>
        <v>1494.15</v>
      </c>
    </row>
    <row r="246" spans="1:28" x14ac:dyDescent="0.25">
      <c r="A246" s="1" t="s">
        <v>917</v>
      </c>
      <c r="B246" s="2">
        <v>41521</v>
      </c>
      <c r="C246" t="s">
        <v>918</v>
      </c>
      <c r="D246" s="1" t="s">
        <v>30</v>
      </c>
      <c r="E246" t="s">
        <v>740</v>
      </c>
      <c r="F246" t="s">
        <v>740</v>
      </c>
      <c r="G246" t="s">
        <v>919</v>
      </c>
      <c r="H246" t="s">
        <v>743</v>
      </c>
      <c r="I246">
        <v>1</v>
      </c>
      <c r="J246">
        <v>55</v>
      </c>
      <c r="K246">
        <v>10</v>
      </c>
      <c r="L246">
        <v>0.85</v>
      </c>
      <c r="M246">
        <v>50</v>
      </c>
      <c r="N246">
        <v>3000</v>
      </c>
      <c r="O246">
        <v>89</v>
      </c>
      <c r="P246">
        <v>255</v>
      </c>
      <c r="Q246">
        <v>2</v>
      </c>
      <c r="R246">
        <v>48</v>
      </c>
      <c r="S246" t="s">
        <v>916</v>
      </c>
      <c r="T246">
        <v>1001</v>
      </c>
      <c r="U246">
        <v>54</v>
      </c>
      <c r="V246" s="8" t="s">
        <v>33</v>
      </c>
      <c r="W246" t="s">
        <v>722</v>
      </c>
      <c r="Z246" t="str">
        <f t="shared" si="5"/>
        <v>MS</v>
      </c>
      <c r="AA246" s="8"/>
      <c r="AB246">
        <f t="array" ref="AB246">_xlfn._xlws.FILTER(Projets!I$2:I$823,(Projets!A$2:A$823=A246), "")</f>
        <v>677.27</v>
      </c>
    </row>
    <row r="247" spans="1:28" x14ac:dyDescent="0.25">
      <c r="A247" s="1" t="s">
        <v>920</v>
      </c>
      <c r="B247" s="2">
        <v>41618</v>
      </c>
      <c r="C247" t="s">
        <v>921</v>
      </c>
      <c r="D247" s="1" t="s">
        <v>30</v>
      </c>
      <c r="E247" t="s">
        <v>534</v>
      </c>
      <c r="F247" t="s">
        <v>922</v>
      </c>
      <c r="G247" t="s">
        <v>923</v>
      </c>
      <c r="H247" t="s">
        <v>783</v>
      </c>
      <c r="I247">
        <v>1</v>
      </c>
      <c r="J247">
        <v>14</v>
      </c>
      <c r="K247">
        <v>6.3</v>
      </c>
      <c r="L247">
        <v>0.8</v>
      </c>
      <c r="M247">
        <v>50</v>
      </c>
      <c r="N247">
        <v>1500</v>
      </c>
      <c r="O247">
        <v>116</v>
      </c>
      <c r="P247">
        <v>99</v>
      </c>
      <c r="Q247">
        <v>4</v>
      </c>
      <c r="R247">
        <v>84</v>
      </c>
      <c r="S247" t="s">
        <v>156</v>
      </c>
      <c r="T247">
        <v>1005</v>
      </c>
      <c r="U247">
        <v>54</v>
      </c>
      <c r="V247" s="8" t="s">
        <v>33</v>
      </c>
      <c r="W247" t="s">
        <v>722</v>
      </c>
      <c r="X247" t="s">
        <v>723</v>
      </c>
      <c r="Z247" t="str">
        <f t="shared" si="5"/>
        <v>MS</v>
      </c>
      <c r="AA247" s="8"/>
      <c r="AB247">
        <f t="array" ref="AB247">_xlfn._xlws.FILTER(Projets!I$2:I$823,(Projets!A$2:A$823=A247), "")</f>
        <v>190.7</v>
      </c>
    </row>
    <row r="248" spans="1:28" x14ac:dyDescent="0.25">
      <c r="A248" s="1" t="s">
        <v>924</v>
      </c>
      <c r="B248" s="2">
        <v>41486</v>
      </c>
      <c r="C248" t="s">
        <v>925</v>
      </c>
      <c r="D248" s="1" t="s">
        <v>30</v>
      </c>
      <c r="E248" t="s">
        <v>795</v>
      </c>
      <c r="F248" t="s">
        <v>907</v>
      </c>
      <c r="G248" t="s">
        <v>908</v>
      </c>
      <c r="I248">
        <v>2</v>
      </c>
      <c r="J248">
        <v>12.25</v>
      </c>
      <c r="K248">
        <v>11</v>
      </c>
      <c r="L248">
        <v>0.8</v>
      </c>
      <c r="M248">
        <v>50</v>
      </c>
      <c r="N248">
        <v>500</v>
      </c>
      <c r="O248">
        <v>177</v>
      </c>
      <c r="P248">
        <v>109</v>
      </c>
      <c r="Q248">
        <v>12</v>
      </c>
      <c r="R248">
        <v>144</v>
      </c>
      <c r="S248" t="s">
        <v>909</v>
      </c>
      <c r="T248">
        <v>1001</v>
      </c>
      <c r="U248">
        <v>23</v>
      </c>
      <c r="V248" s="8" t="s">
        <v>33</v>
      </c>
      <c r="W248" t="s">
        <v>722</v>
      </c>
      <c r="X248" t="s">
        <v>723</v>
      </c>
      <c r="Z248" t="str">
        <f t="shared" si="5"/>
        <v>MS</v>
      </c>
      <c r="AA248" s="8"/>
      <c r="AB248" t="str">
        <f t="array" ref="AB248">_xlfn._xlws.FILTER(Projets!I$2:I$823,(Projets!A$2:A$823=A248), "")</f>
        <v/>
      </c>
    </row>
    <row r="249" spans="1:28" x14ac:dyDescent="0.25">
      <c r="A249" s="1" t="s">
        <v>926</v>
      </c>
      <c r="B249" s="2">
        <v>41669</v>
      </c>
      <c r="C249" t="s">
        <v>927</v>
      </c>
      <c r="D249" s="1" t="s">
        <v>30</v>
      </c>
      <c r="E249" t="s">
        <v>928</v>
      </c>
      <c r="F249" t="s">
        <v>929</v>
      </c>
      <c r="G249" t="s">
        <v>930</v>
      </c>
      <c r="H249" t="s">
        <v>897</v>
      </c>
      <c r="I249">
        <v>1</v>
      </c>
      <c r="J249">
        <v>15</v>
      </c>
      <c r="K249">
        <v>11</v>
      </c>
      <c r="L249">
        <v>0.8</v>
      </c>
      <c r="M249">
        <v>50</v>
      </c>
      <c r="N249">
        <v>1500</v>
      </c>
      <c r="O249">
        <v>115</v>
      </c>
      <c r="P249">
        <v>109</v>
      </c>
      <c r="Q249">
        <v>4</v>
      </c>
      <c r="R249">
        <v>84</v>
      </c>
      <c r="S249" t="s">
        <v>176</v>
      </c>
      <c r="T249">
        <v>1001</v>
      </c>
      <c r="U249">
        <v>54</v>
      </c>
      <c r="V249" s="8" t="s">
        <v>33</v>
      </c>
      <c r="W249" t="s">
        <v>722</v>
      </c>
      <c r="X249" t="s">
        <v>723</v>
      </c>
      <c r="Z249" t="str">
        <f t="shared" si="5"/>
        <v>MS</v>
      </c>
      <c r="AA249" s="8"/>
      <c r="AB249">
        <f t="array" ref="AB249">_xlfn._xlws.FILTER(Projets!I$2:I$823,(Projets!A$2:A$823=A249), "")</f>
        <v>286.60000000000002</v>
      </c>
    </row>
    <row r="250" spans="1:28" x14ac:dyDescent="0.25">
      <c r="A250" s="1" t="s">
        <v>931</v>
      </c>
      <c r="B250" s="2">
        <v>41668</v>
      </c>
      <c r="C250" t="s">
        <v>932</v>
      </c>
      <c r="D250" s="1" t="s">
        <v>30</v>
      </c>
      <c r="E250" t="s">
        <v>933</v>
      </c>
      <c r="F250" t="s">
        <v>934</v>
      </c>
      <c r="G250" t="s">
        <v>935</v>
      </c>
      <c r="H250" t="s">
        <v>793</v>
      </c>
      <c r="I250">
        <v>5</v>
      </c>
      <c r="J250">
        <v>18</v>
      </c>
      <c r="K250">
        <v>15</v>
      </c>
      <c r="L250">
        <v>0.8</v>
      </c>
      <c r="M250">
        <v>50</v>
      </c>
      <c r="N250">
        <v>500</v>
      </c>
      <c r="O250">
        <v>196</v>
      </c>
      <c r="P250">
        <v>134</v>
      </c>
      <c r="Q250">
        <v>12</v>
      </c>
      <c r="R250">
        <v>144</v>
      </c>
      <c r="S250">
        <v>1</v>
      </c>
      <c r="T250">
        <v>1001</v>
      </c>
      <c r="U250">
        <v>23</v>
      </c>
      <c r="V250" s="8" t="s">
        <v>33</v>
      </c>
      <c r="W250" t="s">
        <v>722</v>
      </c>
      <c r="X250" t="s">
        <v>723</v>
      </c>
      <c r="Z250" t="str">
        <f t="shared" si="5"/>
        <v>MS</v>
      </c>
      <c r="AA250" s="8"/>
      <c r="AB250">
        <f t="array" ref="AB250">_xlfn._xlws.FILTER(Projets!I$2:I$823,(Projets!A$2:A$823=A250), "")</f>
        <v>717.65</v>
      </c>
    </row>
    <row r="251" spans="1:28" x14ac:dyDescent="0.25">
      <c r="A251" s="1" t="s">
        <v>936</v>
      </c>
      <c r="B251" s="2">
        <v>41681</v>
      </c>
      <c r="C251" t="s">
        <v>937</v>
      </c>
      <c r="D251" s="1" t="s">
        <v>30</v>
      </c>
      <c r="E251" t="s">
        <v>838</v>
      </c>
      <c r="F251" t="s">
        <v>938</v>
      </c>
      <c r="G251" t="s">
        <v>939</v>
      </c>
      <c r="H251" t="s">
        <v>931</v>
      </c>
      <c r="I251">
        <v>9</v>
      </c>
      <c r="J251">
        <v>17</v>
      </c>
      <c r="K251">
        <v>11</v>
      </c>
      <c r="L251">
        <v>0.8</v>
      </c>
      <c r="M251">
        <v>50</v>
      </c>
      <c r="N251">
        <v>500</v>
      </c>
      <c r="O251">
        <v>196</v>
      </c>
      <c r="P251">
        <v>134</v>
      </c>
      <c r="Q251">
        <v>12</v>
      </c>
      <c r="R251">
        <v>144</v>
      </c>
      <c r="S251" t="s">
        <v>69</v>
      </c>
      <c r="T251">
        <v>1001</v>
      </c>
      <c r="U251">
        <v>23</v>
      </c>
      <c r="V251" s="8" t="s">
        <v>33</v>
      </c>
      <c r="W251" t="s">
        <v>722</v>
      </c>
      <c r="X251" t="s">
        <v>723</v>
      </c>
      <c r="Z251" t="str">
        <f t="shared" si="5"/>
        <v>MS</v>
      </c>
      <c r="AA251" s="8"/>
      <c r="AB251">
        <f t="array" ref="AB251">_xlfn._xlws.FILTER(Projets!I$2:I$823,(Projets!A$2:A$823=A251), "")</f>
        <v>359.95</v>
      </c>
    </row>
    <row r="252" spans="1:28" x14ac:dyDescent="0.25">
      <c r="A252" s="1" t="s">
        <v>940</v>
      </c>
      <c r="B252" s="2">
        <v>41683</v>
      </c>
      <c r="C252" t="s">
        <v>941</v>
      </c>
      <c r="D252" s="1" t="s">
        <v>30</v>
      </c>
      <c r="E252" t="s">
        <v>819</v>
      </c>
      <c r="F252" t="s">
        <v>942</v>
      </c>
      <c r="G252" t="s">
        <v>943</v>
      </c>
      <c r="I252">
        <v>3</v>
      </c>
      <c r="J252">
        <v>24</v>
      </c>
      <c r="K252">
        <v>11</v>
      </c>
      <c r="L252">
        <v>1</v>
      </c>
      <c r="M252">
        <v>50</v>
      </c>
      <c r="N252">
        <v>1500</v>
      </c>
      <c r="O252">
        <v>131</v>
      </c>
      <c r="P252">
        <v>119</v>
      </c>
      <c r="Q252">
        <v>4</v>
      </c>
      <c r="R252">
        <v>84</v>
      </c>
      <c r="S252" t="s">
        <v>156</v>
      </c>
      <c r="T252">
        <v>1007</v>
      </c>
      <c r="U252">
        <v>55</v>
      </c>
      <c r="V252" s="8" t="s">
        <v>212</v>
      </c>
      <c r="W252" t="s">
        <v>722</v>
      </c>
      <c r="Z252" t="str">
        <f t="shared" si="5"/>
        <v>MS</v>
      </c>
      <c r="AA252" s="8"/>
      <c r="AB252">
        <f t="array" ref="AB252">_xlfn._xlws.FILTER(Projets!I$2:I$823,(Projets!A$2:A$823=A252), "")</f>
        <v>1628.65</v>
      </c>
    </row>
    <row r="253" spans="1:28" x14ac:dyDescent="0.25">
      <c r="A253" s="1" t="s">
        <v>944</v>
      </c>
      <c r="B253" s="2">
        <v>41705</v>
      </c>
      <c r="C253" t="s">
        <v>945</v>
      </c>
      <c r="D253" s="1" t="s">
        <v>30</v>
      </c>
      <c r="E253" t="s">
        <v>899</v>
      </c>
      <c r="F253" t="s">
        <v>946</v>
      </c>
      <c r="G253" t="s">
        <v>947</v>
      </c>
      <c r="H253" t="s">
        <v>948</v>
      </c>
      <c r="I253">
        <v>1</v>
      </c>
      <c r="J253">
        <v>21</v>
      </c>
      <c r="K253">
        <v>15</v>
      </c>
      <c r="L253">
        <v>0.8</v>
      </c>
      <c r="M253">
        <v>50</v>
      </c>
      <c r="N253">
        <v>1500</v>
      </c>
      <c r="O253">
        <v>130</v>
      </c>
      <c r="P253">
        <v>129</v>
      </c>
      <c r="Q253">
        <v>4</v>
      </c>
      <c r="R253">
        <v>84</v>
      </c>
      <c r="S253" t="s">
        <v>176</v>
      </c>
      <c r="T253">
        <v>1005</v>
      </c>
      <c r="U253">
        <v>54</v>
      </c>
      <c r="V253" s="8" t="s">
        <v>33</v>
      </c>
      <c r="W253" t="s">
        <v>722</v>
      </c>
      <c r="X253" t="s">
        <v>723</v>
      </c>
      <c r="Z253" t="str">
        <f t="shared" si="5"/>
        <v>MS</v>
      </c>
      <c r="AA253" s="8"/>
      <c r="AB253">
        <f t="array" ref="AB253">_xlfn._xlws.FILTER(Projets!I$2:I$823,(Projets!A$2:A$823=A253), "")</f>
        <v>244.5</v>
      </c>
    </row>
    <row r="254" spans="1:28" x14ac:dyDescent="0.25">
      <c r="A254" s="1" t="s">
        <v>949</v>
      </c>
      <c r="B254" s="2">
        <v>41698</v>
      </c>
      <c r="C254" t="s">
        <v>950</v>
      </c>
      <c r="D254" s="1" t="s">
        <v>30</v>
      </c>
      <c r="E254" t="s">
        <v>951</v>
      </c>
      <c r="F254" t="s">
        <v>952</v>
      </c>
      <c r="G254" t="s">
        <v>953</v>
      </c>
      <c r="H254" t="s">
        <v>849</v>
      </c>
      <c r="I254">
        <v>1</v>
      </c>
      <c r="J254">
        <v>50</v>
      </c>
      <c r="K254">
        <v>11</v>
      </c>
      <c r="L254">
        <v>0.8</v>
      </c>
      <c r="M254">
        <v>50</v>
      </c>
      <c r="N254">
        <v>3000</v>
      </c>
      <c r="O254">
        <v>87</v>
      </c>
      <c r="P254">
        <v>270</v>
      </c>
      <c r="Q254">
        <v>2</v>
      </c>
      <c r="R254">
        <v>84</v>
      </c>
      <c r="S254" t="s">
        <v>176</v>
      </c>
      <c r="T254">
        <v>1005</v>
      </c>
      <c r="U254">
        <v>54</v>
      </c>
      <c r="V254" s="8" t="s">
        <v>33</v>
      </c>
      <c r="W254" t="s">
        <v>722</v>
      </c>
      <c r="Z254" t="str">
        <f t="shared" si="5"/>
        <v>MS</v>
      </c>
      <c r="AA254" s="8"/>
      <c r="AB254">
        <f t="array" ref="AB254">_xlfn._xlws.FILTER(Projets!I$2:I$823,(Projets!A$2:A$823=A254), "")</f>
        <v>1615.43</v>
      </c>
    </row>
    <row r="255" spans="1:28" x14ac:dyDescent="0.25">
      <c r="A255" s="1" t="s">
        <v>954</v>
      </c>
      <c r="B255" s="2">
        <v>41716</v>
      </c>
      <c r="C255" t="s">
        <v>955</v>
      </c>
      <c r="D255" s="1" t="s">
        <v>30</v>
      </c>
      <c r="E255" t="s">
        <v>838</v>
      </c>
      <c r="F255" t="s">
        <v>956</v>
      </c>
      <c r="G255" t="s">
        <v>957</v>
      </c>
      <c r="H255" t="s">
        <v>864</v>
      </c>
      <c r="I255">
        <v>8</v>
      </c>
      <c r="J255">
        <v>18</v>
      </c>
      <c r="K255">
        <v>13</v>
      </c>
      <c r="L255">
        <v>0.8</v>
      </c>
      <c r="M255">
        <v>60</v>
      </c>
      <c r="N255">
        <v>514</v>
      </c>
      <c r="O255">
        <v>222</v>
      </c>
      <c r="P255">
        <v>139</v>
      </c>
      <c r="Q255">
        <v>14</v>
      </c>
      <c r="R255">
        <v>168</v>
      </c>
      <c r="S255" t="s">
        <v>69</v>
      </c>
      <c r="T255">
        <v>1001</v>
      </c>
      <c r="U255">
        <v>23</v>
      </c>
      <c r="V255" s="8" t="s">
        <v>33</v>
      </c>
      <c r="W255" t="s">
        <v>722</v>
      </c>
      <c r="X255" t="s">
        <v>723</v>
      </c>
      <c r="Z255" t="str">
        <f t="shared" si="5"/>
        <v>MS</v>
      </c>
      <c r="AA255" s="8"/>
      <c r="AB255">
        <f t="array" ref="AB255">_xlfn._xlws.FILTER(Projets!I$2:I$823,(Projets!A$2:A$823=A255), "")</f>
        <v>737.40000000000009</v>
      </c>
    </row>
    <row r="256" spans="1:28" x14ac:dyDescent="0.25">
      <c r="A256" s="1" t="s">
        <v>958</v>
      </c>
      <c r="B256" s="2">
        <v>41710</v>
      </c>
      <c r="C256" t="s">
        <v>959</v>
      </c>
      <c r="D256" s="1" t="s">
        <v>30</v>
      </c>
      <c r="E256" t="s">
        <v>960</v>
      </c>
      <c r="F256" t="s">
        <v>942</v>
      </c>
      <c r="G256" t="s">
        <v>961</v>
      </c>
      <c r="H256" t="s">
        <v>743</v>
      </c>
      <c r="I256">
        <v>5</v>
      </c>
      <c r="J256">
        <v>50</v>
      </c>
      <c r="K256">
        <v>11</v>
      </c>
      <c r="L256">
        <v>0.8</v>
      </c>
      <c r="M256">
        <v>50</v>
      </c>
      <c r="N256">
        <v>3000</v>
      </c>
      <c r="O256">
        <v>89</v>
      </c>
      <c r="P256">
        <v>255</v>
      </c>
      <c r="Q256">
        <v>2</v>
      </c>
      <c r="R256">
        <v>48</v>
      </c>
      <c r="S256" t="s">
        <v>176</v>
      </c>
      <c r="T256">
        <v>1005</v>
      </c>
      <c r="U256">
        <v>55</v>
      </c>
      <c r="V256" s="8" t="s">
        <v>33</v>
      </c>
      <c r="W256" t="s">
        <v>722</v>
      </c>
      <c r="X256" t="s">
        <v>745</v>
      </c>
      <c r="Z256" t="str">
        <f t="shared" si="5"/>
        <v>MS</v>
      </c>
      <c r="AA256" s="8"/>
      <c r="AB256">
        <f t="array" ref="AB256">_xlfn._xlws.FILTER(Projets!I$2:I$823,(Projets!A$2:A$823=A256), "")</f>
        <v>3627.28</v>
      </c>
    </row>
    <row r="257" spans="1:28" x14ac:dyDescent="0.25">
      <c r="A257" s="1" t="s">
        <v>962</v>
      </c>
      <c r="B257" s="2">
        <v>41740</v>
      </c>
      <c r="C257" t="s">
        <v>963</v>
      </c>
      <c r="D257" s="1" t="s">
        <v>30</v>
      </c>
      <c r="E257" t="s">
        <v>964</v>
      </c>
      <c r="F257" t="s">
        <v>965</v>
      </c>
      <c r="G257" t="s">
        <v>966</v>
      </c>
      <c r="H257" t="s">
        <v>822</v>
      </c>
      <c r="I257">
        <v>1</v>
      </c>
      <c r="J257">
        <v>44</v>
      </c>
      <c r="K257">
        <v>11</v>
      </c>
      <c r="L257">
        <v>0.8</v>
      </c>
      <c r="M257">
        <v>50</v>
      </c>
      <c r="N257">
        <v>1500</v>
      </c>
      <c r="O257">
        <v>134</v>
      </c>
      <c r="P257">
        <v>201</v>
      </c>
      <c r="Q257">
        <v>4</v>
      </c>
      <c r="R257">
        <v>60</v>
      </c>
      <c r="S257" t="s">
        <v>156</v>
      </c>
      <c r="T257">
        <v>1005</v>
      </c>
      <c r="U257">
        <v>54</v>
      </c>
      <c r="V257" s="8" t="s">
        <v>33</v>
      </c>
      <c r="W257" t="s">
        <v>722</v>
      </c>
      <c r="X257" t="s">
        <v>761</v>
      </c>
      <c r="Z257" t="str">
        <f t="shared" si="5"/>
        <v>MS</v>
      </c>
      <c r="AA257" s="8"/>
      <c r="AB257">
        <f t="array" ref="AB257">_xlfn._xlws.FILTER(Projets!I$2:I$823,(Projets!A$2:A$823=A257), "")</f>
        <v>573.95000000000005</v>
      </c>
    </row>
    <row r="258" spans="1:28" x14ac:dyDescent="0.25">
      <c r="A258" s="1" t="s">
        <v>967</v>
      </c>
      <c r="B258" s="2">
        <v>45644</v>
      </c>
      <c r="C258" t="s">
        <v>968</v>
      </c>
      <c r="D258" s="1" t="s">
        <v>30</v>
      </c>
      <c r="E258" t="s">
        <v>969</v>
      </c>
      <c r="F258" t="s">
        <v>970</v>
      </c>
      <c r="G258" t="s">
        <v>971</v>
      </c>
      <c r="H258" t="s">
        <v>817</v>
      </c>
      <c r="I258">
        <v>1</v>
      </c>
      <c r="J258">
        <v>9</v>
      </c>
      <c r="K258">
        <v>6</v>
      </c>
      <c r="L258">
        <v>0.8</v>
      </c>
      <c r="M258">
        <v>50</v>
      </c>
      <c r="N258">
        <v>1500</v>
      </c>
      <c r="O258">
        <v>104</v>
      </c>
      <c r="P258">
        <v>99</v>
      </c>
      <c r="Q258">
        <v>4</v>
      </c>
      <c r="R258">
        <v>84</v>
      </c>
      <c r="S258" t="s">
        <v>156</v>
      </c>
      <c r="T258">
        <v>1005</v>
      </c>
      <c r="U258">
        <v>54</v>
      </c>
      <c r="V258" s="8" t="s">
        <v>33</v>
      </c>
      <c r="W258" t="s">
        <v>722</v>
      </c>
      <c r="X258" t="s">
        <v>723</v>
      </c>
      <c r="Z258" t="str">
        <f t="shared" si="5"/>
        <v>MS</v>
      </c>
      <c r="AA258" s="8"/>
      <c r="AB258">
        <f t="array" ref="AB258">_xlfn._xlws.FILTER(Projets!I$2:I$823,(Projets!A$2:A$823=A258), "")</f>
        <v>311.5</v>
      </c>
    </row>
    <row r="259" spans="1:28" x14ac:dyDescent="0.25">
      <c r="A259" s="1" t="s">
        <v>972</v>
      </c>
      <c r="B259" s="2">
        <v>41782</v>
      </c>
      <c r="C259" t="s">
        <v>973</v>
      </c>
      <c r="D259" s="1" t="s">
        <v>341</v>
      </c>
      <c r="E259" t="s">
        <v>109</v>
      </c>
      <c r="F259" t="s">
        <v>974</v>
      </c>
      <c r="G259" t="s">
        <v>975</v>
      </c>
      <c r="I259">
        <v>2</v>
      </c>
      <c r="J259">
        <v>7</v>
      </c>
      <c r="K259">
        <v>11</v>
      </c>
      <c r="L259">
        <v>0.9</v>
      </c>
      <c r="M259">
        <v>50</v>
      </c>
      <c r="N259">
        <v>500</v>
      </c>
      <c r="O259">
        <v>141</v>
      </c>
      <c r="P259">
        <v>129</v>
      </c>
      <c r="Q259">
        <v>12</v>
      </c>
      <c r="R259">
        <v>144</v>
      </c>
      <c r="S259" t="s">
        <v>156</v>
      </c>
      <c r="T259">
        <v>1101</v>
      </c>
      <c r="U259">
        <v>44</v>
      </c>
      <c r="V259" s="8" t="s">
        <v>33</v>
      </c>
      <c r="W259" t="s">
        <v>722</v>
      </c>
      <c r="X259" t="s">
        <v>723</v>
      </c>
      <c r="Z259" t="str">
        <f t="shared" si="5"/>
        <v>MS</v>
      </c>
      <c r="AA259" s="8"/>
      <c r="AB259">
        <f t="array" ref="AB259">_xlfn._xlws.FILTER(Projets!I$2:I$823,(Projets!A$2:A$823=A259), "")</f>
        <v>118.5</v>
      </c>
    </row>
    <row r="260" spans="1:28" x14ac:dyDescent="0.25">
      <c r="A260" s="1" t="s">
        <v>972</v>
      </c>
      <c r="B260" s="2">
        <v>41782</v>
      </c>
      <c r="C260" t="s">
        <v>973</v>
      </c>
      <c r="D260" s="1" t="s">
        <v>145</v>
      </c>
      <c r="E260" t="s">
        <v>109</v>
      </c>
      <c r="F260" t="s">
        <v>974</v>
      </c>
      <c r="G260" t="s">
        <v>976</v>
      </c>
      <c r="I260">
        <v>2</v>
      </c>
      <c r="J260">
        <v>14</v>
      </c>
      <c r="K260">
        <v>11</v>
      </c>
      <c r="L260">
        <v>0.9</v>
      </c>
      <c r="M260">
        <v>50</v>
      </c>
      <c r="N260">
        <v>500</v>
      </c>
      <c r="O260">
        <v>176</v>
      </c>
      <c r="P260">
        <v>129</v>
      </c>
      <c r="Q260">
        <v>12</v>
      </c>
      <c r="R260">
        <v>144</v>
      </c>
      <c r="S260" t="s">
        <v>156</v>
      </c>
      <c r="T260">
        <v>1101</v>
      </c>
      <c r="U260">
        <v>44</v>
      </c>
      <c r="V260" s="8" t="s">
        <v>33</v>
      </c>
      <c r="W260" t="s">
        <v>722</v>
      </c>
      <c r="X260" t="s">
        <v>723</v>
      </c>
      <c r="Z260" t="str">
        <f t="shared" si="5"/>
        <v>MS</v>
      </c>
      <c r="AA260" s="8"/>
      <c r="AB260">
        <f t="array" ref="AB260">_xlfn._xlws.FILTER(Projets!I$2:I$823,(Projets!A$2:A$823=A260), "")</f>
        <v>118.5</v>
      </c>
    </row>
    <row r="261" spans="1:28" x14ac:dyDescent="0.25">
      <c r="A261" s="1" t="s">
        <v>972</v>
      </c>
      <c r="B261" s="2">
        <v>41823</v>
      </c>
      <c r="C261" t="s">
        <v>973</v>
      </c>
      <c r="D261" s="1" t="s">
        <v>30</v>
      </c>
      <c r="E261" t="s">
        <v>109</v>
      </c>
      <c r="F261" t="s">
        <v>974</v>
      </c>
      <c r="G261" t="s">
        <v>976</v>
      </c>
      <c r="I261">
        <v>2</v>
      </c>
      <c r="J261">
        <v>14</v>
      </c>
      <c r="K261">
        <v>11</v>
      </c>
      <c r="L261">
        <v>0.9</v>
      </c>
      <c r="M261">
        <v>50</v>
      </c>
      <c r="N261">
        <v>500</v>
      </c>
      <c r="O261">
        <v>176</v>
      </c>
      <c r="P261">
        <v>129</v>
      </c>
      <c r="Q261">
        <v>12</v>
      </c>
      <c r="R261">
        <v>144</v>
      </c>
      <c r="S261" t="s">
        <v>156</v>
      </c>
      <c r="T261">
        <v>1101</v>
      </c>
      <c r="U261">
        <v>44</v>
      </c>
      <c r="V261" s="8" t="s">
        <v>33</v>
      </c>
      <c r="W261" t="s">
        <v>722</v>
      </c>
      <c r="X261" t="s">
        <v>723</v>
      </c>
      <c r="Z261" t="str">
        <f t="shared" si="5"/>
        <v>MS</v>
      </c>
      <c r="AA261" s="8"/>
      <c r="AB261">
        <f t="array" ref="AB261">_xlfn._xlws.FILTER(Projets!I$2:I$823,(Projets!A$2:A$823=A261), "")</f>
        <v>118.5</v>
      </c>
    </row>
    <row r="262" spans="1:28" x14ac:dyDescent="0.25">
      <c r="A262" s="1" t="s">
        <v>977</v>
      </c>
      <c r="B262" s="2">
        <v>41914</v>
      </c>
      <c r="C262" t="s">
        <v>978</v>
      </c>
      <c r="D262" s="1" t="s">
        <v>30</v>
      </c>
      <c r="E262" t="s">
        <v>969</v>
      </c>
      <c r="F262" t="s">
        <v>970</v>
      </c>
      <c r="G262" t="s">
        <v>979</v>
      </c>
      <c r="H262" t="s">
        <v>967</v>
      </c>
      <c r="I262">
        <v>1</v>
      </c>
      <c r="J262">
        <v>11.25</v>
      </c>
      <c r="K262">
        <v>6</v>
      </c>
      <c r="L262">
        <v>0.8</v>
      </c>
      <c r="M262">
        <v>50</v>
      </c>
      <c r="N262">
        <v>1500</v>
      </c>
      <c r="O262">
        <v>103</v>
      </c>
      <c r="P262">
        <v>99</v>
      </c>
      <c r="Q262">
        <v>4</v>
      </c>
      <c r="R262">
        <v>84</v>
      </c>
      <c r="S262" t="s">
        <v>176</v>
      </c>
      <c r="T262">
        <v>1005</v>
      </c>
      <c r="U262">
        <v>54</v>
      </c>
      <c r="V262" s="8" t="s">
        <v>33</v>
      </c>
      <c r="W262" t="s">
        <v>722</v>
      </c>
      <c r="X262" t="s">
        <v>723</v>
      </c>
      <c r="Z262" t="str">
        <f t="shared" si="5"/>
        <v>MS</v>
      </c>
      <c r="AA262" s="8"/>
      <c r="AB262">
        <f t="array" ref="AB262">_xlfn._xlws.FILTER(Projets!I$2:I$823,(Projets!A$2:A$823=A262), "")</f>
        <v>134.5</v>
      </c>
    </row>
    <row r="263" spans="1:28" x14ac:dyDescent="0.25">
      <c r="A263" s="1" t="s">
        <v>980</v>
      </c>
      <c r="B263" s="2">
        <v>41872</v>
      </c>
      <c r="C263" t="s">
        <v>981</v>
      </c>
      <c r="D263" s="1" t="s">
        <v>30</v>
      </c>
      <c r="E263" t="s">
        <v>982</v>
      </c>
      <c r="F263" t="s">
        <v>982</v>
      </c>
      <c r="G263" t="s">
        <v>880</v>
      </c>
      <c r="I263">
        <v>2</v>
      </c>
      <c r="J263">
        <v>6</v>
      </c>
      <c r="K263">
        <v>6</v>
      </c>
      <c r="L263">
        <v>0.8</v>
      </c>
      <c r="M263">
        <v>50</v>
      </c>
      <c r="N263">
        <v>600</v>
      </c>
      <c r="O263">
        <v>123</v>
      </c>
      <c r="P263">
        <v>94</v>
      </c>
      <c r="Q263">
        <v>10</v>
      </c>
      <c r="R263">
        <v>120</v>
      </c>
      <c r="S263" t="s">
        <v>176</v>
      </c>
      <c r="T263">
        <v>7301</v>
      </c>
      <c r="U263">
        <v>54</v>
      </c>
      <c r="V263" s="8" t="s">
        <v>33</v>
      </c>
      <c r="W263" t="s">
        <v>722</v>
      </c>
      <c r="X263" t="s">
        <v>723</v>
      </c>
      <c r="Z263" t="str">
        <f t="shared" si="5"/>
        <v>MS</v>
      </c>
      <c r="AA263" s="8"/>
      <c r="AB263">
        <f t="array" ref="AB263">_xlfn._xlws.FILTER(Projets!I$2:I$823,(Projets!A$2:A$823=A263), "")</f>
        <v>1881.47</v>
      </c>
    </row>
    <row r="264" spans="1:28" x14ac:dyDescent="0.25">
      <c r="A264" s="1" t="s">
        <v>983</v>
      </c>
      <c r="B264" s="2">
        <v>41900</v>
      </c>
      <c r="C264" t="s">
        <v>984</v>
      </c>
      <c r="D264" s="1" t="s">
        <v>30</v>
      </c>
      <c r="E264" t="s">
        <v>875</v>
      </c>
      <c r="F264" t="s">
        <v>875</v>
      </c>
      <c r="G264" t="s">
        <v>985</v>
      </c>
      <c r="I264">
        <v>4</v>
      </c>
      <c r="J264">
        <v>2.496</v>
      </c>
      <c r="K264">
        <v>6.6</v>
      </c>
      <c r="L264">
        <v>0.8</v>
      </c>
      <c r="M264">
        <v>50</v>
      </c>
      <c r="N264">
        <v>1000</v>
      </c>
      <c r="O264">
        <v>71</v>
      </c>
      <c r="P264">
        <v>94</v>
      </c>
      <c r="Q264">
        <v>6</v>
      </c>
      <c r="R264">
        <v>72</v>
      </c>
      <c r="S264" t="s">
        <v>69</v>
      </c>
      <c r="T264">
        <v>1001</v>
      </c>
      <c r="U264">
        <v>23</v>
      </c>
      <c r="V264" s="8" t="s">
        <v>33</v>
      </c>
      <c r="W264" t="s">
        <v>722</v>
      </c>
      <c r="X264" t="s">
        <v>723</v>
      </c>
      <c r="Z264" t="str">
        <f t="shared" si="5"/>
        <v>MS</v>
      </c>
      <c r="AA264" s="8"/>
      <c r="AB264">
        <f t="array" ref="AB264">_xlfn._xlws.FILTER(Projets!I$2:I$823,(Projets!A$2:A$823=A264), "")</f>
        <v>327.55</v>
      </c>
    </row>
    <row r="265" spans="1:28" x14ac:dyDescent="0.25">
      <c r="A265" s="1" t="s">
        <v>986</v>
      </c>
      <c r="B265" s="2">
        <v>41989</v>
      </c>
      <c r="C265" t="s">
        <v>987</v>
      </c>
      <c r="D265" s="1" t="s">
        <v>30</v>
      </c>
      <c r="E265" t="s">
        <v>988</v>
      </c>
      <c r="F265" t="s">
        <v>988</v>
      </c>
      <c r="G265" t="s">
        <v>989</v>
      </c>
      <c r="H265" t="s">
        <v>990</v>
      </c>
      <c r="I265">
        <v>1</v>
      </c>
      <c r="J265">
        <v>7</v>
      </c>
      <c r="K265">
        <v>4</v>
      </c>
      <c r="L265">
        <v>1</v>
      </c>
      <c r="M265">
        <v>60</v>
      </c>
      <c r="N265">
        <v>450</v>
      </c>
      <c r="O265">
        <v>223</v>
      </c>
      <c r="P265">
        <v>103</v>
      </c>
      <c r="Q265">
        <v>16</v>
      </c>
      <c r="R265">
        <v>216</v>
      </c>
      <c r="S265">
        <v>1</v>
      </c>
      <c r="T265">
        <v>7101</v>
      </c>
      <c r="U265">
        <v>23</v>
      </c>
      <c r="V265" s="8" t="s">
        <v>33</v>
      </c>
      <c r="W265" t="s">
        <v>722</v>
      </c>
      <c r="X265" t="s">
        <v>723</v>
      </c>
      <c r="Z265" t="str">
        <f t="shared" si="5"/>
        <v>MS</v>
      </c>
      <c r="AA265" s="8"/>
      <c r="AB265">
        <f t="array" ref="AB265">_xlfn._xlws.FILTER(Projets!I$2:I$823,(Projets!A$2:A$823=A265), "")</f>
        <v>1449.2</v>
      </c>
    </row>
    <row r="266" spans="1:28" x14ac:dyDescent="0.25">
      <c r="A266" s="1" t="s">
        <v>991</v>
      </c>
      <c r="B266" s="2">
        <v>41971</v>
      </c>
      <c r="C266" t="s">
        <v>992</v>
      </c>
      <c r="D266" s="1" t="s">
        <v>145</v>
      </c>
      <c r="E266" t="s">
        <v>215</v>
      </c>
      <c r="F266" t="s">
        <v>216</v>
      </c>
      <c r="G266" t="s">
        <v>993</v>
      </c>
      <c r="I266">
        <v>2</v>
      </c>
      <c r="J266">
        <v>19</v>
      </c>
      <c r="K266">
        <v>11</v>
      </c>
      <c r="L266">
        <v>0.85</v>
      </c>
      <c r="M266">
        <v>60</v>
      </c>
      <c r="N266">
        <v>600</v>
      </c>
      <c r="O266">
        <v>196</v>
      </c>
      <c r="P266">
        <v>124</v>
      </c>
      <c r="Q266">
        <v>12</v>
      </c>
      <c r="R266">
        <v>144</v>
      </c>
      <c r="S266" t="s">
        <v>176</v>
      </c>
      <c r="T266">
        <v>1101</v>
      </c>
      <c r="U266">
        <v>54</v>
      </c>
      <c r="V266" s="8" t="s">
        <v>33</v>
      </c>
      <c r="W266" t="s">
        <v>722</v>
      </c>
      <c r="X266" t="s">
        <v>723</v>
      </c>
      <c r="Z266" t="str">
        <f t="shared" si="5"/>
        <v>MS</v>
      </c>
      <c r="AA266" s="8"/>
      <c r="AB266">
        <f t="array" ref="AB266">_xlfn._xlws.FILTER(Projets!I$2:I$823,(Projets!A$2:A$823=A266), "")</f>
        <v>1745.12</v>
      </c>
    </row>
    <row r="267" spans="1:28" x14ac:dyDescent="0.25">
      <c r="A267" s="1" t="s">
        <v>991</v>
      </c>
      <c r="B267" s="2">
        <v>41971</v>
      </c>
      <c r="C267" t="s">
        <v>994</v>
      </c>
      <c r="D267" s="1" t="s">
        <v>30</v>
      </c>
      <c r="E267" t="s">
        <v>215</v>
      </c>
      <c r="F267" t="s">
        <v>216</v>
      </c>
      <c r="G267" t="s">
        <v>995</v>
      </c>
      <c r="I267">
        <v>2</v>
      </c>
      <c r="J267">
        <v>14</v>
      </c>
      <c r="K267">
        <v>11</v>
      </c>
      <c r="L267">
        <v>0.85</v>
      </c>
      <c r="M267">
        <v>60</v>
      </c>
      <c r="N267">
        <v>600</v>
      </c>
      <c r="O267">
        <v>177</v>
      </c>
      <c r="P267">
        <v>109</v>
      </c>
      <c r="Q267">
        <v>12</v>
      </c>
      <c r="R267">
        <v>144</v>
      </c>
      <c r="S267" t="s">
        <v>176</v>
      </c>
      <c r="T267">
        <v>1101</v>
      </c>
      <c r="U267">
        <v>54</v>
      </c>
      <c r="V267" s="8" t="s">
        <v>33</v>
      </c>
      <c r="W267" t="s">
        <v>722</v>
      </c>
      <c r="X267" t="s">
        <v>723</v>
      </c>
      <c r="Z267" t="str">
        <f t="shared" si="5"/>
        <v>MS</v>
      </c>
      <c r="AA267" s="8"/>
      <c r="AB267">
        <f t="array" ref="AB267">_xlfn._xlws.FILTER(Projets!I$2:I$823,(Projets!A$2:A$823=A267), "")</f>
        <v>1745.12</v>
      </c>
    </row>
    <row r="268" spans="1:28" x14ac:dyDescent="0.25">
      <c r="A268" s="1" t="s">
        <v>996</v>
      </c>
      <c r="B268" s="2">
        <v>42051</v>
      </c>
      <c r="C268" t="s">
        <v>997</v>
      </c>
      <c r="D268" s="1" t="s">
        <v>30</v>
      </c>
      <c r="E268" t="s">
        <v>879</v>
      </c>
      <c r="F268" t="s">
        <v>998</v>
      </c>
      <c r="G268" t="s">
        <v>999</v>
      </c>
      <c r="I268">
        <v>1</v>
      </c>
      <c r="J268">
        <v>4</v>
      </c>
      <c r="K268">
        <v>6.6</v>
      </c>
      <c r="L268">
        <v>0.8</v>
      </c>
      <c r="M268">
        <v>60</v>
      </c>
      <c r="N268">
        <v>600</v>
      </c>
      <c r="O268">
        <v>127</v>
      </c>
      <c r="P268">
        <v>114</v>
      </c>
      <c r="Q268">
        <v>12</v>
      </c>
      <c r="R268">
        <v>108</v>
      </c>
      <c r="S268" t="s">
        <v>176</v>
      </c>
      <c r="T268">
        <v>1001</v>
      </c>
      <c r="U268">
        <v>44</v>
      </c>
      <c r="V268" s="8" t="s">
        <v>33</v>
      </c>
      <c r="W268" t="s">
        <v>722</v>
      </c>
      <c r="X268" t="s">
        <v>723</v>
      </c>
      <c r="Z268" t="str">
        <f t="shared" si="5"/>
        <v>MS</v>
      </c>
      <c r="AA268" s="8"/>
      <c r="AB268">
        <f t="array" ref="AB268">_xlfn._xlws.FILTER(Projets!I$2:I$823,(Projets!A$2:A$823=A268), "")</f>
        <v>432.35</v>
      </c>
    </row>
    <row r="269" spans="1:28" x14ac:dyDescent="0.25">
      <c r="A269" s="1" t="s">
        <v>1000</v>
      </c>
      <c r="B269" s="2">
        <v>42618</v>
      </c>
      <c r="C269" t="s">
        <v>1001</v>
      </c>
      <c r="D269" s="1" t="s">
        <v>145</v>
      </c>
      <c r="E269" t="s">
        <v>1002</v>
      </c>
      <c r="F269" t="s">
        <v>1002</v>
      </c>
      <c r="G269" t="s">
        <v>1003</v>
      </c>
      <c r="H269" t="s">
        <v>1000</v>
      </c>
      <c r="I269">
        <v>1</v>
      </c>
      <c r="J269">
        <v>1.665</v>
      </c>
      <c r="K269">
        <v>2</v>
      </c>
      <c r="L269">
        <v>0.9</v>
      </c>
      <c r="M269">
        <v>50</v>
      </c>
      <c r="N269">
        <v>500</v>
      </c>
      <c r="O269">
        <v>100</v>
      </c>
      <c r="P269">
        <v>79</v>
      </c>
      <c r="Q269">
        <v>12</v>
      </c>
      <c r="R269">
        <v>144</v>
      </c>
      <c r="S269" t="s">
        <v>69</v>
      </c>
      <c r="T269">
        <v>1001</v>
      </c>
      <c r="U269">
        <v>54</v>
      </c>
      <c r="V269" s="8" t="s">
        <v>33</v>
      </c>
      <c r="W269" t="s">
        <v>722</v>
      </c>
      <c r="X269" t="s">
        <v>723</v>
      </c>
      <c r="Z269" t="str">
        <f t="shared" si="5"/>
        <v>MS</v>
      </c>
      <c r="AA269" s="8"/>
      <c r="AB269">
        <f t="array" ref="AB269">_xlfn._xlws.FILTER(Projets!I$2:I$823,(Projets!A$2:A$823=A269), "")</f>
        <v>1066.3</v>
      </c>
    </row>
    <row r="270" spans="1:28" x14ac:dyDescent="0.25">
      <c r="A270" s="1" t="s">
        <v>1000</v>
      </c>
      <c r="B270" s="2">
        <v>42157</v>
      </c>
      <c r="C270" t="s">
        <v>1004</v>
      </c>
      <c r="D270" s="1" t="s">
        <v>30</v>
      </c>
      <c r="E270" t="s">
        <v>1005</v>
      </c>
      <c r="F270" t="s">
        <v>1006</v>
      </c>
      <c r="G270" t="s">
        <v>1007</v>
      </c>
      <c r="I270">
        <v>1</v>
      </c>
      <c r="J270">
        <v>1.665</v>
      </c>
      <c r="K270">
        <v>2</v>
      </c>
      <c r="L270">
        <v>0.9</v>
      </c>
      <c r="M270">
        <v>50</v>
      </c>
      <c r="N270">
        <v>500</v>
      </c>
      <c r="O270">
        <v>80</v>
      </c>
      <c r="P270">
        <v>109</v>
      </c>
      <c r="Q270">
        <v>12</v>
      </c>
      <c r="R270">
        <v>72</v>
      </c>
      <c r="S270">
        <v>1</v>
      </c>
      <c r="T270">
        <v>1001</v>
      </c>
      <c r="U270">
        <v>23</v>
      </c>
      <c r="V270" s="8" t="s">
        <v>33</v>
      </c>
      <c r="W270" t="s">
        <v>722</v>
      </c>
      <c r="X270" t="s">
        <v>723</v>
      </c>
      <c r="Z270" t="str">
        <f t="shared" si="5"/>
        <v>MS</v>
      </c>
      <c r="AA270" s="8"/>
      <c r="AB270">
        <f t="array" ref="AB270">_xlfn._xlws.FILTER(Projets!I$2:I$823,(Projets!A$2:A$823=A270), "")</f>
        <v>1066.3</v>
      </c>
    </row>
    <row r="271" spans="1:28" x14ac:dyDescent="0.25">
      <c r="A271" s="1" t="s">
        <v>1008</v>
      </c>
      <c r="B271" s="2">
        <v>42171</v>
      </c>
      <c r="C271" t="s">
        <v>1009</v>
      </c>
      <c r="D271" s="1" t="s">
        <v>30</v>
      </c>
      <c r="E271" t="s">
        <v>1010</v>
      </c>
      <c r="F271" t="s">
        <v>1011</v>
      </c>
      <c r="G271" t="s">
        <v>1012</v>
      </c>
      <c r="H271" t="s">
        <v>770</v>
      </c>
      <c r="I271">
        <v>1</v>
      </c>
      <c r="J271">
        <v>40</v>
      </c>
      <c r="K271">
        <v>13.8</v>
      </c>
      <c r="L271">
        <v>0.8</v>
      </c>
      <c r="M271">
        <v>60</v>
      </c>
      <c r="N271">
        <v>3600</v>
      </c>
      <c r="O271">
        <v>84</v>
      </c>
      <c r="P271">
        <v>190</v>
      </c>
      <c r="Q271">
        <v>2</v>
      </c>
      <c r="R271">
        <v>72</v>
      </c>
      <c r="S271" t="s">
        <v>156</v>
      </c>
      <c r="T271">
        <v>1005</v>
      </c>
      <c r="U271">
        <v>54</v>
      </c>
      <c r="V271" s="8" t="s">
        <v>33</v>
      </c>
      <c r="W271" t="s">
        <v>722</v>
      </c>
      <c r="Z271" t="str">
        <f t="shared" si="5"/>
        <v>MS</v>
      </c>
      <c r="AA271" s="8"/>
      <c r="AB271">
        <f t="array" ref="AB271">_xlfn._xlws.FILTER(Projets!I$2:I$823,(Projets!A$2:A$823=A271), "")</f>
        <v>1617.22</v>
      </c>
    </row>
    <row r="272" spans="1:28" x14ac:dyDescent="0.25">
      <c r="A272" s="1" t="s">
        <v>1013</v>
      </c>
      <c r="B272" s="2">
        <v>42192</v>
      </c>
      <c r="C272" t="s">
        <v>1014</v>
      </c>
      <c r="D272" s="1" t="s">
        <v>30</v>
      </c>
      <c r="E272" t="s">
        <v>1015</v>
      </c>
      <c r="F272" t="s">
        <v>1016</v>
      </c>
      <c r="G272" t="s">
        <v>1017</v>
      </c>
      <c r="H272" t="s">
        <v>962</v>
      </c>
      <c r="I272">
        <v>1</v>
      </c>
      <c r="J272">
        <v>41.65</v>
      </c>
      <c r="K272">
        <v>11</v>
      </c>
      <c r="L272">
        <v>0.85</v>
      </c>
      <c r="M272">
        <v>50</v>
      </c>
      <c r="N272">
        <v>1500</v>
      </c>
      <c r="O272">
        <v>135</v>
      </c>
      <c r="P272">
        <v>201</v>
      </c>
      <c r="Q272">
        <v>4</v>
      </c>
      <c r="R272">
        <v>72</v>
      </c>
      <c r="S272" t="s">
        <v>156</v>
      </c>
      <c r="T272">
        <v>1005</v>
      </c>
      <c r="U272">
        <v>54</v>
      </c>
      <c r="V272" s="8" t="s">
        <v>33</v>
      </c>
      <c r="W272" t="s">
        <v>722</v>
      </c>
      <c r="X272" t="s">
        <v>761</v>
      </c>
      <c r="Z272" t="str">
        <f t="shared" si="5"/>
        <v>MS</v>
      </c>
      <c r="AA272" s="8"/>
      <c r="AB272">
        <f t="array" ref="AB272">_xlfn._xlws.FILTER(Projets!I$2:I$823,(Projets!A$2:A$823=A272), "")</f>
        <v>621.34999999999991</v>
      </c>
    </row>
    <row r="273" spans="1:28" x14ac:dyDescent="0.25">
      <c r="A273" s="1" t="s">
        <v>1018</v>
      </c>
      <c r="B273" s="2">
        <v>42241</v>
      </c>
      <c r="C273" t="s">
        <v>1019</v>
      </c>
      <c r="D273" s="1" t="s">
        <v>30</v>
      </c>
      <c r="E273" t="s">
        <v>1020</v>
      </c>
      <c r="F273" t="s">
        <v>1021</v>
      </c>
      <c r="G273" t="s">
        <v>1022</v>
      </c>
      <c r="H273" t="s">
        <v>944</v>
      </c>
      <c r="I273">
        <v>1</v>
      </c>
      <c r="J273">
        <v>21</v>
      </c>
      <c r="K273">
        <v>11</v>
      </c>
      <c r="L273">
        <v>0.8</v>
      </c>
      <c r="M273">
        <v>50</v>
      </c>
      <c r="N273">
        <v>1500</v>
      </c>
      <c r="O273">
        <v>130</v>
      </c>
      <c r="P273">
        <v>129</v>
      </c>
      <c r="Q273">
        <v>4</v>
      </c>
      <c r="R273">
        <v>84</v>
      </c>
      <c r="S273" t="s">
        <v>176</v>
      </c>
      <c r="T273">
        <v>1005</v>
      </c>
      <c r="U273">
        <v>54</v>
      </c>
      <c r="V273" s="8" t="s">
        <v>33</v>
      </c>
      <c r="W273" t="s">
        <v>722</v>
      </c>
      <c r="X273" t="s">
        <v>723</v>
      </c>
      <c r="Z273" t="str">
        <f t="shared" si="5"/>
        <v>MS</v>
      </c>
      <c r="AA273" s="8"/>
      <c r="AB273">
        <f t="array" ref="AB273">_xlfn._xlws.FILTER(Projets!I$2:I$823,(Projets!A$2:A$823=A273), "")</f>
        <v>651</v>
      </c>
    </row>
    <row r="274" spans="1:28" x14ac:dyDescent="0.25">
      <c r="A274" s="1" t="s">
        <v>1023</v>
      </c>
      <c r="B274" s="2">
        <v>42383</v>
      </c>
      <c r="C274" t="s">
        <v>1024</v>
      </c>
      <c r="D274" s="1" t="s">
        <v>30</v>
      </c>
      <c r="E274" t="s">
        <v>1025</v>
      </c>
      <c r="F274" t="s">
        <v>1025</v>
      </c>
      <c r="G274" t="s">
        <v>1026</v>
      </c>
      <c r="I274">
        <v>1</v>
      </c>
      <c r="J274">
        <v>15</v>
      </c>
      <c r="K274">
        <v>6.6</v>
      </c>
      <c r="L274">
        <v>0.8</v>
      </c>
      <c r="M274">
        <v>50</v>
      </c>
      <c r="N274">
        <v>1500</v>
      </c>
      <c r="O274">
        <v>116</v>
      </c>
      <c r="P274">
        <v>109</v>
      </c>
      <c r="Q274">
        <v>4</v>
      </c>
      <c r="R274">
        <v>72</v>
      </c>
      <c r="S274" t="s">
        <v>176</v>
      </c>
      <c r="T274">
        <v>1001</v>
      </c>
      <c r="U274">
        <v>54</v>
      </c>
      <c r="V274" s="8" t="s">
        <v>33</v>
      </c>
      <c r="W274" t="s">
        <v>722</v>
      </c>
      <c r="X274" t="s">
        <v>723</v>
      </c>
      <c r="Z274" t="str">
        <f t="shared" si="5"/>
        <v>MS</v>
      </c>
      <c r="AA274" s="8"/>
      <c r="AB274">
        <f t="array" ref="AB274">_xlfn._xlws.FILTER(Projets!I$2:I$823,(Projets!A$2:A$823=A274), "")</f>
        <v>1890.54</v>
      </c>
    </row>
    <row r="275" spans="1:28" x14ac:dyDescent="0.25">
      <c r="A275" s="1" t="s">
        <v>1027</v>
      </c>
      <c r="B275" s="2">
        <v>42655</v>
      </c>
      <c r="C275" t="s">
        <v>1028</v>
      </c>
      <c r="D275" s="1" t="s">
        <v>187</v>
      </c>
      <c r="E275" t="s">
        <v>86</v>
      </c>
      <c r="F275" t="s">
        <v>1029</v>
      </c>
      <c r="G275" t="s">
        <v>1030</v>
      </c>
      <c r="H275" t="s">
        <v>1031</v>
      </c>
      <c r="I275">
        <v>1</v>
      </c>
      <c r="J275">
        <v>6.5430000000000001</v>
      </c>
      <c r="K275">
        <v>11</v>
      </c>
      <c r="L275">
        <v>0.9</v>
      </c>
      <c r="M275">
        <v>60</v>
      </c>
      <c r="N275">
        <v>720</v>
      </c>
      <c r="O275">
        <v>124</v>
      </c>
      <c r="P275">
        <v>94</v>
      </c>
      <c r="Q275">
        <v>10</v>
      </c>
      <c r="R275">
        <v>120</v>
      </c>
      <c r="S275" t="s">
        <v>176</v>
      </c>
      <c r="T275">
        <v>1101</v>
      </c>
      <c r="U275">
        <v>56</v>
      </c>
      <c r="V275" s="8" t="s">
        <v>33</v>
      </c>
      <c r="W275" t="s">
        <v>722</v>
      </c>
      <c r="X275" t="s">
        <v>723</v>
      </c>
      <c r="Z275" t="str">
        <f t="shared" ref="Z275:Z306" si="6">IF(MID(A275, 2, 1)="M", "MIL", IF(MID(A275, 2, 1)="N", "NUC", "MS"))</f>
        <v>MS</v>
      </c>
      <c r="AA275" s="8"/>
      <c r="AB275">
        <f t="array" ref="AB275">_xlfn._xlws.FILTER(Projets!I$2:I$823,(Projets!A$2:A$823=A275), "")</f>
        <v>3775.25</v>
      </c>
    </row>
    <row r="276" spans="1:28" x14ac:dyDescent="0.25">
      <c r="A276" s="1" t="s">
        <v>1027</v>
      </c>
      <c r="B276" s="2">
        <v>42402</v>
      </c>
      <c r="C276" t="s">
        <v>1032</v>
      </c>
      <c r="D276" s="1" t="s">
        <v>145</v>
      </c>
      <c r="E276" t="s">
        <v>1033</v>
      </c>
      <c r="F276" t="s">
        <v>1029</v>
      </c>
      <c r="G276" t="s">
        <v>1034</v>
      </c>
      <c r="H276" t="s">
        <v>1035</v>
      </c>
      <c r="I276">
        <v>2</v>
      </c>
      <c r="J276">
        <v>14.108000000000001</v>
      </c>
      <c r="K276">
        <v>11</v>
      </c>
      <c r="L276">
        <v>0.9</v>
      </c>
      <c r="M276">
        <v>60</v>
      </c>
      <c r="N276">
        <v>600</v>
      </c>
      <c r="O276">
        <v>177</v>
      </c>
      <c r="P276">
        <v>109</v>
      </c>
      <c r="Q276">
        <v>12</v>
      </c>
      <c r="R276">
        <v>144</v>
      </c>
      <c r="S276" t="s">
        <v>176</v>
      </c>
      <c r="T276">
        <v>1101</v>
      </c>
      <c r="U276">
        <v>44</v>
      </c>
      <c r="V276" s="8" t="s">
        <v>33</v>
      </c>
      <c r="W276" t="s">
        <v>722</v>
      </c>
      <c r="X276" t="s">
        <v>723</v>
      </c>
      <c r="Z276" t="str">
        <f t="shared" si="6"/>
        <v>MS</v>
      </c>
      <c r="AA276" s="8"/>
      <c r="AB276">
        <f t="array" ref="AB276">_xlfn._xlws.FILTER(Projets!I$2:I$823,(Projets!A$2:A$823=A276), "")</f>
        <v>3775.25</v>
      </c>
    </row>
    <row r="277" spans="1:28" x14ac:dyDescent="0.25">
      <c r="A277" s="1" t="s">
        <v>1027</v>
      </c>
      <c r="B277" s="2">
        <v>42402</v>
      </c>
      <c r="C277" t="s">
        <v>1032</v>
      </c>
      <c r="D277" s="1" t="s">
        <v>30</v>
      </c>
      <c r="E277" t="s">
        <v>1033</v>
      </c>
      <c r="F277" t="s">
        <v>1029</v>
      </c>
      <c r="G277" t="s">
        <v>1036</v>
      </c>
      <c r="I277">
        <v>2</v>
      </c>
      <c r="J277">
        <v>9.3810000000000002</v>
      </c>
      <c r="K277">
        <v>11</v>
      </c>
      <c r="L277">
        <v>0.9</v>
      </c>
      <c r="M277">
        <v>60</v>
      </c>
      <c r="N277">
        <v>600</v>
      </c>
      <c r="O277">
        <v>142</v>
      </c>
      <c r="P277">
        <v>119</v>
      </c>
      <c r="Q277">
        <v>12</v>
      </c>
      <c r="R277">
        <v>144</v>
      </c>
      <c r="S277" t="s">
        <v>176</v>
      </c>
      <c r="T277">
        <v>1101</v>
      </c>
      <c r="U277">
        <v>44</v>
      </c>
      <c r="V277" s="8" t="s">
        <v>33</v>
      </c>
      <c r="W277" t="s">
        <v>722</v>
      </c>
      <c r="X277" t="s">
        <v>723</v>
      </c>
      <c r="Z277" t="str">
        <f t="shared" si="6"/>
        <v>MS</v>
      </c>
      <c r="AA277" s="8"/>
      <c r="AB277">
        <f t="array" ref="AB277">_xlfn._xlws.FILTER(Projets!I$2:I$823,(Projets!A$2:A$823=A277), "")</f>
        <v>3775.25</v>
      </c>
    </row>
    <row r="278" spans="1:28" x14ac:dyDescent="0.25">
      <c r="A278" s="1" t="s">
        <v>1037</v>
      </c>
      <c r="B278" s="2">
        <v>42433</v>
      </c>
      <c r="C278" t="s">
        <v>1038</v>
      </c>
      <c r="D278" s="1" t="s">
        <v>30</v>
      </c>
      <c r="E278" t="s">
        <v>1039</v>
      </c>
      <c r="F278" t="s">
        <v>1040</v>
      </c>
      <c r="G278" t="s">
        <v>1041</v>
      </c>
      <c r="I278">
        <v>1</v>
      </c>
      <c r="J278">
        <v>7</v>
      </c>
      <c r="K278">
        <v>6</v>
      </c>
      <c r="L278">
        <v>0.8</v>
      </c>
      <c r="M278">
        <v>50</v>
      </c>
      <c r="N278">
        <v>1500</v>
      </c>
      <c r="O278">
        <v>92</v>
      </c>
      <c r="P278">
        <v>99</v>
      </c>
      <c r="Q278">
        <v>4</v>
      </c>
      <c r="R278">
        <v>84</v>
      </c>
      <c r="S278" t="s">
        <v>156</v>
      </c>
      <c r="T278">
        <v>1001</v>
      </c>
      <c r="U278">
        <v>54</v>
      </c>
      <c r="V278" s="8" t="s">
        <v>33</v>
      </c>
      <c r="W278" t="s">
        <v>722</v>
      </c>
      <c r="X278" t="s">
        <v>723</v>
      </c>
      <c r="Z278" t="str">
        <f t="shared" si="6"/>
        <v>MS</v>
      </c>
      <c r="AA278" s="8"/>
      <c r="AB278">
        <f t="array" ref="AB278">_xlfn._xlws.FILTER(Projets!I$2:I$823,(Projets!A$2:A$823=A278), "")</f>
        <v>223.55</v>
      </c>
    </row>
    <row r="279" spans="1:28" x14ac:dyDescent="0.25">
      <c r="A279" s="1" t="s">
        <v>1042</v>
      </c>
      <c r="B279" s="2">
        <v>42640</v>
      </c>
      <c r="C279" t="s">
        <v>1043</v>
      </c>
      <c r="D279" s="1" t="s">
        <v>30</v>
      </c>
      <c r="E279" t="s">
        <v>1044</v>
      </c>
      <c r="F279" t="s">
        <v>1044</v>
      </c>
      <c r="G279" t="s">
        <v>1045</v>
      </c>
      <c r="H279" t="s">
        <v>1046</v>
      </c>
      <c r="I279">
        <v>1</v>
      </c>
      <c r="J279">
        <v>10.9</v>
      </c>
      <c r="K279">
        <v>11.5</v>
      </c>
      <c r="L279">
        <v>0.92800000000000005</v>
      </c>
      <c r="M279">
        <v>50</v>
      </c>
      <c r="N279">
        <v>1500</v>
      </c>
      <c r="O279">
        <v>118</v>
      </c>
      <c r="P279">
        <v>85</v>
      </c>
      <c r="Q279">
        <v>4</v>
      </c>
      <c r="R279">
        <v>72</v>
      </c>
      <c r="S279" t="s">
        <v>156</v>
      </c>
      <c r="T279">
        <v>1005</v>
      </c>
      <c r="U279">
        <v>54</v>
      </c>
      <c r="V279" s="8" t="s">
        <v>33</v>
      </c>
      <c r="W279" t="s">
        <v>722</v>
      </c>
      <c r="X279" t="s">
        <v>761</v>
      </c>
      <c r="Z279" t="str">
        <f t="shared" si="6"/>
        <v>MS</v>
      </c>
      <c r="AA279" s="8"/>
      <c r="AB279">
        <f t="array" ref="AB279">_xlfn._xlws.FILTER(Projets!I$2:I$823,(Projets!A$2:A$823=A279), "")</f>
        <v>2150.15</v>
      </c>
    </row>
    <row r="280" spans="1:28" x14ac:dyDescent="0.25">
      <c r="A280" s="1" t="s">
        <v>1047</v>
      </c>
      <c r="B280" s="2">
        <v>42703</v>
      </c>
      <c r="C280" t="s">
        <v>1048</v>
      </c>
      <c r="D280" s="1" t="s">
        <v>30</v>
      </c>
      <c r="E280" t="s">
        <v>1049</v>
      </c>
      <c r="F280" t="s">
        <v>1049</v>
      </c>
      <c r="G280" t="s">
        <v>1050</v>
      </c>
      <c r="I280">
        <v>4</v>
      </c>
      <c r="J280">
        <v>8.84</v>
      </c>
      <c r="K280">
        <v>5</v>
      </c>
      <c r="L280">
        <v>0.9</v>
      </c>
      <c r="M280">
        <v>50</v>
      </c>
      <c r="N280">
        <v>1500</v>
      </c>
      <c r="O280">
        <v>103</v>
      </c>
      <c r="P280">
        <v>109</v>
      </c>
      <c r="Q280">
        <v>4</v>
      </c>
      <c r="R280">
        <v>72</v>
      </c>
      <c r="S280" t="s">
        <v>176</v>
      </c>
      <c r="T280">
        <v>1001</v>
      </c>
      <c r="U280">
        <v>23</v>
      </c>
      <c r="V280" s="8" t="s">
        <v>33</v>
      </c>
      <c r="W280" t="s">
        <v>722</v>
      </c>
      <c r="X280" t="s">
        <v>723</v>
      </c>
      <c r="Z280" t="str">
        <f t="shared" si="6"/>
        <v>MS</v>
      </c>
      <c r="AA280" s="8"/>
      <c r="AB280">
        <f t="array" ref="AB280">_xlfn._xlws.FILTER(Projets!I$2:I$823,(Projets!A$2:A$823=A280), "")</f>
        <v>7845.55</v>
      </c>
    </row>
    <row r="281" spans="1:28" x14ac:dyDescent="0.25">
      <c r="A281" s="1" t="s">
        <v>1051</v>
      </c>
      <c r="B281" s="2">
        <v>43306</v>
      </c>
      <c r="C281" t="s">
        <v>1032</v>
      </c>
      <c r="D281" s="1" t="s">
        <v>145</v>
      </c>
      <c r="E281" t="s">
        <v>1033</v>
      </c>
      <c r="F281" t="s">
        <v>1029</v>
      </c>
      <c r="G281" t="s">
        <v>1034</v>
      </c>
      <c r="H281" t="s">
        <v>1031</v>
      </c>
      <c r="I281">
        <v>2</v>
      </c>
      <c r="J281">
        <v>14</v>
      </c>
      <c r="K281">
        <v>11</v>
      </c>
      <c r="L281">
        <v>1</v>
      </c>
      <c r="M281">
        <v>60</v>
      </c>
      <c r="N281">
        <v>600</v>
      </c>
      <c r="O281">
        <v>177</v>
      </c>
      <c r="P281">
        <v>109</v>
      </c>
      <c r="Q281">
        <v>12</v>
      </c>
      <c r="R281">
        <v>144</v>
      </c>
      <c r="S281" t="s">
        <v>176</v>
      </c>
      <c r="T281">
        <v>1101</v>
      </c>
      <c r="U281">
        <v>44</v>
      </c>
      <c r="V281" s="8" t="s">
        <v>33</v>
      </c>
      <c r="W281" t="s">
        <v>722</v>
      </c>
      <c r="X281" t="s">
        <v>723</v>
      </c>
      <c r="Z281" t="str">
        <f t="shared" si="6"/>
        <v>MS</v>
      </c>
      <c r="AA281" s="8"/>
      <c r="AB281">
        <f t="array" ref="AB281">_xlfn._xlws.FILTER(Projets!I$2:I$823,(Projets!A$2:A$823=A281), "")</f>
        <v>654.25000000000011</v>
      </c>
    </row>
    <row r="282" spans="1:28" x14ac:dyDescent="0.25">
      <c r="A282" s="1" t="s">
        <v>1051</v>
      </c>
      <c r="B282" s="2">
        <v>42801</v>
      </c>
      <c r="C282" t="s">
        <v>1052</v>
      </c>
      <c r="D282" s="1" t="s">
        <v>30</v>
      </c>
      <c r="E282" t="s">
        <v>1033</v>
      </c>
      <c r="F282" t="s">
        <v>1029</v>
      </c>
      <c r="G282" t="s">
        <v>1036</v>
      </c>
      <c r="H282" t="s">
        <v>1053</v>
      </c>
      <c r="I282">
        <v>2</v>
      </c>
      <c r="J282">
        <v>9</v>
      </c>
      <c r="K282">
        <v>11</v>
      </c>
      <c r="L282">
        <v>0.9</v>
      </c>
      <c r="M282">
        <v>60</v>
      </c>
      <c r="N282">
        <v>600</v>
      </c>
      <c r="O282">
        <v>142</v>
      </c>
      <c r="P282">
        <v>119</v>
      </c>
      <c r="Q282">
        <v>12</v>
      </c>
      <c r="R282">
        <v>144</v>
      </c>
      <c r="S282" t="s">
        <v>176</v>
      </c>
      <c r="T282">
        <v>1101</v>
      </c>
      <c r="U282">
        <v>44</v>
      </c>
      <c r="V282" s="8" t="s">
        <v>33</v>
      </c>
      <c r="W282" t="s">
        <v>722</v>
      </c>
      <c r="X282" t="s">
        <v>723</v>
      </c>
      <c r="Z282" t="str">
        <f t="shared" si="6"/>
        <v>MS</v>
      </c>
      <c r="AA282" s="8"/>
      <c r="AB282">
        <f t="array" ref="AB282">_xlfn._xlws.FILTER(Projets!I$2:I$823,(Projets!A$2:A$823=A282), "")</f>
        <v>654.25000000000011</v>
      </c>
    </row>
    <row r="283" spans="1:28" x14ac:dyDescent="0.25">
      <c r="A283" s="1" t="s">
        <v>1054</v>
      </c>
      <c r="B283" s="2">
        <v>42837</v>
      </c>
      <c r="C283" t="s">
        <v>1055</v>
      </c>
      <c r="D283" s="1" t="s">
        <v>30</v>
      </c>
      <c r="E283" t="s">
        <v>875</v>
      </c>
      <c r="F283" t="s">
        <v>1056</v>
      </c>
      <c r="G283" t="s">
        <v>1057</v>
      </c>
      <c r="I283">
        <v>4</v>
      </c>
      <c r="J283">
        <v>3</v>
      </c>
      <c r="K283">
        <v>11</v>
      </c>
      <c r="L283">
        <v>0.8</v>
      </c>
      <c r="M283">
        <v>50</v>
      </c>
      <c r="N283">
        <v>1000</v>
      </c>
      <c r="O283">
        <v>79</v>
      </c>
      <c r="P283">
        <v>94</v>
      </c>
      <c r="Q283">
        <v>6</v>
      </c>
      <c r="R283">
        <v>72</v>
      </c>
      <c r="S283">
        <v>1</v>
      </c>
      <c r="T283">
        <v>1001</v>
      </c>
      <c r="U283">
        <v>23</v>
      </c>
      <c r="V283" s="8" t="s">
        <v>33</v>
      </c>
      <c r="W283" t="s">
        <v>722</v>
      </c>
      <c r="X283" t="s">
        <v>723</v>
      </c>
      <c r="Z283" t="str">
        <f t="shared" si="6"/>
        <v>MS</v>
      </c>
      <c r="AA283" s="8"/>
      <c r="AB283">
        <f t="array" ref="AB283">_xlfn._xlws.FILTER(Projets!I$2:I$823,(Projets!A$2:A$823=A283), "")</f>
        <v>356.3</v>
      </c>
    </row>
    <row r="284" spans="1:28" x14ac:dyDescent="0.25">
      <c r="A284" s="1" t="s">
        <v>1058</v>
      </c>
      <c r="B284" s="2">
        <v>42895</v>
      </c>
      <c r="C284" t="s">
        <v>1059</v>
      </c>
      <c r="D284" s="1" t="s">
        <v>30</v>
      </c>
      <c r="E284" t="s">
        <v>1060</v>
      </c>
      <c r="F284" t="s">
        <v>1061</v>
      </c>
      <c r="G284" t="s">
        <v>1062</v>
      </c>
      <c r="I284">
        <v>1</v>
      </c>
      <c r="J284">
        <v>13</v>
      </c>
      <c r="K284">
        <v>6.3</v>
      </c>
      <c r="L284">
        <v>0.8</v>
      </c>
      <c r="M284">
        <v>50</v>
      </c>
      <c r="N284">
        <v>3000</v>
      </c>
      <c r="O284">
        <v>75</v>
      </c>
      <c r="P284">
        <v>139</v>
      </c>
      <c r="Q284">
        <v>2</v>
      </c>
      <c r="R284">
        <v>66</v>
      </c>
      <c r="S284" t="s">
        <v>156</v>
      </c>
      <c r="T284">
        <v>1001</v>
      </c>
      <c r="U284">
        <v>23</v>
      </c>
      <c r="V284" s="8" t="s">
        <v>33</v>
      </c>
      <c r="W284" t="s">
        <v>722</v>
      </c>
      <c r="Z284" t="str">
        <f t="shared" si="6"/>
        <v>MS</v>
      </c>
      <c r="AA284" s="8"/>
      <c r="AB284">
        <f t="array" ref="AB284">_xlfn._xlws.FILTER(Projets!I$2:I$823,(Projets!A$2:A$823=A284), "")</f>
        <v>1396.58</v>
      </c>
    </row>
    <row r="285" spans="1:28" x14ac:dyDescent="0.25">
      <c r="A285" s="1" t="s">
        <v>1063</v>
      </c>
      <c r="B285" s="2">
        <v>43045</v>
      </c>
      <c r="C285" t="s">
        <v>1064</v>
      </c>
      <c r="D285" s="1" t="s">
        <v>30</v>
      </c>
      <c r="E285" t="s">
        <v>1065</v>
      </c>
      <c r="F285" t="s">
        <v>1066</v>
      </c>
      <c r="G285" t="s">
        <v>1067</v>
      </c>
      <c r="I285">
        <v>2</v>
      </c>
      <c r="J285">
        <v>7.29</v>
      </c>
      <c r="K285">
        <v>6.6</v>
      </c>
      <c r="L285">
        <v>0.9</v>
      </c>
      <c r="M285">
        <v>50</v>
      </c>
      <c r="N285">
        <v>428</v>
      </c>
      <c r="O285">
        <v>160</v>
      </c>
      <c r="P285">
        <v>109</v>
      </c>
      <c r="Q285">
        <v>14</v>
      </c>
      <c r="R285">
        <v>168</v>
      </c>
      <c r="S285">
        <v>1</v>
      </c>
      <c r="T285">
        <v>7410</v>
      </c>
      <c r="U285">
        <v>23</v>
      </c>
      <c r="V285" s="8" t="s">
        <v>33</v>
      </c>
      <c r="W285" t="s">
        <v>722</v>
      </c>
      <c r="X285" t="s">
        <v>723</v>
      </c>
      <c r="Z285" t="str">
        <f t="shared" si="6"/>
        <v>MS</v>
      </c>
      <c r="AA285" s="8"/>
      <c r="AB285">
        <f t="array" ref="AB285">_xlfn._xlws.FILTER(Projets!I$2:I$823,(Projets!A$2:A$823=A285), "")</f>
        <v>869.35000000000014</v>
      </c>
    </row>
    <row r="286" spans="1:28" x14ac:dyDescent="0.25">
      <c r="A286" s="1" t="s">
        <v>1068</v>
      </c>
      <c r="B286" s="2">
        <v>43073</v>
      </c>
      <c r="C286" t="s">
        <v>1069</v>
      </c>
      <c r="D286" s="1" t="s">
        <v>30</v>
      </c>
      <c r="E286" t="s">
        <v>1070</v>
      </c>
      <c r="F286" t="s">
        <v>1070</v>
      </c>
      <c r="G286" t="s">
        <v>1071</v>
      </c>
      <c r="H286" t="s">
        <v>1072</v>
      </c>
      <c r="I286">
        <v>4</v>
      </c>
      <c r="J286">
        <v>8.0399999999999991</v>
      </c>
      <c r="K286">
        <v>5</v>
      </c>
      <c r="L286">
        <v>0.9</v>
      </c>
      <c r="M286">
        <v>50</v>
      </c>
      <c r="N286">
        <v>1500</v>
      </c>
      <c r="O286">
        <v>104</v>
      </c>
      <c r="P286">
        <v>89</v>
      </c>
      <c r="Q286">
        <v>4</v>
      </c>
      <c r="R286">
        <v>72</v>
      </c>
      <c r="S286" t="s">
        <v>176</v>
      </c>
      <c r="T286" t="s">
        <v>1073</v>
      </c>
      <c r="U286" t="s">
        <v>1074</v>
      </c>
      <c r="V286" s="8" t="s">
        <v>33</v>
      </c>
      <c r="W286" t="s">
        <v>722</v>
      </c>
      <c r="Z286" t="str">
        <f t="shared" si="6"/>
        <v>MS</v>
      </c>
      <c r="AA286" s="8"/>
      <c r="AB286">
        <f t="array" ref="AB286">_xlfn._xlws.FILTER(Projets!I$2:I$823,(Projets!A$2:A$823=A286), "")</f>
        <v>7271.4499999999989</v>
      </c>
    </row>
    <row r="287" spans="1:28" x14ac:dyDescent="0.25">
      <c r="A287" s="1" t="s">
        <v>1075</v>
      </c>
      <c r="B287" s="2">
        <v>43090</v>
      </c>
      <c r="C287" t="s">
        <v>1076</v>
      </c>
      <c r="D287" s="1" t="s">
        <v>30</v>
      </c>
      <c r="E287" t="s">
        <v>875</v>
      </c>
      <c r="F287" t="s">
        <v>875</v>
      </c>
      <c r="G287" t="s">
        <v>1077</v>
      </c>
      <c r="H287" t="s">
        <v>1078</v>
      </c>
      <c r="I287">
        <v>1</v>
      </c>
      <c r="J287">
        <v>12</v>
      </c>
      <c r="K287">
        <v>11</v>
      </c>
      <c r="L287">
        <v>0.8</v>
      </c>
      <c r="M287">
        <v>50</v>
      </c>
      <c r="N287">
        <v>750</v>
      </c>
      <c r="O287">
        <v>135</v>
      </c>
      <c r="P287">
        <v>134</v>
      </c>
      <c r="Q287">
        <v>8</v>
      </c>
      <c r="R287">
        <v>96</v>
      </c>
      <c r="S287" t="s">
        <v>1079</v>
      </c>
      <c r="T287">
        <v>7211</v>
      </c>
      <c r="U287">
        <v>54</v>
      </c>
      <c r="V287" s="8" t="s">
        <v>33</v>
      </c>
      <c r="W287" t="s">
        <v>722</v>
      </c>
      <c r="X287" t="s">
        <v>723</v>
      </c>
      <c r="Z287" t="str">
        <f t="shared" si="6"/>
        <v>MS</v>
      </c>
      <c r="AA287" s="8"/>
      <c r="AB287">
        <f t="array" ref="AB287">_xlfn._xlws.FILTER(Projets!I$2:I$823,(Projets!A$2:A$823=A287), "")</f>
        <v>1093.8499999999999</v>
      </c>
    </row>
    <row r="288" spans="1:28" x14ac:dyDescent="0.25">
      <c r="A288" s="1" t="s">
        <v>1080</v>
      </c>
      <c r="B288" s="2">
        <v>43252</v>
      </c>
      <c r="C288" t="s">
        <v>1081</v>
      </c>
      <c r="D288" s="1" t="s">
        <v>145</v>
      </c>
      <c r="E288" t="s">
        <v>374</v>
      </c>
      <c r="F288" t="s">
        <v>1082</v>
      </c>
      <c r="G288" t="s">
        <v>1083</v>
      </c>
      <c r="H288" t="s">
        <v>881</v>
      </c>
      <c r="I288">
        <v>2</v>
      </c>
      <c r="J288">
        <v>5.4</v>
      </c>
      <c r="K288">
        <v>10</v>
      </c>
      <c r="L288">
        <v>0.78</v>
      </c>
      <c r="M288">
        <v>50</v>
      </c>
      <c r="N288">
        <v>1500</v>
      </c>
      <c r="O288">
        <v>80</v>
      </c>
      <c r="P288">
        <v>124</v>
      </c>
      <c r="Q288">
        <v>4</v>
      </c>
      <c r="R288">
        <v>78</v>
      </c>
      <c r="S288" t="s">
        <v>156</v>
      </c>
      <c r="T288">
        <v>1003</v>
      </c>
      <c r="U288">
        <v>54</v>
      </c>
      <c r="V288" s="8" t="s">
        <v>212</v>
      </c>
      <c r="W288" t="s">
        <v>722</v>
      </c>
      <c r="Z288" t="str">
        <f t="shared" si="6"/>
        <v>MS</v>
      </c>
      <c r="AA288" s="8"/>
      <c r="AB288">
        <f t="array" ref="AB288">_xlfn._xlws.FILTER(Projets!I$2:I$823,(Projets!A$2:A$823=A288), "")</f>
        <v>5239.83</v>
      </c>
    </row>
    <row r="289" spans="1:28" x14ac:dyDescent="0.25">
      <c r="A289" s="1" t="s">
        <v>1080</v>
      </c>
      <c r="B289" s="2">
        <v>43252</v>
      </c>
      <c r="C289" t="s">
        <v>1081</v>
      </c>
      <c r="D289" s="1" t="s">
        <v>30</v>
      </c>
      <c r="E289" t="s">
        <v>374</v>
      </c>
      <c r="F289" t="s">
        <v>1082</v>
      </c>
      <c r="G289" t="s">
        <v>1084</v>
      </c>
      <c r="H289" t="s">
        <v>881</v>
      </c>
      <c r="I289">
        <v>1</v>
      </c>
      <c r="J289">
        <v>6.4</v>
      </c>
      <c r="K289">
        <v>10</v>
      </c>
      <c r="L289">
        <v>0.85</v>
      </c>
      <c r="M289">
        <v>50</v>
      </c>
      <c r="N289">
        <v>1500</v>
      </c>
      <c r="O289">
        <v>80</v>
      </c>
      <c r="P289">
        <v>124</v>
      </c>
      <c r="Q289">
        <v>4</v>
      </c>
      <c r="R289">
        <v>78</v>
      </c>
      <c r="S289" t="s">
        <v>156</v>
      </c>
      <c r="T289">
        <v>1003</v>
      </c>
      <c r="U289">
        <v>54</v>
      </c>
      <c r="V289" s="8" t="s">
        <v>212</v>
      </c>
      <c r="W289" t="s">
        <v>722</v>
      </c>
      <c r="Z289" t="str">
        <f t="shared" si="6"/>
        <v>MS</v>
      </c>
      <c r="AA289" s="8"/>
      <c r="AB289">
        <f t="array" ref="AB289">_xlfn._xlws.FILTER(Projets!I$2:I$823,(Projets!A$2:A$823=A289), "")</f>
        <v>5239.83</v>
      </c>
    </row>
    <row r="290" spans="1:28" x14ac:dyDescent="0.25">
      <c r="A290" s="1" t="s">
        <v>1085</v>
      </c>
      <c r="B290" s="2">
        <v>43325</v>
      </c>
      <c r="C290" t="s">
        <v>1086</v>
      </c>
      <c r="D290" s="1" t="s">
        <v>30</v>
      </c>
      <c r="E290" t="s">
        <v>875</v>
      </c>
      <c r="F290" t="s">
        <v>1087</v>
      </c>
      <c r="G290" t="s">
        <v>1057</v>
      </c>
      <c r="H290" t="s">
        <v>1054</v>
      </c>
      <c r="I290">
        <v>2</v>
      </c>
      <c r="J290">
        <v>2.56</v>
      </c>
      <c r="K290">
        <v>6.6</v>
      </c>
      <c r="L290">
        <v>0.8</v>
      </c>
      <c r="M290">
        <v>50</v>
      </c>
      <c r="N290">
        <v>1000</v>
      </c>
      <c r="O290">
        <v>79</v>
      </c>
      <c r="P290">
        <v>94</v>
      </c>
      <c r="Q290">
        <v>6</v>
      </c>
      <c r="R290">
        <v>72</v>
      </c>
      <c r="S290">
        <v>1</v>
      </c>
      <c r="T290">
        <v>1001</v>
      </c>
      <c r="U290" t="s">
        <v>1074</v>
      </c>
      <c r="V290" s="8" t="s">
        <v>33</v>
      </c>
      <c r="W290" t="s">
        <v>722</v>
      </c>
      <c r="X290" t="s">
        <v>723</v>
      </c>
      <c r="Z290" t="str">
        <f t="shared" si="6"/>
        <v>MS</v>
      </c>
      <c r="AA290" s="8"/>
      <c r="AB290">
        <f t="array" ref="AB290">_xlfn._xlws.FILTER(Projets!I$2:I$823,(Projets!A$2:A$823=A290), "")</f>
        <v>485.7</v>
      </c>
    </row>
    <row r="291" spans="1:28" x14ac:dyDescent="0.25">
      <c r="A291" s="1" t="s">
        <v>1088</v>
      </c>
      <c r="B291" s="2">
        <v>43535</v>
      </c>
      <c r="C291" t="s">
        <v>1089</v>
      </c>
      <c r="D291" s="1" t="s">
        <v>187</v>
      </c>
      <c r="E291" t="s">
        <v>109</v>
      </c>
      <c r="F291" t="s">
        <v>216</v>
      </c>
      <c r="G291" t="s">
        <v>1090</v>
      </c>
      <c r="H291" t="s">
        <v>1091</v>
      </c>
      <c r="I291">
        <v>1</v>
      </c>
      <c r="J291">
        <v>6.5430000000000001</v>
      </c>
      <c r="K291">
        <v>11</v>
      </c>
      <c r="L291">
        <v>0.9</v>
      </c>
      <c r="M291">
        <v>60</v>
      </c>
      <c r="N291">
        <v>720</v>
      </c>
      <c r="O291">
        <v>122</v>
      </c>
      <c r="P291">
        <v>94</v>
      </c>
      <c r="Q291">
        <v>10</v>
      </c>
      <c r="R291">
        <v>120</v>
      </c>
      <c r="S291" t="s">
        <v>156</v>
      </c>
      <c r="T291">
        <v>1101</v>
      </c>
      <c r="U291">
        <v>44</v>
      </c>
      <c r="V291" s="8" t="s">
        <v>33</v>
      </c>
      <c r="W291" t="s">
        <v>722</v>
      </c>
      <c r="X291" t="s">
        <v>723</v>
      </c>
      <c r="Z291" t="str">
        <f t="shared" si="6"/>
        <v>MS</v>
      </c>
      <c r="AA291" s="8"/>
      <c r="AB291">
        <f t="array" ref="AB291">_xlfn._xlws.FILTER(Projets!I$2:I$823,(Projets!A$2:A$823=A291), "")</f>
        <v>220.15</v>
      </c>
    </row>
    <row r="292" spans="1:28" x14ac:dyDescent="0.25">
      <c r="A292" s="1" t="s">
        <v>1088</v>
      </c>
      <c r="B292" s="2">
        <v>43535</v>
      </c>
      <c r="C292" t="s">
        <v>1092</v>
      </c>
      <c r="D292" s="1" t="s">
        <v>145</v>
      </c>
      <c r="E292" t="s">
        <v>109</v>
      </c>
      <c r="F292" t="s">
        <v>216</v>
      </c>
      <c r="G292" t="s">
        <v>1093</v>
      </c>
      <c r="H292" t="s">
        <v>1094</v>
      </c>
      <c r="I292">
        <v>2</v>
      </c>
      <c r="J292">
        <v>14.109</v>
      </c>
      <c r="K292">
        <v>11</v>
      </c>
      <c r="L292">
        <v>0.9</v>
      </c>
      <c r="M292">
        <v>60</v>
      </c>
      <c r="N292">
        <v>600</v>
      </c>
      <c r="O292">
        <v>177</v>
      </c>
      <c r="P292">
        <v>109</v>
      </c>
      <c r="Q292">
        <v>12</v>
      </c>
      <c r="R292">
        <v>144</v>
      </c>
      <c r="S292" t="s">
        <v>156</v>
      </c>
      <c r="T292">
        <v>1101</v>
      </c>
      <c r="U292">
        <v>44</v>
      </c>
      <c r="V292" s="8" t="s">
        <v>33</v>
      </c>
      <c r="W292" t="s">
        <v>722</v>
      </c>
      <c r="X292" t="s">
        <v>723</v>
      </c>
      <c r="Z292" t="str">
        <f t="shared" si="6"/>
        <v>MS</v>
      </c>
      <c r="AA292" s="8"/>
      <c r="AB292">
        <f t="array" ref="AB292">_xlfn._xlws.FILTER(Projets!I$2:I$823,(Projets!A$2:A$823=A292), "")</f>
        <v>220.15</v>
      </c>
    </row>
    <row r="293" spans="1:28" x14ac:dyDescent="0.25">
      <c r="A293" s="1" t="s">
        <v>1088</v>
      </c>
      <c r="B293" s="2">
        <v>43535</v>
      </c>
      <c r="C293" t="s">
        <v>1092</v>
      </c>
      <c r="D293" s="1" t="s">
        <v>30</v>
      </c>
      <c r="E293" t="s">
        <v>109</v>
      </c>
      <c r="F293" t="s">
        <v>216</v>
      </c>
      <c r="G293" t="s">
        <v>1095</v>
      </c>
      <c r="H293" t="s">
        <v>1096</v>
      </c>
      <c r="I293">
        <v>2</v>
      </c>
      <c r="J293">
        <v>9.3800000000000008</v>
      </c>
      <c r="K293">
        <v>11</v>
      </c>
      <c r="L293">
        <v>0.9</v>
      </c>
      <c r="M293">
        <v>60</v>
      </c>
      <c r="N293">
        <v>600</v>
      </c>
      <c r="O293">
        <v>142</v>
      </c>
      <c r="P293">
        <v>119</v>
      </c>
      <c r="Q293">
        <v>12</v>
      </c>
      <c r="R293">
        <v>144</v>
      </c>
      <c r="S293" t="s">
        <v>156</v>
      </c>
      <c r="T293">
        <v>1101</v>
      </c>
      <c r="U293">
        <v>44</v>
      </c>
      <c r="V293" s="8" t="s">
        <v>33</v>
      </c>
      <c r="W293" t="s">
        <v>722</v>
      </c>
      <c r="X293" t="s">
        <v>723</v>
      </c>
      <c r="Z293" t="str">
        <f t="shared" si="6"/>
        <v>MS</v>
      </c>
      <c r="AA293" s="8"/>
      <c r="AB293">
        <f t="array" ref="AB293">_xlfn._xlws.FILTER(Projets!I$2:I$823,(Projets!A$2:A$823=A293), "")</f>
        <v>220.15</v>
      </c>
    </row>
    <row r="294" spans="1:28" x14ac:dyDescent="0.25">
      <c r="A294" s="1" t="s">
        <v>1097</v>
      </c>
      <c r="B294" s="2">
        <v>43451</v>
      </c>
      <c r="C294" t="s">
        <v>1098</v>
      </c>
      <c r="D294" s="1" t="s">
        <v>30</v>
      </c>
      <c r="E294" t="s">
        <v>86</v>
      </c>
      <c r="F294" t="s">
        <v>216</v>
      </c>
      <c r="G294" t="s">
        <v>1099</v>
      </c>
      <c r="H294" t="s">
        <v>1100</v>
      </c>
      <c r="I294">
        <v>5</v>
      </c>
      <c r="J294">
        <v>15.555</v>
      </c>
      <c r="K294">
        <v>11</v>
      </c>
      <c r="L294">
        <v>0.85</v>
      </c>
      <c r="M294">
        <v>60</v>
      </c>
      <c r="N294">
        <v>600</v>
      </c>
      <c r="O294">
        <v>196</v>
      </c>
      <c r="P294">
        <v>114</v>
      </c>
      <c r="Q294">
        <v>12</v>
      </c>
      <c r="R294">
        <v>162</v>
      </c>
      <c r="S294" t="s">
        <v>156</v>
      </c>
      <c r="T294">
        <v>1101</v>
      </c>
      <c r="U294">
        <v>44</v>
      </c>
      <c r="V294" s="8" t="s">
        <v>33</v>
      </c>
      <c r="W294" t="s">
        <v>722</v>
      </c>
      <c r="X294" t="s">
        <v>723</v>
      </c>
      <c r="Z294" t="str">
        <f t="shared" si="6"/>
        <v>MS</v>
      </c>
      <c r="AA294" s="8"/>
      <c r="AB294">
        <f t="array" ref="AB294">_xlfn._xlws.FILTER(Projets!I$2:I$823,(Projets!A$2:A$823=A294), "")</f>
        <v>1061.95</v>
      </c>
    </row>
    <row r="295" spans="1:28" x14ac:dyDescent="0.25">
      <c r="A295" s="1" t="s">
        <v>1101</v>
      </c>
      <c r="B295" s="2">
        <v>43535</v>
      </c>
      <c r="C295" t="s">
        <v>1102</v>
      </c>
      <c r="D295" s="1" t="s">
        <v>145</v>
      </c>
      <c r="E295" t="s">
        <v>109</v>
      </c>
      <c r="F295" t="s">
        <v>216</v>
      </c>
      <c r="G295" t="s">
        <v>1103</v>
      </c>
      <c r="H295" t="s">
        <v>1100</v>
      </c>
      <c r="I295">
        <v>2</v>
      </c>
      <c r="J295">
        <v>18.745999999999999</v>
      </c>
      <c r="K295">
        <v>11</v>
      </c>
      <c r="L295">
        <v>0.85</v>
      </c>
      <c r="M295">
        <v>60</v>
      </c>
      <c r="N295">
        <v>600</v>
      </c>
      <c r="O295">
        <v>196</v>
      </c>
      <c r="P295">
        <v>124</v>
      </c>
      <c r="Q295">
        <v>12</v>
      </c>
      <c r="R295">
        <v>144</v>
      </c>
      <c r="S295" t="s">
        <v>156</v>
      </c>
      <c r="T295">
        <v>1101</v>
      </c>
      <c r="U295">
        <v>44</v>
      </c>
      <c r="V295" s="8" t="s">
        <v>33</v>
      </c>
      <c r="W295" t="s">
        <v>722</v>
      </c>
      <c r="X295" t="s">
        <v>723</v>
      </c>
      <c r="Z295" t="str">
        <f t="shared" si="6"/>
        <v>MS</v>
      </c>
      <c r="AA295" s="8"/>
      <c r="AB295">
        <f t="array" ref="AB295">_xlfn._xlws.FILTER(Projets!I$2:I$823,(Projets!A$2:A$823=A295), "")</f>
        <v>455.9</v>
      </c>
    </row>
    <row r="296" spans="1:28" x14ac:dyDescent="0.25">
      <c r="A296" s="1" t="s">
        <v>1101</v>
      </c>
      <c r="B296" s="2">
        <v>43535</v>
      </c>
      <c r="C296" t="s">
        <v>1102</v>
      </c>
      <c r="D296" s="1" t="s">
        <v>30</v>
      </c>
      <c r="E296" t="s">
        <v>109</v>
      </c>
      <c r="F296" t="s">
        <v>216</v>
      </c>
      <c r="G296" t="s">
        <v>1104</v>
      </c>
      <c r="H296" t="s">
        <v>1035</v>
      </c>
      <c r="I296">
        <v>2</v>
      </c>
      <c r="J296">
        <v>1.4</v>
      </c>
      <c r="K296">
        <v>11</v>
      </c>
      <c r="L296">
        <v>0.84799999999999998</v>
      </c>
      <c r="M296">
        <v>60</v>
      </c>
      <c r="N296">
        <v>600</v>
      </c>
      <c r="O296">
        <v>177</v>
      </c>
      <c r="P296">
        <v>109</v>
      </c>
      <c r="Q296">
        <v>12</v>
      </c>
      <c r="R296">
        <v>144</v>
      </c>
      <c r="S296" t="s">
        <v>156</v>
      </c>
      <c r="T296">
        <v>1101</v>
      </c>
      <c r="U296">
        <v>44</v>
      </c>
      <c r="V296" s="8" t="s">
        <v>33</v>
      </c>
      <c r="W296" t="s">
        <v>722</v>
      </c>
      <c r="X296" t="s">
        <v>723</v>
      </c>
      <c r="Z296" t="str">
        <f t="shared" si="6"/>
        <v>MS</v>
      </c>
      <c r="AA296" s="8"/>
      <c r="AB296">
        <f t="array" ref="AB296">_xlfn._xlws.FILTER(Projets!I$2:I$823,(Projets!A$2:A$823=A296), "")</f>
        <v>455.9</v>
      </c>
    </row>
    <row r="297" spans="1:28" x14ac:dyDescent="0.25">
      <c r="A297" s="1" t="s">
        <v>1105</v>
      </c>
      <c r="B297" s="2">
        <v>43518</v>
      </c>
      <c r="C297" t="s">
        <v>1106</v>
      </c>
      <c r="D297" s="1" t="s">
        <v>30</v>
      </c>
      <c r="E297" t="s">
        <v>1107</v>
      </c>
      <c r="F297" t="s">
        <v>1107</v>
      </c>
      <c r="G297" t="s">
        <v>1108</v>
      </c>
      <c r="I297">
        <v>1</v>
      </c>
      <c r="J297">
        <v>0.4</v>
      </c>
      <c r="K297">
        <v>2</v>
      </c>
      <c r="L297">
        <v>0.9</v>
      </c>
      <c r="M297">
        <v>43.3</v>
      </c>
      <c r="N297">
        <v>1299</v>
      </c>
      <c r="O297">
        <v>67</v>
      </c>
      <c r="P297">
        <v>30</v>
      </c>
      <c r="Q297">
        <v>4</v>
      </c>
      <c r="R297">
        <v>72</v>
      </c>
      <c r="S297">
        <v>0</v>
      </c>
      <c r="T297">
        <v>1001</v>
      </c>
      <c r="U297">
        <v>1</v>
      </c>
      <c r="V297" s="8" t="s">
        <v>33</v>
      </c>
      <c r="W297" t="s">
        <v>722</v>
      </c>
      <c r="X297" t="s">
        <v>723</v>
      </c>
      <c r="Z297" t="str">
        <f t="shared" si="6"/>
        <v>MS</v>
      </c>
      <c r="AA297" s="8"/>
      <c r="AB297" t="str">
        <f t="array" ref="AB297">_xlfn._xlws.FILTER(Projets!I$2:I$823,(Projets!A$2:A$823=A297), "")</f>
        <v/>
      </c>
    </row>
    <row r="298" spans="1:28" x14ac:dyDescent="0.25">
      <c r="A298" s="1" t="s">
        <v>1109</v>
      </c>
      <c r="B298" s="2">
        <v>43544</v>
      </c>
      <c r="C298" t="s">
        <v>1110</v>
      </c>
      <c r="D298" s="1" t="s">
        <v>30</v>
      </c>
      <c r="E298" t="s">
        <v>1111</v>
      </c>
      <c r="F298" t="s">
        <v>1112</v>
      </c>
      <c r="H298" t="s">
        <v>1113</v>
      </c>
      <c r="I298">
        <v>1</v>
      </c>
      <c r="J298">
        <v>18</v>
      </c>
      <c r="K298">
        <v>5</v>
      </c>
      <c r="L298">
        <v>0.8</v>
      </c>
      <c r="M298">
        <v>50</v>
      </c>
      <c r="N298">
        <v>1500</v>
      </c>
      <c r="O298">
        <v>103</v>
      </c>
      <c r="P298">
        <v>169</v>
      </c>
      <c r="Q298">
        <v>4</v>
      </c>
      <c r="R298">
        <v>84</v>
      </c>
      <c r="S298" t="s">
        <v>176</v>
      </c>
      <c r="T298">
        <v>7215</v>
      </c>
      <c r="U298">
        <v>54</v>
      </c>
      <c r="V298" s="8" t="s">
        <v>33</v>
      </c>
      <c r="W298" t="s">
        <v>722</v>
      </c>
      <c r="Z298" t="str">
        <f t="shared" si="6"/>
        <v>MS</v>
      </c>
      <c r="AA298" s="8"/>
      <c r="AB298">
        <f t="array" ref="AB298">_xlfn._xlws.FILTER(Projets!I$2:I$823,(Projets!A$2:A$823=A298), "")</f>
        <v>457.05</v>
      </c>
    </row>
    <row r="299" spans="1:28" x14ac:dyDescent="0.25">
      <c r="A299" s="1" t="s">
        <v>1114</v>
      </c>
      <c r="B299" s="2">
        <v>43670</v>
      </c>
      <c r="C299" t="s">
        <v>1115</v>
      </c>
      <c r="D299" s="1" t="s">
        <v>30</v>
      </c>
      <c r="E299" t="s">
        <v>964</v>
      </c>
      <c r="F299" t="s">
        <v>1115</v>
      </c>
      <c r="G299" t="s">
        <v>1116</v>
      </c>
      <c r="I299">
        <v>1</v>
      </c>
      <c r="J299">
        <v>55</v>
      </c>
      <c r="K299">
        <v>11</v>
      </c>
      <c r="L299">
        <v>0.85</v>
      </c>
      <c r="M299">
        <v>50</v>
      </c>
      <c r="N299">
        <v>1500</v>
      </c>
      <c r="O299">
        <v>146</v>
      </c>
      <c r="P299">
        <v>214</v>
      </c>
      <c r="Q299">
        <v>4</v>
      </c>
      <c r="R299">
        <v>84</v>
      </c>
      <c r="S299" t="s">
        <v>156</v>
      </c>
      <c r="T299">
        <v>7215</v>
      </c>
      <c r="U299">
        <v>54</v>
      </c>
      <c r="V299" s="8" t="s">
        <v>33</v>
      </c>
      <c r="W299" t="s">
        <v>722</v>
      </c>
      <c r="X299" t="s">
        <v>723</v>
      </c>
      <c r="Z299" t="str">
        <f t="shared" si="6"/>
        <v>MS</v>
      </c>
      <c r="AA299" s="8"/>
      <c r="AB299">
        <f t="array" ref="AB299">_xlfn._xlws.FILTER(Projets!I$2:I$823,(Projets!A$2:A$823=A299), "")</f>
        <v>1044.1500000000001</v>
      </c>
    </row>
    <row r="300" spans="1:28" x14ac:dyDescent="0.25">
      <c r="A300" s="1" t="s">
        <v>1117</v>
      </c>
      <c r="B300" s="2">
        <v>43790</v>
      </c>
      <c r="C300" t="s">
        <v>480</v>
      </c>
      <c r="D300" s="1" t="s">
        <v>145</v>
      </c>
      <c r="E300" t="s">
        <v>481</v>
      </c>
      <c r="F300" t="s">
        <v>482</v>
      </c>
      <c r="G300" t="s">
        <v>1118</v>
      </c>
      <c r="H300" t="s">
        <v>1119</v>
      </c>
      <c r="I300">
        <v>2</v>
      </c>
      <c r="J300">
        <v>4.6660000000000004</v>
      </c>
      <c r="K300">
        <v>6.6</v>
      </c>
      <c r="L300">
        <v>0.85</v>
      </c>
      <c r="M300">
        <v>60</v>
      </c>
      <c r="N300">
        <v>720</v>
      </c>
      <c r="O300">
        <v>124</v>
      </c>
      <c r="P300">
        <v>84</v>
      </c>
      <c r="Q300">
        <v>10</v>
      </c>
      <c r="R300">
        <v>135</v>
      </c>
      <c r="S300" t="s">
        <v>176</v>
      </c>
      <c r="T300">
        <v>1101</v>
      </c>
      <c r="U300">
        <v>44</v>
      </c>
      <c r="V300" s="8" t="s">
        <v>33</v>
      </c>
      <c r="W300" t="s">
        <v>722</v>
      </c>
      <c r="X300" t="s">
        <v>723</v>
      </c>
      <c r="Z300" t="str">
        <f t="shared" si="6"/>
        <v>MS</v>
      </c>
      <c r="AA300" s="8"/>
      <c r="AB300">
        <f t="array" ref="AB300">_xlfn._xlws.FILTER(Projets!I$2:I$823,(Projets!A$2:A$823=A300), "")</f>
        <v>2185.35</v>
      </c>
    </row>
    <row r="301" spans="1:28" x14ac:dyDescent="0.25">
      <c r="A301" s="1" t="s">
        <v>1117</v>
      </c>
      <c r="B301" s="2">
        <v>43790</v>
      </c>
      <c r="C301" t="s">
        <v>480</v>
      </c>
      <c r="D301" s="1" t="s">
        <v>30</v>
      </c>
      <c r="E301" t="s">
        <v>481</v>
      </c>
      <c r="F301" t="s">
        <v>482</v>
      </c>
      <c r="G301" t="s">
        <v>1120</v>
      </c>
      <c r="H301" t="s">
        <v>1121</v>
      </c>
      <c r="I301">
        <v>2</v>
      </c>
      <c r="J301">
        <v>7.0659999999999998</v>
      </c>
      <c r="K301">
        <v>6.6</v>
      </c>
      <c r="L301">
        <v>0.85</v>
      </c>
      <c r="M301">
        <v>60</v>
      </c>
      <c r="N301">
        <v>720</v>
      </c>
      <c r="O301">
        <v>124</v>
      </c>
      <c r="P301">
        <v>114</v>
      </c>
      <c r="Q301">
        <v>10</v>
      </c>
      <c r="R301">
        <v>135</v>
      </c>
      <c r="S301" t="s">
        <v>176</v>
      </c>
      <c r="T301">
        <v>1101</v>
      </c>
      <c r="U301">
        <v>44</v>
      </c>
      <c r="V301" s="8" t="s">
        <v>33</v>
      </c>
      <c r="W301" t="s">
        <v>722</v>
      </c>
      <c r="X301" t="s">
        <v>723</v>
      </c>
      <c r="Z301" t="str">
        <f t="shared" si="6"/>
        <v>MS</v>
      </c>
      <c r="AA301" s="8"/>
      <c r="AB301">
        <f t="array" ref="AB301">_xlfn._xlws.FILTER(Projets!I$2:I$823,(Projets!A$2:A$823=A301), "")</f>
        <v>2185.35</v>
      </c>
    </row>
    <row r="302" spans="1:28" x14ac:dyDescent="0.25">
      <c r="A302" s="1" t="s">
        <v>1122</v>
      </c>
      <c r="B302" s="2">
        <v>43844</v>
      </c>
      <c r="C302" t="s">
        <v>1123</v>
      </c>
      <c r="D302" s="1" t="s">
        <v>30</v>
      </c>
      <c r="E302" t="s">
        <v>1124</v>
      </c>
      <c r="F302" t="s">
        <v>1124</v>
      </c>
      <c r="G302" t="s">
        <v>1125</v>
      </c>
      <c r="I302">
        <v>1</v>
      </c>
      <c r="J302">
        <v>11</v>
      </c>
      <c r="K302">
        <v>3.6</v>
      </c>
      <c r="L302">
        <v>1</v>
      </c>
      <c r="M302">
        <v>138.6</v>
      </c>
      <c r="N302">
        <v>378</v>
      </c>
      <c r="O302">
        <v>162</v>
      </c>
      <c r="P302">
        <v>40</v>
      </c>
      <c r="Q302">
        <v>44</v>
      </c>
      <c r="R302">
        <v>198</v>
      </c>
      <c r="S302" t="s">
        <v>176</v>
      </c>
      <c r="T302">
        <v>1001</v>
      </c>
      <c r="U302">
        <v>56</v>
      </c>
      <c r="V302" s="8" t="s">
        <v>33</v>
      </c>
      <c r="W302" t="s">
        <v>722</v>
      </c>
      <c r="Z302" t="str">
        <f t="shared" si="6"/>
        <v>MS</v>
      </c>
      <c r="AA302" s="8"/>
      <c r="AB302">
        <f t="array" ref="AB302">_xlfn._xlws.FILTER(Projets!I$2:I$823,(Projets!A$2:A$823=A302), "")</f>
        <v>181.15</v>
      </c>
    </row>
    <row r="303" spans="1:28" x14ac:dyDescent="0.25">
      <c r="A303" s="1" t="s">
        <v>1126</v>
      </c>
      <c r="B303" s="2">
        <v>43853</v>
      </c>
      <c r="C303" t="s">
        <v>1127</v>
      </c>
      <c r="D303" s="1" t="s">
        <v>30</v>
      </c>
      <c r="E303" t="s">
        <v>1128</v>
      </c>
      <c r="F303" t="s">
        <v>1129</v>
      </c>
      <c r="G303" t="s">
        <v>1130</v>
      </c>
      <c r="I303">
        <v>1</v>
      </c>
      <c r="J303">
        <v>60</v>
      </c>
      <c r="K303">
        <v>7.5</v>
      </c>
      <c r="L303">
        <v>0.92400000000000004</v>
      </c>
      <c r="M303">
        <v>49.2</v>
      </c>
      <c r="N303">
        <v>2952</v>
      </c>
      <c r="O303">
        <v>89</v>
      </c>
      <c r="P303">
        <v>255</v>
      </c>
      <c r="Q303">
        <v>2</v>
      </c>
      <c r="R303">
        <v>60</v>
      </c>
      <c r="S303" t="s">
        <v>176</v>
      </c>
      <c r="T303">
        <v>1005</v>
      </c>
      <c r="U303">
        <v>55</v>
      </c>
      <c r="V303" s="8" t="s">
        <v>33</v>
      </c>
      <c r="W303" t="s">
        <v>722</v>
      </c>
      <c r="Z303" t="str">
        <f t="shared" si="6"/>
        <v>MS</v>
      </c>
      <c r="AA303" s="8"/>
      <c r="AB303">
        <f t="array" ref="AB303">_xlfn._xlws.FILTER(Projets!I$2:I$823,(Projets!A$2:A$823=A303), "")</f>
        <v>2497.4299999999998</v>
      </c>
    </row>
    <row r="304" spans="1:28" x14ac:dyDescent="0.25">
      <c r="A304" s="1" t="s">
        <v>1131</v>
      </c>
      <c r="B304" s="2">
        <v>43851</v>
      </c>
      <c r="C304" t="s">
        <v>1132</v>
      </c>
      <c r="D304" s="1" t="s">
        <v>30</v>
      </c>
      <c r="E304" t="s">
        <v>1133</v>
      </c>
      <c r="F304" t="s">
        <v>1133</v>
      </c>
      <c r="G304" t="s">
        <v>1134</v>
      </c>
      <c r="I304">
        <v>1</v>
      </c>
      <c r="J304">
        <v>15</v>
      </c>
      <c r="K304">
        <v>13</v>
      </c>
      <c r="L304">
        <v>0.9</v>
      </c>
      <c r="M304">
        <v>50</v>
      </c>
      <c r="N304">
        <v>3000</v>
      </c>
      <c r="O304">
        <v>120</v>
      </c>
      <c r="P304">
        <v>250</v>
      </c>
      <c r="Q304">
        <v>2</v>
      </c>
      <c r="R304">
        <v>60</v>
      </c>
      <c r="S304">
        <v>0</v>
      </c>
      <c r="T304">
        <v>1000</v>
      </c>
      <c r="U304">
        <v>0</v>
      </c>
      <c r="V304" s="8" t="s">
        <v>33</v>
      </c>
      <c r="W304" t="s">
        <v>722</v>
      </c>
      <c r="Z304" t="str">
        <f t="shared" si="6"/>
        <v>MS</v>
      </c>
      <c r="AA304" s="8"/>
      <c r="AB304">
        <f t="array" ref="AB304">_xlfn._xlws.FILTER(Projets!I$2:I$823,(Projets!A$2:A$823=A304), "")</f>
        <v>11255</v>
      </c>
    </row>
    <row r="305" spans="1:28" x14ac:dyDescent="0.25">
      <c r="A305" s="1" t="s">
        <v>1135</v>
      </c>
      <c r="B305" s="2">
        <v>43858</v>
      </c>
      <c r="C305" t="s">
        <v>1136</v>
      </c>
      <c r="D305" s="1" t="s">
        <v>30</v>
      </c>
      <c r="E305" t="s">
        <v>964</v>
      </c>
      <c r="F305" t="s">
        <v>1137</v>
      </c>
      <c r="G305" t="s">
        <v>1138</v>
      </c>
      <c r="H305" t="s">
        <v>1114</v>
      </c>
      <c r="I305">
        <v>2</v>
      </c>
      <c r="J305">
        <v>49.04</v>
      </c>
      <c r="K305">
        <v>10.5</v>
      </c>
      <c r="L305">
        <v>0.8</v>
      </c>
      <c r="M305">
        <v>50</v>
      </c>
      <c r="N305">
        <v>1500</v>
      </c>
      <c r="O305">
        <v>146</v>
      </c>
      <c r="P305">
        <v>224</v>
      </c>
      <c r="Q305">
        <v>4</v>
      </c>
      <c r="R305">
        <v>84</v>
      </c>
      <c r="S305" t="s">
        <v>176</v>
      </c>
      <c r="T305">
        <v>7215</v>
      </c>
      <c r="U305">
        <v>54</v>
      </c>
      <c r="V305" s="8" t="s">
        <v>33</v>
      </c>
      <c r="W305" t="s">
        <v>722</v>
      </c>
      <c r="X305" t="s">
        <v>723</v>
      </c>
      <c r="Z305" t="str">
        <f t="shared" si="6"/>
        <v>MS</v>
      </c>
      <c r="AA305" s="8"/>
      <c r="AB305">
        <f t="array" ref="AB305">_xlfn._xlws.FILTER(Projets!I$2:I$823,(Projets!A$2:A$823=A305), "")</f>
        <v>1083.7</v>
      </c>
    </row>
    <row r="306" spans="1:28" x14ac:dyDescent="0.25">
      <c r="A306" s="1" t="s">
        <v>1139</v>
      </c>
      <c r="B306" s="2">
        <v>43984</v>
      </c>
      <c r="C306" t="s">
        <v>1140</v>
      </c>
      <c r="D306" s="1" t="s">
        <v>30</v>
      </c>
      <c r="E306" t="s">
        <v>1141</v>
      </c>
      <c r="F306" t="s">
        <v>1141</v>
      </c>
      <c r="G306" t="s">
        <v>1142</v>
      </c>
      <c r="I306">
        <v>1</v>
      </c>
      <c r="J306">
        <v>2.246</v>
      </c>
      <c r="K306">
        <v>2</v>
      </c>
      <c r="L306">
        <v>0.8</v>
      </c>
      <c r="M306">
        <v>60</v>
      </c>
      <c r="N306">
        <v>900</v>
      </c>
      <c r="O306">
        <v>70</v>
      </c>
      <c r="P306">
        <v>104</v>
      </c>
      <c r="Q306">
        <v>8</v>
      </c>
      <c r="R306">
        <v>96</v>
      </c>
      <c r="S306">
        <v>1</v>
      </c>
      <c r="T306">
        <v>1001</v>
      </c>
      <c r="U306">
        <v>44</v>
      </c>
      <c r="V306" s="8" t="s">
        <v>33</v>
      </c>
      <c r="W306" t="s">
        <v>722</v>
      </c>
      <c r="Z306" t="str">
        <f t="shared" si="6"/>
        <v>MS</v>
      </c>
      <c r="AA306" s="8"/>
      <c r="AB306">
        <f t="array" ref="AB306">_xlfn._xlws.FILTER(Projets!I$2:I$823,(Projets!A$2:A$823=A306), "")</f>
        <v>382.15</v>
      </c>
    </row>
    <row r="307" spans="1:28" x14ac:dyDescent="0.25">
      <c r="A307" s="1" t="s">
        <v>1143</v>
      </c>
      <c r="B307" s="2">
        <v>43951</v>
      </c>
      <c r="C307" t="s">
        <v>1144</v>
      </c>
      <c r="D307" s="1" t="s">
        <v>30</v>
      </c>
      <c r="E307" t="s">
        <v>189</v>
      </c>
      <c r="F307" t="s">
        <v>189</v>
      </c>
      <c r="G307" t="s">
        <v>1145</v>
      </c>
      <c r="I307">
        <v>1</v>
      </c>
      <c r="J307">
        <v>1.9</v>
      </c>
      <c r="K307">
        <v>5.5</v>
      </c>
      <c r="L307">
        <v>1</v>
      </c>
      <c r="M307">
        <v>50</v>
      </c>
      <c r="N307">
        <v>375</v>
      </c>
      <c r="O307">
        <v>146</v>
      </c>
      <c r="P307">
        <v>36</v>
      </c>
      <c r="Q307">
        <v>16</v>
      </c>
      <c r="R307">
        <v>126</v>
      </c>
      <c r="S307" t="s">
        <v>156</v>
      </c>
      <c r="T307">
        <v>7325</v>
      </c>
      <c r="U307">
        <v>54</v>
      </c>
      <c r="V307" s="8" t="s">
        <v>33</v>
      </c>
      <c r="W307" t="s">
        <v>722</v>
      </c>
      <c r="Z307" t="str">
        <f t="shared" ref="Z307:Z338" si="7">IF(MID(A307, 2, 1)="M", "MIL", IF(MID(A307, 2, 1)="N", "NUC", "MS"))</f>
        <v>MS</v>
      </c>
      <c r="AA307" s="8"/>
      <c r="AB307">
        <f t="array" ref="AB307">_xlfn._xlws.FILTER(Projets!I$2:I$823,(Projets!A$2:A$823=A307), "")</f>
        <v>1542.6</v>
      </c>
    </row>
    <row r="308" spans="1:28" x14ac:dyDescent="0.25">
      <c r="A308" s="1" t="s">
        <v>1146</v>
      </c>
      <c r="B308" s="2">
        <v>44070</v>
      </c>
      <c r="C308" t="s">
        <v>1147</v>
      </c>
      <c r="D308" s="1" t="s">
        <v>30</v>
      </c>
      <c r="E308" t="s">
        <v>1148</v>
      </c>
      <c r="F308" t="s">
        <v>1148</v>
      </c>
      <c r="G308" t="s">
        <v>1149</v>
      </c>
      <c r="H308" t="s">
        <v>733</v>
      </c>
      <c r="I308">
        <v>1</v>
      </c>
      <c r="J308">
        <v>45.125</v>
      </c>
      <c r="K308">
        <v>6.3</v>
      </c>
      <c r="L308">
        <v>0.8</v>
      </c>
      <c r="M308">
        <v>50</v>
      </c>
      <c r="N308">
        <v>3000</v>
      </c>
      <c r="O308">
        <v>84</v>
      </c>
      <c r="P308">
        <v>180</v>
      </c>
      <c r="Q308">
        <v>2</v>
      </c>
      <c r="R308">
        <v>84</v>
      </c>
      <c r="S308" t="s">
        <v>156</v>
      </c>
      <c r="T308">
        <v>1005</v>
      </c>
      <c r="U308">
        <v>54</v>
      </c>
      <c r="V308" s="8" t="s">
        <v>33</v>
      </c>
      <c r="W308" t="s">
        <v>722</v>
      </c>
      <c r="Z308" t="str">
        <f t="shared" si="7"/>
        <v>MS</v>
      </c>
      <c r="AA308" s="8"/>
      <c r="AB308">
        <f t="array" ref="AB308">_xlfn._xlws.FILTER(Projets!I$2:I$823,(Projets!A$2:A$823=A308), "")</f>
        <v>818.83999999999992</v>
      </c>
    </row>
    <row r="309" spans="1:28" x14ac:dyDescent="0.25">
      <c r="A309" s="1" t="s">
        <v>1150</v>
      </c>
      <c r="B309" s="2">
        <v>44046</v>
      </c>
      <c r="C309" t="s">
        <v>1151</v>
      </c>
      <c r="D309" s="1" t="s">
        <v>30</v>
      </c>
      <c r="E309" t="s">
        <v>1152</v>
      </c>
      <c r="F309" t="s">
        <v>1152</v>
      </c>
      <c r="G309" t="s">
        <v>1153</v>
      </c>
      <c r="I309">
        <v>1</v>
      </c>
      <c r="J309">
        <v>16</v>
      </c>
      <c r="K309">
        <v>4.7060000000000004</v>
      </c>
      <c r="L309">
        <v>0.86</v>
      </c>
      <c r="M309">
        <v>80</v>
      </c>
      <c r="N309">
        <v>4800</v>
      </c>
      <c r="O309">
        <v>66</v>
      </c>
      <c r="P309">
        <v>140</v>
      </c>
      <c r="Q309">
        <v>2</v>
      </c>
      <c r="R309">
        <v>72</v>
      </c>
      <c r="S309" t="s">
        <v>156</v>
      </c>
      <c r="T309">
        <v>1001</v>
      </c>
      <c r="U309">
        <v>55</v>
      </c>
      <c r="V309" s="8" t="s">
        <v>212</v>
      </c>
      <c r="W309" t="s">
        <v>722</v>
      </c>
      <c r="Z309" t="str">
        <f t="shared" si="7"/>
        <v>MS</v>
      </c>
      <c r="AA309" s="8"/>
      <c r="AB309">
        <f t="array" ref="AB309">_xlfn._xlws.FILTER(Projets!I$2:I$823,(Projets!A$2:A$823=A309), "")</f>
        <v>4287.72</v>
      </c>
    </row>
    <row r="310" spans="1:28" x14ac:dyDescent="0.25">
      <c r="A310" s="1" t="s">
        <v>1154</v>
      </c>
      <c r="B310" s="2">
        <v>44042</v>
      </c>
      <c r="C310" t="s">
        <v>1155</v>
      </c>
      <c r="D310" s="1" t="s">
        <v>30</v>
      </c>
      <c r="E310" t="s">
        <v>964</v>
      </c>
      <c r="F310" t="s">
        <v>1156</v>
      </c>
      <c r="G310" t="s">
        <v>1157</v>
      </c>
      <c r="H310" t="s">
        <v>1158</v>
      </c>
      <c r="I310">
        <v>1</v>
      </c>
      <c r="J310">
        <v>81</v>
      </c>
      <c r="K310">
        <v>11</v>
      </c>
      <c r="L310">
        <v>0.85</v>
      </c>
      <c r="M310">
        <v>50</v>
      </c>
      <c r="N310">
        <v>3000</v>
      </c>
      <c r="O310">
        <v>112</v>
      </c>
      <c r="P310">
        <v>269</v>
      </c>
      <c r="Q310">
        <v>2</v>
      </c>
      <c r="R310">
        <v>72</v>
      </c>
      <c r="S310" t="s">
        <v>176</v>
      </c>
      <c r="T310">
        <v>1005</v>
      </c>
      <c r="U310">
        <v>54</v>
      </c>
      <c r="V310" s="8" t="s">
        <v>33</v>
      </c>
      <c r="W310" t="s">
        <v>722</v>
      </c>
      <c r="X310" t="s">
        <v>745</v>
      </c>
      <c r="Z310" t="str">
        <f t="shared" si="7"/>
        <v>MS</v>
      </c>
      <c r="AA310" s="8"/>
      <c r="AB310">
        <f t="array" ref="AB310">_xlfn._xlws.FILTER(Projets!I$2:I$823,(Projets!A$2:A$823=A310), "")</f>
        <v>1896.05</v>
      </c>
    </row>
    <row r="311" spans="1:28" x14ac:dyDescent="0.25">
      <c r="A311" s="1" t="s">
        <v>1159</v>
      </c>
      <c r="B311" s="2">
        <v>44063</v>
      </c>
      <c r="C311" t="s">
        <v>1039</v>
      </c>
      <c r="D311" s="1" t="s">
        <v>30</v>
      </c>
      <c r="E311" t="s">
        <v>1039</v>
      </c>
      <c r="F311" t="s">
        <v>1160</v>
      </c>
      <c r="G311" t="s">
        <v>1161</v>
      </c>
      <c r="I311">
        <v>1</v>
      </c>
      <c r="J311">
        <v>20</v>
      </c>
      <c r="K311">
        <v>11</v>
      </c>
      <c r="L311">
        <v>0.85</v>
      </c>
      <c r="M311">
        <v>50</v>
      </c>
      <c r="N311">
        <v>1500</v>
      </c>
      <c r="O311">
        <v>116</v>
      </c>
      <c r="P311">
        <v>144</v>
      </c>
      <c r="Q311">
        <v>4</v>
      </c>
      <c r="R311">
        <v>96</v>
      </c>
      <c r="S311" t="s">
        <v>176</v>
      </c>
      <c r="T311">
        <v>7215</v>
      </c>
      <c r="U311">
        <v>54</v>
      </c>
      <c r="V311" s="8" t="s">
        <v>33</v>
      </c>
      <c r="W311" t="s">
        <v>722</v>
      </c>
      <c r="X311" t="s">
        <v>723</v>
      </c>
      <c r="Z311" t="str">
        <f t="shared" si="7"/>
        <v>MS</v>
      </c>
      <c r="AA311" s="8"/>
      <c r="AB311">
        <f t="array" ref="AB311">_xlfn._xlws.FILTER(Projets!I$2:I$823,(Projets!A$2:A$823=A311), "")</f>
        <v>1325.36</v>
      </c>
    </row>
    <row r="312" spans="1:28" x14ac:dyDescent="0.25">
      <c r="A312" s="1" t="s">
        <v>1162</v>
      </c>
      <c r="B312" s="2">
        <v>44098</v>
      </c>
      <c r="C312" t="s">
        <v>1163</v>
      </c>
      <c r="D312" s="1" t="s">
        <v>30</v>
      </c>
      <c r="E312" t="s">
        <v>1164</v>
      </c>
      <c r="F312" t="s">
        <v>1165</v>
      </c>
      <c r="G312" t="s">
        <v>1166</v>
      </c>
      <c r="I312">
        <v>1</v>
      </c>
      <c r="J312">
        <v>37.837000000000003</v>
      </c>
      <c r="K312">
        <v>11</v>
      </c>
      <c r="L312">
        <v>0.85</v>
      </c>
      <c r="M312">
        <v>50</v>
      </c>
      <c r="N312">
        <v>1500</v>
      </c>
      <c r="O312">
        <v>130</v>
      </c>
      <c r="P312">
        <v>194</v>
      </c>
      <c r="Q312">
        <v>4</v>
      </c>
      <c r="R312">
        <v>84</v>
      </c>
      <c r="S312" t="s">
        <v>176</v>
      </c>
      <c r="T312">
        <v>7215</v>
      </c>
      <c r="U312">
        <v>54</v>
      </c>
      <c r="V312" s="8" t="s">
        <v>33</v>
      </c>
      <c r="W312" t="s">
        <v>722</v>
      </c>
      <c r="X312" t="s">
        <v>723</v>
      </c>
      <c r="Z312" t="str">
        <f t="shared" si="7"/>
        <v>MS</v>
      </c>
      <c r="AA312" s="8"/>
      <c r="AB312">
        <f t="array" ref="AB312">_xlfn._xlws.FILTER(Projets!I$2:I$823,(Projets!A$2:A$823=A312), "")</f>
        <v>1419.34</v>
      </c>
    </row>
    <row r="313" spans="1:28" x14ac:dyDescent="0.25">
      <c r="A313" s="1" t="s">
        <v>1167</v>
      </c>
      <c r="B313" s="2">
        <v>44131</v>
      </c>
      <c r="C313" t="s">
        <v>1168</v>
      </c>
      <c r="D313" s="1" t="s">
        <v>30</v>
      </c>
      <c r="E313" t="s">
        <v>964</v>
      </c>
      <c r="F313" t="s">
        <v>1169</v>
      </c>
      <c r="G313" t="s">
        <v>1170</v>
      </c>
      <c r="H313" t="s">
        <v>1109</v>
      </c>
      <c r="I313">
        <v>1</v>
      </c>
      <c r="J313">
        <v>17</v>
      </c>
      <c r="K313">
        <v>6.3</v>
      </c>
      <c r="L313">
        <v>0.85</v>
      </c>
      <c r="M313">
        <v>50</v>
      </c>
      <c r="N313">
        <v>1500</v>
      </c>
      <c r="O313">
        <v>103</v>
      </c>
      <c r="P313">
        <v>169</v>
      </c>
      <c r="Q313">
        <v>4</v>
      </c>
      <c r="R313">
        <v>84</v>
      </c>
      <c r="S313" t="s">
        <v>156</v>
      </c>
      <c r="T313">
        <v>7215</v>
      </c>
      <c r="U313">
        <v>54</v>
      </c>
      <c r="V313" s="8" t="s">
        <v>33</v>
      </c>
      <c r="W313" t="s">
        <v>722</v>
      </c>
      <c r="X313" t="s">
        <v>723</v>
      </c>
      <c r="Z313" t="str">
        <f t="shared" si="7"/>
        <v>MS</v>
      </c>
      <c r="AA313" s="8"/>
      <c r="AB313">
        <f t="array" ref="AB313">_xlfn._xlws.FILTER(Projets!I$2:I$823,(Projets!A$2:A$823=A313), "")</f>
        <v>689.05000000000007</v>
      </c>
    </row>
    <row r="314" spans="1:28" x14ac:dyDescent="0.25">
      <c r="A314" s="1" t="s">
        <v>1171</v>
      </c>
      <c r="B314" s="2">
        <v>44172</v>
      </c>
      <c r="C314" t="s">
        <v>1172</v>
      </c>
      <c r="D314" s="1" t="s">
        <v>30</v>
      </c>
      <c r="E314" t="s">
        <v>1173</v>
      </c>
      <c r="F314" t="s">
        <v>1174</v>
      </c>
      <c r="G314" t="s">
        <v>1175</v>
      </c>
      <c r="H314" t="s">
        <v>1176</v>
      </c>
      <c r="I314">
        <v>1</v>
      </c>
      <c r="J314">
        <v>42.183999999999997</v>
      </c>
      <c r="K314">
        <v>16.8</v>
      </c>
      <c r="L314">
        <v>0.8</v>
      </c>
      <c r="M314">
        <v>50</v>
      </c>
      <c r="N314">
        <v>1500</v>
      </c>
      <c r="O314">
        <v>146</v>
      </c>
      <c r="P314">
        <v>199</v>
      </c>
      <c r="Q314">
        <v>4</v>
      </c>
      <c r="R314">
        <v>72</v>
      </c>
      <c r="S314" t="s">
        <v>156</v>
      </c>
      <c r="T314">
        <v>7215</v>
      </c>
      <c r="U314">
        <v>54</v>
      </c>
      <c r="V314" s="8" t="s">
        <v>33</v>
      </c>
      <c r="W314" t="s">
        <v>722</v>
      </c>
      <c r="X314" t="s">
        <v>723</v>
      </c>
      <c r="Z314" t="str">
        <f t="shared" si="7"/>
        <v>MS</v>
      </c>
      <c r="AA314" s="8"/>
      <c r="AB314">
        <f t="array" ref="AB314">_xlfn._xlws.FILTER(Projets!I$2:I$823,(Projets!A$2:A$823=A314), "")</f>
        <v>2027.25</v>
      </c>
    </row>
    <row r="315" spans="1:28" x14ac:dyDescent="0.25">
      <c r="A315" s="1" t="s">
        <v>1177</v>
      </c>
      <c r="B315" s="2">
        <v>44244</v>
      </c>
      <c r="C315" t="s">
        <v>1178</v>
      </c>
      <c r="D315" s="1" t="s">
        <v>30</v>
      </c>
      <c r="E315" t="s">
        <v>875</v>
      </c>
      <c r="F315" t="s">
        <v>875</v>
      </c>
      <c r="G315" t="s">
        <v>1057</v>
      </c>
      <c r="H315" t="s">
        <v>1179</v>
      </c>
      <c r="I315">
        <v>3</v>
      </c>
      <c r="J315">
        <v>2</v>
      </c>
      <c r="K315">
        <v>6.6</v>
      </c>
      <c r="L315">
        <v>0.8</v>
      </c>
      <c r="M315">
        <v>50</v>
      </c>
      <c r="N315">
        <v>1000</v>
      </c>
      <c r="O315">
        <v>79</v>
      </c>
      <c r="P315">
        <v>94</v>
      </c>
      <c r="Q315">
        <v>6</v>
      </c>
      <c r="R315">
        <v>72</v>
      </c>
      <c r="S315">
        <v>1</v>
      </c>
      <c r="T315">
        <v>1001</v>
      </c>
      <c r="U315">
        <v>23</v>
      </c>
      <c r="V315" s="8" t="s">
        <v>33</v>
      </c>
      <c r="W315" t="s">
        <v>722</v>
      </c>
      <c r="X315" t="s">
        <v>723</v>
      </c>
      <c r="Z315" t="str">
        <f t="shared" si="7"/>
        <v>MS</v>
      </c>
      <c r="AA315" s="8"/>
      <c r="AB315">
        <f t="array" ref="AB315">_xlfn._xlws.FILTER(Projets!I$2:I$823,(Projets!A$2:A$823=A315), "")</f>
        <v>63.2</v>
      </c>
    </row>
    <row r="316" spans="1:28" x14ac:dyDescent="0.25">
      <c r="A316" s="1" t="s">
        <v>1180</v>
      </c>
      <c r="B316" s="2">
        <v>44320</v>
      </c>
      <c r="C316" t="s">
        <v>1181</v>
      </c>
      <c r="D316" s="1" t="s">
        <v>30</v>
      </c>
      <c r="E316" t="s">
        <v>460</v>
      </c>
      <c r="F316" t="s">
        <v>1181</v>
      </c>
      <c r="G316" t="s">
        <v>1182</v>
      </c>
      <c r="I316">
        <v>1</v>
      </c>
      <c r="J316">
        <v>3.2</v>
      </c>
      <c r="K316">
        <v>6.6</v>
      </c>
      <c r="L316">
        <v>0.8</v>
      </c>
      <c r="M316">
        <v>50</v>
      </c>
      <c r="N316">
        <v>1500</v>
      </c>
      <c r="O316">
        <v>67</v>
      </c>
      <c r="P316">
        <v>89</v>
      </c>
      <c r="Q316">
        <v>4</v>
      </c>
      <c r="R316">
        <v>72</v>
      </c>
      <c r="S316">
        <v>1</v>
      </c>
      <c r="T316">
        <v>1001</v>
      </c>
      <c r="U316">
        <v>23</v>
      </c>
      <c r="V316" s="8" t="s">
        <v>33</v>
      </c>
      <c r="W316" t="s">
        <v>722</v>
      </c>
      <c r="X316" t="s">
        <v>723</v>
      </c>
      <c r="Z316" t="str">
        <f t="shared" si="7"/>
        <v>MS</v>
      </c>
      <c r="AA316" s="8"/>
      <c r="AB316">
        <f t="array" ref="AB316">_xlfn._xlws.FILTER(Projets!I$2:I$823,(Projets!A$2:A$823=A316), "")</f>
        <v>1398.3</v>
      </c>
    </row>
    <row r="317" spans="1:28" x14ac:dyDescent="0.25">
      <c r="A317" s="1" t="s">
        <v>1183</v>
      </c>
      <c r="B317" s="2">
        <v>44312</v>
      </c>
      <c r="C317" t="s">
        <v>1184</v>
      </c>
      <c r="D317" s="1" t="s">
        <v>30</v>
      </c>
      <c r="E317" t="s">
        <v>740</v>
      </c>
      <c r="F317" t="s">
        <v>1184</v>
      </c>
      <c r="G317" t="s">
        <v>1185</v>
      </c>
      <c r="H317" t="s">
        <v>949</v>
      </c>
      <c r="I317">
        <v>1</v>
      </c>
      <c r="J317">
        <v>52</v>
      </c>
      <c r="K317">
        <v>11</v>
      </c>
      <c r="L317">
        <v>0.85</v>
      </c>
      <c r="M317">
        <v>50</v>
      </c>
      <c r="N317">
        <v>3000</v>
      </c>
      <c r="O317">
        <v>87</v>
      </c>
      <c r="P317">
        <v>269</v>
      </c>
      <c r="Q317">
        <v>2</v>
      </c>
      <c r="R317">
        <v>70</v>
      </c>
      <c r="S317" t="s">
        <v>156</v>
      </c>
      <c r="T317">
        <v>1005</v>
      </c>
      <c r="U317">
        <v>55</v>
      </c>
      <c r="V317" s="8" t="s">
        <v>33</v>
      </c>
      <c r="W317" t="s">
        <v>722</v>
      </c>
      <c r="X317" t="s">
        <v>745</v>
      </c>
      <c r="Z317" t="str">
        <f t="shared" si="7"/>
        <v>MS</v>
      </c>
      <c r="AA317" s="8"/>
      <c r="AB317">
        <f t="array" ref="AB317">_xlfn._xlws.FILTER(Projets!I$2:I$823,(Projets!A$2:A$823=A317), "")</f>
        <v>1524.92</v>
      </c>
    </row>
    <row r="318" spans="1:28" x14ac:dyDescent="0.25">
      <c r="A318" s="1" t="s">
        <v>1186</v>
      </c>
      <c r="B318" s="2">
        <v>44376</v>
      </c>
      <c r="C318" t="s">
        <v>1187</v>
      </c>
      <c r="D318" s="1" t="s">
        <v>30</v>
      </c>
      <c r="E318" t="s">
        <v>964</v>
      </c>
      <c r="F318" t="s">
        <v>1188</v>
      </c>
      <c r="G318" t="s">
        <v>1189</v>
      </c>
      <c r="H318" t="s">
        <v>1126</v>
      </c>
      <c r="I318">
        <v>1</v>
      </c>
      <c r="J318">
        <v>60</v>
      </c>
      <c r="K318">
        <v>15</v>
      </c>
      <c r="L318">
        <v>0.85</v>
      </c>
      <c r="M318">
        <v>50</v>
      </c>
      <c r="N318">
        <v>3000</v>
      </c>
      <c r="O318">
        <v>89</v>
      </c>
      <c r="P318">
        <v>290</v>
      </c>
      <c r="Q318">
        <v>2</v>
      </c>
      <c r="R318">
        <v>60</v>
      </c>
      <c r="S318" t="s">
        <v>156</v>
      </c>
      <c r="T318">
        <v>1005</v>
      </c>
      <c r="U318">
        <v>54</v>
      </c>
      <c r="V318" s="8" t="s">
        <v>33</v>
      </c>
      <c r="W318" t="s">
        <v>722</v>
      </c>
      <c r="Z318" t="str">
        <f t="shared" si="7"/>
        <v>MS</v>
      </c>
      <c r="AA318" s="8"/>
      <c r="AB318">
        <f t="array" ref="AB318">_xlfn._xlws.FILTER(Projets!I$2:I$823,(Projets!A$2:A$823=A318), "")</f>
        <v>2590.17</v>
      </c>
    </row>
    <row r="319" spans="1:28" x14ac:dyDescent="0.25">
      <c r="A319" s="1" t="s">
        <v>1190</v>
      </c>
      <c r="B319" s="2">
        <v>44452</v>
      </c>
      <c r="C319" t="s">
        <v>413</v>
      </c>
      <c r="D319" s="1" t="s">
        <v>30</v>
      </c>
      <c r="E319" t="s">
        <v>413</v>
      </c>
      <c r="F319" t="s">
        <v>413</v>
      </c>
      <c r="G319" t="s">
        <v>1191</v>
      </c>
      <c r="H319" t="s">
        <v>1018</v>
      </c>
      <c r="I319">
        <v>2</v>
      </c>
      <c r="J319">
        <v>21</v>
      </c>
      <c r="K319">
        <v>11</v>
      </c>
      <c r="L319">
        <v>0.8</v>
      </c>
      <c r="M319">
        <v>50</v>
      </c>
      <c r="N319">
        <v>1500</v>
      </c>
      <c r="O319">
        <v>130</v>
      </c>
      <c r="P319">
        <v>129</v>
      </c>
      <c r="Q319">
        <v>4</v>
      </c>
      <c r="R319">
        <v>84</v>
      </c>
      <c r="S319" t="s">
        <v>1192</v>
      </c>
      <c r="T319">
        <v>1005</v>
      </c>
      <c r="U319">
        <v>54</v>
      </c>
      <c r="V319" s="8" t="s">
        <v>33</v>
      </c>
      <c r="W319" t="s">
        <v>722</v>
      </c>
      <c r="Z319" t="str">
        <f t="shared" si="7"/>
        <v>MS</v>
      </c>
      <c r="AA319" s="8"/>
      <c r="AB319">
        <f t="array" ref="AB319">_xlfn._xlws.FILTER(Projets!I$2:I$823,(Projets!A$2:A$823=A319), "")</f>
        <v>1598.05</v>
      </c>
    </row>
    <row r="320" spans="1:28" x14ac:dyDescent="0.25">
      <c r="A320" s="1" t="s">
        <v>1193</v>
      </c>
      <c r="B320" s="2">
        <v>44495</v>
      </c>
      <c r="C320" t="s">
        <v>1194</v>
      </c>
      <c r="D320" s="1" t="s">
        <v>30</v>
      </c>
      <c r="E320" t="s">
        <v>964</v>
      </c>
      <c r="F320" t="s">
        <v>1016</v>
      </c>
      <c r="G320" t="s">
        <v>1166</v>
      </c>
      <c r="H320" t="s">
        <v>1195</v>
      </c>
      <c r="I320">
        <v>2</v>
      </c>
      <c r="J320">
        <v>32</v>
      </c>
      <c r="K320">
        <v>11</v>
      </c>
      <c r="L320">
        <v>0.8</v>
      </c>
      <c r="M320">
        <v>50</v>
      </c>
      <c r="N320">
        <v>1500</v>
      </c>
      <c r="O320">
        <v>130</v>
      </c>
      <c r="P320">
        <v>194</v>
      </c>
      <c r="Q320">
        <v>4</v>
      </c>
      <c r="R320">
        <v>84</v>
      </c>
      <c r="S320" t="s">
        <v>176</v>
      </c>
      <c r="T320">
        <v>7215</v>
      </c>
      <c r="U320">
        <v>54</v>
      </c>
      <c r="V320" s="8" t="s">
        <v>33</v>
      </c>
      <c r="W320" t="s">
        <v>722</v>
      </c>
      <c r="X320" t="s">
        <v>723</v>
      </c>
      <c r="Z320" t="str">
        <f t="shared" si="7"/>
        <v>MS</v>
      </c>
      <c r="AA320" s="8"/>
      <c r="AB320">
        <f t="array" ref="AB320">_xlfn._xlws.FILTER(Projets!I$2:I$823,(Projets!A$2:A$823=A320), "")</f>
        <v>1144.25</v>
      </c>
    </row>
    <row r="321" spans="1:28" x14ac:dyDescent="0.25">
      <c r="A321" s="1" t="s">
        <v>1196</v>
      </c>
      <c r="B321" s="2">
        <v>44658</v>
      </c>
      <c r="C321" t="s">
        <v>1197</v>
      </c>
      <c r="D321" s="1" t="s">
        <v>30</v>
      </c>
      <c r="E321" t="s">
        <v>1197</v>
      </c>
      <c r="F321" t="s">
        <v>1197</v>
      </c>
      <c r="G321" t="s">
        <v>1198</v>
      </c>
      <c r="I321">
        <v>1</v>
      </c>
      <c r="J321">
        <v>3</v>
      </c>
      <c r="K321">
        <v>5</v>
      </c>
      <c r="L321">
        <v>1</v>
      </c>
      <c r="M321">
        <v>50</v>
      </c>
      <c r="N321">
        <v>214</v>
      </c>
      <c r="O321">
        <v>100</v>
      </c>
      <c r="P321">
        <v>100</v>
      </c>
      <c r="Q321">
        <v>28</v>
      </c>
      <c r="R321">
        <v>100</v>
      </c>
      <c r="S321" t="s">
        <v>176</v>
      </c>
      <c r="T321">
        <v>1005</v>
      </c>
      <c r="U321">
        <v>54</v>
      </c>
      <c r="V321" s="8" t="s">
        <v>212</v>
      </c>
      <c r="W321" t="s">
        <v>722</v>
      </c>
      <c r="Z321" t="str">
        <f t="shared" si="7"/>
        <v>MS</v>
      </c>
      <c r="AA321" s="8"/>
      <c r="AB321">
        <f t="array" ref="AB321">_xlfn._xlws.FILTER(Projets!I$2:I$823,(Projets!A$2:A$823=A321), "")</f>
        <v>3866.35</v>
      </c>
    </row>
    <row r="322" spans="1:28" x14ac:dyDescent="0.25">
      <c r="A322" s="1" t="s">
        <v>1199</v>
      </c>
      <c r="B322" s="2">
        <v>44685</v>
      </c>
      <c r="C322" t="s">
        <v>1200</v>
      </c>
      <c r="D322" s="1" t="s">
        <v>30</v>
      </c>
      <c r="E322" t="s">
        <v>1201</v>
      </c>
      <c r="F322" t="s">
        <v>1201</v>
      </c>
      <c r="G322" t="s">
        <v>1202</v>
      </c>
      <c r="H322" t="s">
        <v>1159</v>
      </c>
      <c r="I322">
        <v>1</v>
      </c>
      <c r="J322">
        <v>20</v>
      </c>
      <c r="K322">
        <v>15</v>
      </c>
      <c r="L322">
        <v>0.8</v>
      </c>
      <c r="M322">
        <v>50</v>
      </c>
      <c r="N322">
        <v>1500</v>
      </c>
      <c r="O322">
        <v>116</v>
      </c>
      <c r="P322">
        <v>144</v>
      </c>
      <c r="Q322">
        <v>4</v>
      </c>
      <c r="R322">
        <v>96</v>
      </c>
      <c r="S322" t="s">
        <v>176</v>
      </c>
      <c r="T322">
        <v>7215</v>
      </c>
      <c r="U322">
        <v>54</v>
      </c>
      <c r="V322" s="8" t="s">
        <v>33</v>
      </c>
      <c r="W322" t="s">
        <v>722</v>
      </c>
      <c r="X322" t="s">
        <v>723</v>
      </c>
      <c r="Z322" t="str">
        <f t="shared" si="7"/>
        <v>MS</v>
      </c>
      <c r="AA322" s="8"/>
      <c r="AB322">
        <f t="array" ref="AB322">_xlfn._xlws.FILTER(Projets!I$2:I$823,(Projets!A$2:A$823=A322), "")</f>
        <v>1734.6</v>
      </c>
    </row>
    <row r="323" spans="1:28" x14ac:dyDescent="0.25">
      <c r="A323" s="1" t="s">
        <v>1203</v>
      </c>
      <c r="B323" s="2">
        <v>44720</v>
      </c>
      <c r="C323" t="s">
        <v>1204</v>
      </c>
      <c r="D323" s="1" t="s">
        <v>30</v>
      </c>
      <c r="E323" t="s">
        <v>189</v>
      </c>
      <c r="F323" t="s">
        <v>189</v>
      </c>
      <c r="G323" t="s">
        <v>1205</v>
      </c>
      <c r="I323">
        <v>1</v>
      </c>
      <c r="J323">
        <v>9</v>
      </c>
      <c r="K323">
        <v>5</v>
      </c>
      <c r="L323">
        <v>1</v>
      </c>
      <c r="M323">
        <v>50</v>
      </c>
      <c r="N323">
        <v>1500</v>
      </c>
      <c r="O323">
        <v>100</v>
      </c>
      <c r="P323">
        <v>100</v>
      </c>
      <c r="Q323">
        <v>4</v>
      </c>
      <c r="R323">
        <v>100</v>
      </c>
      <c r="S323" t="s">
        <v>176</v>
      </c>
      <c r="T323">
        <v>1005</v>
      </c>
      <c r="U323">
        <v>54</v>
      </c>
      <c r="V323" s="8" t="s">
        <v>33</v>
      </c>
      <c r="W323" t="s">
        <v>722</v>
      </c>
      <c r="Z323" t="str">
        <f t="shared" si="7"/>
        <v>MS</v>
      </c>
      <c r="AA323" s="8"/>
      <c r="AB323">
        <f t="array" ref="AB323">_xlfn._xlws.FILTER(Projets!I$2:I$823,(Projets!A$2:A$823=A323), "")</f>
        <v>3105.87</v>
      </c>
    </row>
    <row r="324" spans="1:28" x14ac:dyDescent="0.25">
      <c r="A324" s="1" t="s">
        <v>1206</v>
      </c>
      <c r="B324" s="2">
        <v>44798</v>
      </c>
      <c r="C324" t="s">
        <v>1207</v>
      </c>
      <c r="D324" s="1" t="s">
        <v>30</v>
      </c>
      <c r="E324" t="s">
        <v>1208</v>
      </c>
      <c r="F324" t="s">
        <v>1209</v>
      </c>
      <c r="G324" t="s">
        <v>966</v>
      </c>
      <c r="H324" t="s">
        <v>1210</v>
      </c>
      <c r="I324">
        <v>1</v>
      </c>
      <c r="J324">
        <v>37.799999999999997</v>
      </c>
      <c r="K324">
        <v>15</v>
      </c>
      <c r="L324">
        <v>0.8</v>
      </c>
      <c r="M324">
        <v>50</v>
      </c>
      <c r="N324">
        <v>1500</v>
      </c>
      <c r="O324">
        <v>100</v>
      </c>
      <c r="P324">
        <v>100</v>
      </c>
      <c r="Q324">
        <v>4</v>
      </c>
      <c r="R324">
        <v>100</v>
      </c>
      <c r="S324" t="s">
        <v>176</v>
      </c>
      <c r="T324">
        <v>1005</v>
      </c>
      <c r="U324">
        <v>54</v>
      </c>
      <c r="V324" s="8" t="s">
        <v>33</v>
      </c>
      <c r="W324" t="s">
        <v>722</v>
      </c>
      <c r="X324" t="s">
        <v>761</v>
      </c>
      <c r="Z324" t="str">
        <f t="shared" si="7"/>
        <v>MS</v>
      </c>
      <c r="AA324" s="8"/>
      <c r="AB324" t="str">
        <f t="array" ref="AB324">_xlfn._xlws.FILTER(Projets!I$2:I$823,(Projets!A$2:A$823=A324), "")</f>
        <v/>
      </c>
    </row>
    <row r="325" spans="1:28" x14ac:dyDescent="0.25">
      <c r="A325" s="1" t="s">
        <v>1211</v>
      </c>
      <c r="B325" s="2">
        <v>44910</v>
      </c>
      <c r="C325" t="s">
        <v>1212</v>
      </c>
      <c r="D325" s="1" t="s">
        <v>145</v>
      </c>
      <c r="E325" t="s">
        <v>1213</v>
      </c>
      <c r="F325" t="s">
        <v>1214</v>
      </c>
      <c r="G325" t="s">
        <v>1215</v>
      </c>
      <c r="H325" t="s">
        <v>905</v>
      </c>
      <c r="I325">
        <v>3</v>
      </c>
      <c r="J325">
        <v>14.042</v>
      </c>
      <c r="K325">
        <v>11</v>
      </c>
      <c r="L325">
        <v>0.8</v>
      </c>
      <c r="M325">
        <v>50</v>
      </c>
      <c r="N325">
        <v>500</v>
      </c>
      <c r="O325">
        <v>177</v>
      </c>
      <c r="P325">
        <v>134</v>
      </c>
      <c r="Q325">
        <v>12</v>
      </c>
      <c r="R325">
        <v>144</v>
      </c>
      <c r="S325">
        <v>1</v>
      </c>
      <c r="T325">
        <v>1001</v>
      </c>
      <c r="U325">
        <v>23</v>
      </c>
      <c r="V325" s="8" t="s">
        <v>33</v>
      </c>
      <c r="W325" t="s">
        <v>722</v>
      </c>
      <c r="X325" t="s">
        <v>723</v>
      </c>
      <c r="Z325" t="str">
        <f t="shared" si="7"/>
        <v>MS</v>
      </c>
      <c r="AA325" s="8"/>
      <c r="AB325" t="str">
        <f t="array" ref="AB325">_xlfn._xlws.FILTER(Projets!I$2:I$823,(Projets!A$2:A$823=A325), "")</f>
        <v/>
      </c>
    </row>
    <row r="326" spans="1:28" x14ac:dyDescent="0.25">
      <c r="A326" s="1" t="s">
        <v>1211</v>
      </c>
      <c r="B326" s="2">
        <v>44910</v>
      </c>
      <c r="C326" t="s">
        <v>1212</v>
      </c>
      <c r="D326" s="1" t="s">
        <v>30</v>
      </c>
      <c r="E326" t="s">
        <v>1213</v>
      </c>
      <c r="F326" t="s">
        <v>1214</v>
      </c>
      <c r="G326" t="s">
        <v>1215</v>
      </c>
      <c r="H326" t="s">
        <v>905</v>
      </c>
      <c r="I326">
        <v>3</v>
      </c>
      <c r="J326">
        <v>14.042</v>
      </c>
      <c r="K326">
        <v>11</v>
      </c>
      <c r="L326">
        <v>0.8</v>
      </c>
      <c r="M326">
        <v>50</v>
      </c>
      <c r="N326">
        <v>500</v>
      </c>
      <c r="O326">
        <v>177</v>
      </c>
      <c r="P326">
        <v>134</v>
      </c>
      <c r="Q326">
        <v>12</v>
      </c>
      <c r="R326">
        <v>144</v>
      </c>
      <c r="S326">
        <v>1</v>
      </c>
      <c r="T326">
        <v>1001</v>
      </c>
      <c r="U326">
        <v>23</v>
      </c>
      <c r="V326" s="8" t="s">
        <v>33</v>
      </c>
      <c r="W326" t="s">
        <v>722</v>
      </c>
      <c r="X326" t="s">
        <v>723</v>
      </c>
      <c r="Z326" t="str">
        <f t="shared" si="7"/>
        <v>MS</v>
      </c>
      <c r="AA326" s="8"/>
      <c r="AB326" t="str">
        <f t="array" ref="AB326">_xlfn._xlws.FILTER(Projets!I$2:I$823,(Projets!A$2:A$823=A326), "")</f>
        <v/>
      </c>
    </row>
    <row r="327" spans="1:28" x14ac:dyDescent="0.25">
      <c r="A327" s="1" t="s">
        <v>1216</v>
      </c>
      <c r="B327" s="2">
        <v>44991</v>
      </c>
      <c r="C327" t="s">
        <v>1217</v>
      </c>
      <c r="D327" s="1" t="s">
        <v>187</v>
      </c>
      <c r="E327" t="s">
        <v>109</v>
      </c>
      <c r="F327" t="s">
        <v>216</v>
      </c>
      <c r="G327" t="s">
        <v>1090</v>
      </c>
      <c r="H327" t="s">
        <v>1218</v>
      </c>
      <c r="I327">
        <v>1</v>
      </c>
      <c r="J327">
        <v>6.5430000000000001</v>
      </c>
      <c r="K327">
        <v>11</v>
      </c>
      <c r="L327">
        <v>0.9</v>
      </c>
      <c r="M327">
        <v>60</v>
      </c>
      <c r="N327">
        <v>720</v>
      </c>
      <c r="O327">
        <v>122</v>
      </c>
      <c r="P327">
        <v>94</v>
      </c>
      <c r="Q327">
        <v>10</v>
      </c>
      <c r="R327">
        <v>120</v>
      </c>
      <c r="S327" t="s">
        <v>156</v>
      </c>
      <c r="T327">
        <v>1101</v>
      </c>
      <c r="U327">
        <v>44</v>
      </c>
      <c r="V327" s="8" t="s">
        <v>33</v>
      </c>
      <c r="W327" t="s">
        <v>722</v>
      </c>
      <c r="X327" t="s">
        <v>723</v>
      </c>
      <c r="Z327" t="str">
        <f t="shared" si="7"/>
        <v>MS</v>
      </c>
      <c r="AA327" s="8"/>
      <c r="AB327" t="str">
        <f t="array" ref="AB327">_xlfn._xlws.FILTER(Projets!I$2:I$823,(Projets!A$2:A$823=A327), "")</f>
        <v/>
      </c>
    </row>
    <row r="328" spans="1:28" x14ac:dyDescent="0.25">
      <c r="A328" s="1" t="s">
        <v>1216</v>
      </c>
      <c r="B328" s="2">
        <v>44991</v>
      </c>
      <c r="C328" t="s">
        <v>1219</v>
      </c>
      <c r="D328" s="1" t="s">
        <v>145</v>
      </c>
      <c r="E328" t="s">
        <v>109</v>
      </c>
      <c r="F328" t="s">
        <v>216</v>
      </c>
      <c r="G328" t="s">
        <v>1093</v>
      </c>
      <c r="H328" t="s">
        <v>1220</v>
      </c>
      <c r="I328">
        <v>2</v>
      </c>
      <c r="J328">
        <v>14.109</v>
      </c>
      <c r="K328">
        <v>11</v>
      </c>
      <c r="L328">
        <v>0.9</v>
      </c>
      <c r="M328">
        <v>60</v>
      </c>
      <c r="N328">
        <v>600</v>
      </c>
      <c r="O328">
        <v>177</v>
      </c>
      <c r="P328">
        <v>109</v>
      </c>
      <c r="Q328">
        <v>12</v>
      </c>
      <c r="R328">
        <v>144</v>
      </c>
      <c r="S328" t="s">
        <v>156</v>
      </c>
      <c r="T328">
        <v>1101</v>
      </c>
      <c r="U328">
        <v>44</v>
      </c>
      <c r="V328" s="8" t="s">
        <v>33</v>
      </c>
      <c r="W328" t="s">
        <v>722</v>
      </c>
      <c r="X328" t="s">
        <v>723</v>
      </c>
      <c r="Z328" t="str">
        <f t="shared" si="7"/>
        <v>MS</v>
      </c>
      <c r="AA328" s="8"/>
      <c r="AB328" t="str">
        <f t="array" ref="AB328">_xlfn._xlws.FILTER(Projets!I$2:I$823,(Projets!A$2:A$823=A328), "")</f>
        <v/>
      </c>
    </row>
    <row r="329" spans="1:28" x14ac:dyDescent="0.25">
      <c r="A329" s="1" t="s">
        <v>1216</v>
      </c>
      <c r="B329" s="2">
        <v>44991</v>
      </c>
      <c r="C329" t="s">
        <v>1219</v>
      </c>
      <c r="D329" s="1" t="s">
        <v>30</v>
      </c>
      <c r="E329" t="s">
        <v>109</v>
      </c>
      <c r="F329" t="s">
        <v>216</v>
      </c>
      <c r="G329" t="s">
        <v>1095</v>
      </c>
      <c r="H329" t="s">
        <v>1221</v>
      </c>
      <c r="I329">
        <v>2</v>
      </c>
      <c r="J329">
        <v>9.3800000000000008</v>
      </c>
      <c r="K329">
        <v>11</v>
      </c>
      <c r="L329">
        <v>0.9</v>
      </c>
      <c r="M329">
        <v>60</v>
      </c>
      <c r="N329">
        <v>600</v>
      </c>
      <c r="O329">
        <v>142</v>
      </c>
      <c r="P329">
        <v>119</v>
      </c>
      <c r="Q329">
        <v>12</v>
      </c>
      <c r="R329">
        <v>144</v>
      </c>
      <c r="S329" t="s">
        <v>156</v>
      </c>
      <c r="T329">
        <v>1101</v>
      </c>
      <c r="U329">
        <v>44</v>
      </c>
      <c r="V329" s="8" t="s">
        <v>33</v>
      </c>
      <c r="W329" t="s">
        <v>722</v>
      </c>
      <c r="X329" t="s">
        <v>723</v>
      </c>
      <c r="Z329" t="str">
        <f t="shared" si="7"/>
        <v>MS</v>
      </c>
      <c r="AA329" s="8"/>
      <c r="AB329" t="str">
        <f t="array" ref="AB329">_xlfn._xlws.FILTER(Projets!I$2:I$823,(Projets!A$2:A$823=A329), "")</f>
        <v/>
      </c>
    </row>
    <row r="330" spans="1:28" x14ac:dyDescent="0.25">
      <c r="A330" s="1" t="s">
        <v>1222</v>
      </c>
      <c r="B330" s="2">
        <v>45427</v>
      </c>
      <c r="C330" t="s">
        <v>1014</v>
      </c>
      <c r="D330" s="1" t="s">
        <v>30</v>
      </c>
      <c r="E330" t="s">
        <v>1016</v>
      </c>
      <c r="F330" t="s">
        <v>1223</v>
      </c>
      <c r="G330" t="s">
        <v>1017</v>
      </c>
      <c r="H330" t="s">
        <v>1013</v>
      </c>
      <c r="I330">
        <v>1</v>
      </c>
      <c r="J330">
        <v>41.65</v>
      </c>
      <c r="K330">
        <v>11</v>
      </c>
      <c r="L330">
        <v>0.85</v>
      </c>
      <c r="M330">
        <v>50</v>
      </c>
      <c r="N330">
        <v>1500</v>
      </c>
      <c r="O330">
        <v>135</v>
      </c>
      <c r="P330">
        <v>201</v>
      </c>
      <c r="Q330">
        <v>4</v>
      </c>
      <c r="R330">
        <v>72</v>
      </c>
      <c r="S330" t="s">
        <v>156</v>
      </c>
      <c r="T330">
        <v>1005</v>
      </c>
      <c r="U330">
        <v>54</v>
      </c>
      <c r="V330" s="8" t="s">
        <v>33</v>
      </c>
      <c r="W330" t="s">
        <v>722</v>
      </c>
      <c r="X330" t="s">
        <v>761</v>
      </c>
      <c r="Z330" t="str">
        <f t="shared" si="7"/>
        <v>MS</v>
      </c>
      <c r="AA330" s="8"/>
      <c r="AB330" t="str">
        <f t="array" ref="AB330">_xlfn._xlws.FILTER(Projets!I$2:I$823,(Projets!A$2:A$823=A330), "")</f>
        <v/>
      </c>
    </row>
    <row r="331" spans="1:28" x14ac:dyDescent="0.25">
      <c r="A331" s="1" t="s">
        <v>1224</v>
      </c>
      <c r="B331" s="2">
        <v>45566</v>
      </c>
      <c r="C331" t="s">
        <v>1225</v>
      </c>
      <c r="D331" s="1" t="s">
        <v>30</v>
      </c>
      <c r="E331" t="s">
        <v>1226</v>
      </c>
      <c r="F331" t="s">
        <v>1226</v>
      </c>
      <c r="G331" t="s">
        <v>1227</v>
      </c>
      <c r="H331" t="s">
        <v>1228</v>
      </c>
      <c r="I331">
        <v>1</v>
      </c>
      <c r="J331">
        <v>49</v>
      </c>
      <c r="K331">
        <v>15</v>
      </c>
      <c r="L331">
        <v>0.8</v>
      </c>
      <c r="M331">
        <v>50</v>
      </c>
      <c r="N331">
        <v>1500</v>
      </c>
      <c r="O331">
        <v>135</v>
      </c>
      <c r="P331">
        <v>240</v>
      </c>
      <c r="Q331">
        <v>4</v>
      </c>
      <c r="R331">
        <v>72</v>
      </c>
      <c r="S331" t="s">
        <v>156</v>
      </c>
      <c r="T331">
        <v>7215</v>
      </c>
      <c r="U331">
        <v>55</v>
      </c>
      <c r="V331" s="8" t="s">
        <v>212</v>
      </c>
      <c r="W331" t="s">
        <v>722</v>
      </c>
      <c r="X331" t="s">
        <v>761</v>
      </c>
      <c r="Z331" t="str">
        <f t="shared" si="7"/>
        <v>MS</v>
      </c>
      <c r="AA331" s="8"/>
      <c r="AB331" t="str">
        <f t="array" ref="AB331">_xlfn._xlws.FILTER(Projets!I$2:I$823,(Projets!A$2:A$823=A331), "")</f>
        <v/>
      </c>
    </row>
    <row r="332" spans="1:28" x14ac:dyDescent="0.25">
      <c r="A332" s="1" t="s">
        <v>1229</v>
      </c>
      <c r="B332" s="2">
        <v>45670</v>
      </c>
      <c r="C332" t="s">
        <v>1076</v>
      </c>
      <c r="D332" s="1" t="s">
        <v>30</v>
      </c>
      <c r="E332" t="s">
        <v>875</v>
      </c>
      <c r="F332" t="s">
        <v>875</v>
      </c>
      <c r="G332" t="s">
        <v>1077</v>
      </c>
      <c r="H332" t="s">
        <v>1230</v>
      </c>
      <c r="I332">
        <v>1</v>
      </c>
      <c r="J332">
        <v>12</v>
      </c>
      <c r="K332">
        <v>11</v>
      </c>
      <c r="L332">
        <v>0.8</v>
      </c>
      <c r="M332">
        <v>50</v>
      </c>
      <c r="N332">
        <v>750</v>
      </c>
      <c r="O332">
        <v>135</v>
      </c>
      <c r="P332">
        <v>134</v>
      </c>
      <c r="Q332">
        <v>8</v>
      </c>
      <c r="R332">
        <v>96</v>
      </c>
      <c r="S332" t="s">
        <v>1079</v>
      </c>
      <c r="T332">
        <v>7211</v>
      </c>
      <c r="U332">
        <v>54</v>
      </c>
      <c r="V332" s="8" t="s">
        <v>33</v>
      </c>
      <c r="W332" t="s">
        <v>722</v>
      </c>
      <c r="X332" t="s">
        <v>723</v>
      </c>
      <c r="Z332" t="str">
        <f t="shared" si="7"/>
        <v>MS</v>
      </c>
      <c r="AA332" s="8"/>
      <c r="AB332" t="str">
        <f t="array" ref="AB332">_xlfn._xlws.FILTER(Projets!I$2:I$823,(Projets!A$2:A$823=A332), "")</f>
        <v/>
      </c>
    </row>
    <row r="333" spans="1:28" x14ac:dyDescent="0.25">
      <c r="A333" s="1" t="s">
        <v>1231</v>
      </c>
      <c r="B333" s="2">
        <v>45995</v>
      </c>
      <c r="C333" t="s">
        <v>1232</v>
      </c>
      <c r="D333" s="1" t="s">
        <v>187</v>
      </c>
      <c r="E333" t="s">
        <v>1233</v>
      </c>
      <c r="F333" t="s">
        <v>1234</v>
      </c>
      <c r="G333" t="s">
        <v>1090</v>
      </c>
      <c r="H333" t="s">
        <v>1235</v>
      </c>
      <c r="I333">
        <v>1</v>
      </c>
      <c r="J333">
        <v>6</v>
      </c>
      <c r="K333">
        <v>11</v>
      </c>
      <c r="L333">
        <v>0.9</v>
      </c>
      <c r="M333">
        <v>60</v>
      </c>
      <c r="N333">
        <v>720</v>
      </c>
      <c r="O333">
        <v>122</v>
      </c>
      <c r="P333">
        <v>94</v>
      </c>
      <c r="Q333">
        <v>10</v>
      </c>
      <c r="R333">
        <v>120</v>
      </c>
      <c r="S333" t="s">
        <v>156</v>
      </c>
      <c r="T333">
        <v>1101</v>
      </c>
      <c r="U333">
        <v>44</v>
      </c>
      <c r="V333" s="8" t="s">
        <v>33</v>
      </c>
      <c r="W333" t="s">
        <v>722</v>
      </c>
      <c r="X333" t="s">
        <v>723</v>
      </c>
      <c r="Z333" t="str">
        <f t="shared" si="7"/>
        <v>MS</v>
      </c>
      <c r="AA333" s="8"/>
      <c r="AB333" t="str">
        <f t="array" ref="AB333">_xlfn._xlws.FILTER(Projets!I$2:I$823,(Projets!A$2:A$823=A333), "")</f>
        <v/>
      </c>
    </row>
    <row r="334" spans="1:28" x14ac:dyDescent="0.25">
      <c r="A334" s="1" t="s">
        <v>1231</v>
      </c>
      <c r="B334" s="2">
        <v>45995</v>
      </c>
      <c r="C334" t="s">
        <v>1232</v>
      </c>
      <c r="D334" s="1" t="s">
        <v>145</v>
      </c>
      <c r="E334" t="s">
        <v>1233</v>
      </c>
      <c r="F334" t="s">
        <v>1234</v>
      </c>
      <c r="G334" t="s">
        <v>1093</v>
      </c>
      <c r="H334" t="s">
        <v>1236</v>
      </c>
      <c r="I334">
        <v>2</v>
      </c>
      <c r="J334">
        <v>14</v>
      </c>
      <c r="K334">
        <v>11</v>
      </c>
      <c r="L334">
        <v>0.9</v>
      </c>
      <c r="M334">
        <v>60</v>
      </c>
      <c r="N334">
        <v>600</v>
      </c>
      <c r="O334">
        <v>176</v>
      </c>
      <c r="P334">
        <v>109</v>
      </c>
      <c r="Q334">
        <v>12</v>
      </c>
      <c r="R334">
        <v>144</v>
      </c>
      <c r="S334" t="s">
        <v>156</v>
      </c>
      <c r="T334">
        <v>1101</v>
      </c>
      <c r="U334">
        <v>44</v>
      </c>
      <c r="V334" s="8" t="s">
        <v>33</v>
      </c>
      <c r="W334" t="s">
        <v>722</v>
      </c>
      <c r="X334" t="s">
        <v>723</v>
      </c>
      <c r="Z334" t="str">
        <f t="shared" si="7"/>
        <v>MS</v>
      </c>
      <c r="AA334" s="8"/>
      <c r="AB334" t="str">
        <f t="array" ref="AB334">_xlfn._xlws.FILTER(Projets!I$2:I$823,(Projets!A$2:A$823=A334), "")</f>
        <v/>
      </c>
    </row>
    <row r="335" spans="1:28" x14ac:dyDescent="0.25">
      <c r="A335" s="1" t="s">
        <v>1231</v>
      </c>
      <c r="B335" s="2">
        <v>45995</v>
      </c>
      <c r="C335" t="s">
        <v>1232</v>
      </c>
      <c r="D335" s="1" t="s">
        <v>30</v>
      </c>
      <c r="E335" t="s">
        <v>1237</v>
      </c>
      <c r="F335" t="s">
        <v>1238</v>
      </c>
      <c r="G335" t="s">
        <v>1239</v>
      </c>
      <c r="H335" t="s">
        <v>1053</v>
      </c>
      <c r="I335">
        <v>2</v>
      </c>
      <c r="J335">
        <v>9</v>
      </c>
      <c r="K335">
        <v>11</v>
      </c>
      <c r="L335">
        <v>0.9</v>
      </c>
      <c r="M335">
        <v>60</v>
      </c>
      <c r="N335">
        <v>600</v>
      </c>
      <c r="O335">
        <v>141</v>
      </c>
      <c r="P335">
        <v>119</v>
      </c>
      <c r="Q335">
        <v>12</v>
      </c>
      <c r="R335">
        <v>144</v>
      </c>
      <c r="S335" t="s">
        <v>156</v>
      </c>
      <c r="T335">
        <v>1101</v>
      </c>
      <c r="U335">
        <v>44</v>
      </c>
      <c r="V335" s="8" t="s">
        <v>33</v>
      </c>
      <c r="W335" t="s">
        <v>722</v>
      </c>
      <c r="X335" t="s">
        <v>723</v>
      </c>
      <c r="Z335" t="str">
        <f t="shared" si="7"/>
        <v>MS</v>
      </c>
      <c r="AA335" s="8"/>
      <c r="AB335" t="str">
        <f t="array" ref="AB335">_xlfn._xlws.FILTER(Projets!I$2:I$823,(Projets!A$2:A$823=A335), "")</f>
        <v/>
      </c>
    </row>
    <row r="336" spans="1:28" x14ac:dyDescent="0.25">
      <c r="A336" s="1" t="s">
        <v>1240</v>
      </c>
      <c r="B336" s="2">
        <v>42485</v>
      </c>
      <c r="C336" t="s">
        <v>1241</v>
      </c>
      <c r="D336" s="1" t="s">
        <v>30</v>
      </c>
      <c r="E336" t="s">
        <v>855</v>
      </c>
      <c r="F336" t="s">
        <v>856</v>
      </c>
      <c r="G336" t="s">
        <v>1242</v>
      </c>
      <c r="H336" t="s">
        <v>853</v>
      </c>
      <c r="I336">
        <v>1</v>
      </c>
      <c r="J336">
        <v>8.6999999999999993</v>
      </c>
      <c r="K336">
        <v>4.16</v>
      </c>
      <c r="L336">
        <v>0.8</v>
      </c>
      <c r="M336">
        <v>50</v>
      </c>
      <c r="N336">
        <v>600</v>
      </c>
      <c r="O336">
        <v>193</v>
      </c>
      <c r="P336">
        <v>99</v>
      </c>
      <c r="Q336">
        <v>10</v>
      </c>
      <c r="R336">
        <v>150</v>
      </c>
      <c r="S336" t="s">
        <v>69</v>
      </c>
      <c r="T336">
        <v>1001</v>
      </c>
      <c r="U336">
        <v>23</v>
      </c>
      <c r="V336" s="8" t="s">
        <v>33</v>
      </c>
      <c r="W336" t="s">
        <v>722</v>
      </c>
      <c r="X336" t="s">
        <v>723</v>
      </c>
      <c r="Z336" t="str">
        <f t="shared" si="7"/>
        <v>NUC</v>
      </c>
      <c r="AA336" s="8"/>
      <c r="AB336">
        <f t="array" ref="AB336">_xlfn._xlws.FILTER(Projets!I$2:I$823,(Projets!A$2:A$823=A336), "")</f>
        <v>1516.05</v>
      </c>
    </row>
    <row r="337" spans="1:28" x14ac:dyDescent="0.25">
      <c r="A337" s="1" t="s">
        <v>1243</v>
      </c>
      <c r="B337" s="2">
        <v>43150</v>
      </c>
      <c r="C337" t="s">
        <v>1244</v>
      </c>
      <c r="D337" s="1" t="s">
        <v>30</v>
      </c>
      <c r="E337" t="s">
        <v>1245</v>
      </c>
      <c r="F337" t="s">
        <v>1246</v>
      </c>
      <c r="G337" t="s">
        <v>1247</v>
      </c>
      <c r="H337" t="s">
        <v>1248</v>
      </c>
      <c r="I337">
        <v>1</v>
      </c>
      <c r="J337">
        <v>5.5</v>
      </c>
      <c r="K337">
        <v>4.16</v>
      </c>
      <c r="L337">
        <v>0.8</v>
      </c>
      <c r="M337">
        <v>60</v>
      </c>
      <c r="N337">
        <v>600</v>
      </c>
      <c r="O337">
        <v>152</v>
      </c>
      <c r="P337">
        <v>104</v>
      </c>
      <c r="Q337">
        <v>12</v>
      </c>
      <c r="R337">
        <v>162</v>
      </c>
      <c r="S337">
        <v>1</v>
      </c>
      <c r="T337">
        <v>7105</v>
      </c>
      <c r="U337">
        <v>23</v>
      </c>
      <c r="V337" s="8" t="s">
        <v>33</v>
      </c>
      <c r="W337" t="s">
        <v>722</v>
      </c>
      <c r="Z337" t="str">
        <f t="shared" si="7"/>
        <v>NUC</v>
      </c>
      <c r="AA337" s="8"/>
      <c r="AB337">
        <f t="array" ref="AB337">_xlfn._xlws.FILTER(Projets!I$2:I$823,(Projets!A$2:A$823=A337), "")</f>
        <v>1418.55</v>
      </c>
    </row>
    <row r="338" spans="1:28" x14ac:dyDescent="0.25">
      <c r="A338" s="1" t="s">
        <v>1249</v>
      </c>
      <c r="B338" s="2">
        <v>43475</v>
      </c>
      <c r="C338" t="s">
        <v>1250</v>
      </c>
      <c r="D338" s="1" t="s">
        <v>30</v>
      </c>
      <c r="E338" t="s">
        <v>1251</v>
      </c>
      <c r="F338" t="s">
        <v>856</v>
      </c>
      <c r="G338" t="s">
        <v>1252</v>
      </c>
      <c r="H338" t="s">
        <v>853</v>
      </c>
      <c r="I338">
        <v>2</v>
      </c>
      <c r="J338">
        <v>7</v>
      </c>
      <c r="K338">
        <v>4</v>
      </c>
      <c r="L338">
        <v>0.8</v>
      </c>
      <c r="M338">
        <v>60</v>
      </c>
      <c r="N338">
        <v>514</v>
      </c>
      <c r="O338">
        <v>180</v>
      </c>
      <c r="P338">
        <v>114</v>
      </c>
      <c r="Q338">
        <v>14</v>
      </c>
      <c r="R338">
        <v>168</v>
      </c>
      <c r="S338">
        <v>1</v>
      </c>
      <c r="T338">
        <v>1001</v>
      </c>
      <c r="U338">
        <v>23</v>
      </c>
      <c r="V338" s="8" t="s">
        <v>106</v>
      </c>
      <c r="W338" t="s">
        <v>722</v>
      </c>
      <c r="Z338" t="str">
        <f t="shared" si="7"/>
        <v>NUC</v>
      </c>
      <c r="AA338" s="8"/>
      <c r="AB338">
        <f t="array" ref="AB338">_xlfn._xlws.FILTER(Projets!I$2:I$823,(Projets!A$2:A$823=A338), "")</f>
        <v>3143.9799999999991</v>
      </c>
    </row>
    <row r="339" spans="1:28" x14ac:dyDescent="0.25">
      <c r="A339" s="1" t="s">
        <v>1253</v>
      </c>
      <c r="B339" s="2">
        <v>43976</v>
      </c>
      <c r="C339" t="s">
        <v>1254</v>
      </c>
      <c r="D339" s="1" t="s">
        <v>30</v>
      </c>
      <c r="E339" t="s">
        <v>1255</v>
      </c>
      <c r="F339" t="s">
        <v>1255</v>
      </c>
      <c r="G339" t="s">
        <v>1256</v>
      </c>
      <c r="I339">
        <v>1</v>
      </c>
      <c r="J339">
        <v>4.5</v>
      </c>
      <c r="K339">
        <v>6.6</v>
      </c>
      <c r="L339">
        <v>0.8</v>
      </c>
      <c r="M339">
        <v>60</v>
      </c>
      <c r="N339">
        <v>1200</v>
      </c>
      <c r="O339">
        <v>100</v>
      </c>
      <c r="P339">
        <v>90</v>
      </c>
      <c r="Q339">
        <v>6</v>
      </c>
      <c r="R339">
        <v>81</v>
      </c>
      <c r="S339">
        <v>1</v>
      </c>
      <c r="T339">
        <v>1002</v>
      </c>
      <c r="U339">
        <v>23</v>
      </c>
      <c r="V339" s="8" t="s">
        <v>33</v>
      </c>
      <c r="W339" t="s">
        <v>722</v>
      </c>
      <c r="Z339" t="str">
        <f t="shared" ref="Z339:Z357" si="8">IF(MID(A339, 2, 1)="M", "MIL", IF(MID(A339, 2, 1)="N", "NUC", "MS"))</f>
        <v>NUC</v>
      </c>
      <c r="AA339" s="8"/>
      <c r="AB339">
        <f t="array" ref="AB339">_xlfn._xlws.FILTER(Projets!I$2:I$823,(Projets!A$2:A$823=A339), "")</f>
        <v>413.28</v>
      </c>
    </row>
    <row r="340" spans="1:28" x14ac:dyDescent="0.25">
      <c r="A340" s="1" t="s">
        <v>1257</v>
      </c>
      <c r="B340" s="2">
        <v>44039</v>
      </c>
      <c r="C340" t="s">
        <v>1258</v>
      </c>
      <c r="D340" s="1" t="s">
        <v>30</v>
      </c>
      <c r="E340" t="s">
        <v>875</v>
      </c>
      <c r="F340" t="s">
        <v>1259</v>
      </c>
      <c r="G340" t="s">
        <v>1260</v>
      </c>
      <c r="I340">
        <v>4</v>
      </c>
      <c r="J340">
        <v>10.5</v>
      </c>
      <c r="K340">
        <v>10.5</v>
      </c>
      <c r="L340">
        <v>0.8</v>
      </c>
      <c r="M340">
        <v>50</v>
      </c>
      <c r="N340">
        <v>750</v>
      </c>
      <c r="O340">
        <v>139</v>
      </c>
      <c r="P340">
        <v>154</v>
      </c>
      <c r="Q340">
        <v>8</v>
      </c>
      <c r="R340">
        <v>96</v>
      </c>
      <c r="S340">
        <v>31</v>
      </c>
      <c r="T340">
        <v>1005</v>
      </c>
      <c r="U340" t="s">
        <v>1261</v>
      </c>
      <c r="V340" s="8" t="s">
        <v>33</v>
      </c>
      <c r="W340" t="s">
        <v>722</v>
      </c>
      <c r="X340" t="s">
        <v>723</v>
      </c>
      <c r="Z340" t="str">
        <f t="shared" si="8"/>
        <v>NUC</v>
      </c>
      <c r="AA340" s="8"/>
      <c r="AB340">
        <f t="array" ref="AB340">_xlfn._xlws.FILTER(Projets!I$2:I$823,(Projets!A$2:A$823=A340), "")</f>
        <v>2328.9</v>
      </c>
    </row>
    <row r="341" spans="1:28" x14ac:dyDescent="0.25">
      <c r="A341" s="1" t="s">
        <v>1262</v>
      </c>
      <c r="B341" s="2">
        <v>44091</v>
      </c>
      <c r="C341" t="s">
        <v>1263</v>
      </c>
      <c r="D341" s="1" t="s">
        <v>30</v>
      </c>
      <c r="E341" t="s">
        <v>875</v>
      </c>
      <c r="F341" t="s">
        <v>1259</v>
      </c>
      <c r="G341" t="s">
        <v>1264</v>
      </c>
      <c r="H341" t="s">
        <v>1253</v>
      </c>
      <c r="I341">
        <v>2</v>
      </c>
      <c r="J341">
        <v>6.3</v>
      </c>
      <c r="K341">
        <v>10.5</v>
      </c>
      <c r="L341">
        <v>0.8</v>
      </c>
      <c r="M341">
        <v>50</v>
      </c>
      <c r="N341">
        <v>750</v>
      </c>
      <c r="O341">
        <v>128</v>
      </c>
      <c r="P341">
        <v>129</v>
      </c>
      <c r="Q341">
        <v>8</v>
      </c>
      <c r="R341">
        <v>96</v>
      </c>
      <c r="S341">
        <v>31</v>
      </c>
      <c r="T341">
        <v>1005</v>
      </c>
      <c r="U341">
        <v>41</v>
      </c>
      <c r="V341" s="8" t="s">
        <v>33</v>
      </c>
      <c r="W341" t="s">
        <v>722</v>
      </c>
      <c r="X341" t="s">
        <v>723</v>
      </c>
      <c r="Z341" t="str">
        <f t="shared" si="8"/>
        <v>NUC</v>
      </c>
      <c r="AA341" s="8"/>
      <c r="AB341">
        <f t="array" ref="AB341">_xlfn._xlws.FILTER(Projets!I$2:I$823,(Projets!A$2:A$823=A341), "")</f>
        <v>1470</v>
      </c>
    </row>
    <row r="342" spans="1:28" x14ac:dyDescent="0.25">
      <c r="A342" s="1" t="s">
        <v>1265</v>
      </c>
      <c r="B342" s="2">
        <v>44235</v>
      </c>
      <c r="C342" t="s">
        <v>1266</v>
      </c>
      <c r="D342" s="1" t="s">
        <v>30</v>
      </c>
      <c r="E342" t="s">
        <v>668</v>
      </c>
      <c r="F342" t="s">
        <v>668</v>
      </c>
      <c r="G342" t="s">
        <v>1267</v>
      </c>
      <c r="H342" t="s">
        <v>1268</v>
      </c>
      <c r="I342">
        <v>1</v>
      </c>
      <c r="J342">
        <v>1</v>
      </c>
      <c r="K342">
        <v>2</v>
      </c>
      <c r="L342">
        <v>1</v>
      </c>
      <c r="M342">
        <v>50</v>
      </c>
      <c r="N342">
        <v>1500</v>
      </c>
      <c r="O342">
        <v>52</v>
      </c>
      <c r="P342">
        <v>35</v>
      </c>
      <c r="Q342">
        <v>4</v>
      </c>
      <c r="R342">
        <v>60</v>
      </c>
      <c r="S342">
        <v>0</v>
      </c>
      <c r="T342">
        <v>1001</v>
      </c>
      <c r="U342">
        <v>23</v>
      </c>
      <c r="V342" s="8" t="s">
        <v>33</v>
      </c>
      <c r="W342" t="s">
        <v>722</v>
      </c>
      <c r="Z342" t="str">
        <f t="shared" si="8"/>
        <v>NUC</v>
      </c>
      <c r="AA342" s="8"/>
      <c r="AB342">
        <f t="array" ref="AB342">_xlfn._xlws.FILTER(Projets!I$2:I$823,(Projets!A$2:A$823=A342), "")</f>
        <v>72.949999999999989</v>
      </c>
    </row>
    <row r="343" spans="1:28" x14ac:dyDescent="0.25">
      <c r="A343" s="1" t="s">
        <v>1269</v>
      </c>
      <c r="B343" s="2">
        <v>45646</v>
      </c>
      <c r="C343" t="s">
        <v>1270</v>
      </c>
      <c r="D343" s="1" t="s">
        <v>30</v>
      </c>
      <c r="E343" t="s">
        <v>875</v>
      </c>
      <c r="F343" t="s">
        <v>272</v>
      </c>
      <c r="G343" t="s">
        <v>1271</v>
      </c>
      <c r="H343" t="s">
        <v>1257</v>
      </c>
      <c r="I343">
        <v>25</v>
      </c>
      <c r="J343">
        <v>10</v>
      </c>
      <c r="K343">
        <v>10</v>
      </c>
      <c r="L343">
        <v>0.8</v>
      </c>
      <c r="M343">
        <v>50</v>
      </c>
      <c r="N343">
        <v>750</v>
      </c>
      <c r="O343">
        <v>139</v>
      </c>
      <c r="P343">
        <v>144</v>
      </c>
      <c r="Q343">
        <v>8</v>
      </c>
      <c r="R343">
        <v>96</v>
      </c>
      <c r="S343" t="s">
        <v>69</v>
      </c>
      <c r="T343">
        <v>1001</v>
      </c>
      <c r="U343">
        <v>24</v>
      </c>
      <c r="V343" s="8" t="s">
        <v>33</v>
      </c>
      <c r="W343" t="s">
        <v>722</v>
      </c>
      <c r="X343" t="s">
        <v>723</v>
      </c>
      <c r="Z343" t="str">
        <f t="shared" si="8"/>
        <v>NUC</v>
      </c>
      <c r="AA343" s="8"/>
      <c r="AB343" t="str">
        <f t="array" ref="AB343">_xlfn._xlws.FILTER(Projets!I$2:I$823,(Projets!A$2:A$823=A343), "")</f>
        <v/>
      </c>
    </row>
    <row r="344" spans="1:28" x14ac:dyDescent="0.25">
      <c r="A344" s="1" t="s">
        <v>1272</v>
      </c>
      <c r="B344" s="2">
        <v>40256</v>
      </c>
      <c r="C344" t="s">
        <v>1273</v>
      </c>
      <c r="D344" s="1" t="s">
        <v>30</v>
      </c>
      <c r="E344" t="s">
        <v>146</v>
      </c>
      <c r="F344" t="s">
        <v>1274</v>
      </c>
      <c r="G344" t="s">
        <v>1275</v>
      </c>
      <c r="H344" t="s">
        <v>1276</v>
      </c>
      <c r="I344">
        <v>1</v>
      </c>
      <c r="J344">
        <v>5</v>
      </c>
      <c r="K344">
        <v>10</v>
      </c>
      <c r="L344">
        <v>0.8</v>
      </c>
      <c r="M344">
        <v>50</v>
      </c>
      <c r="N344">
        <v>1000</v>
      </c>
      <c r="O344">
        <v>115</v>
      </c>
      <c r="P344">
        <v>126</v>
      </c>
      <c r="Q344">
        <v>6</v>
      </c>
      <c r="R344">
        <v>90</v>
      </c>
      <c r="S344">
        <v>1</v>
      </c>
      <c r="T344">
        <v>1101</v>
      </c>
      <c r="U344">
        <v>44</v>
      </c>
      <c r="V344" s="8" t="s">
        <v>33</v>
      </c>
      <c r="W344" t="s">
        <v>722</v>
      </c>
      <c r="Z344" t="str">
        <f t="shared" si="8"/>
        <v>MS</v>
      </c>
      <c r="AA344" s="8"/>
      <c r="AB344">
        <f t="array" ref="AB344">_xlfn._xlws.FILTER(Projets!I$2:I$823,(Projets!A$2:A$823=A344), "")</f>
        <v>173.5</v>
      </c>
    </row>
    <row r="345" spans="1:28" x14ac:dyDescent="0.25">
      <c r="A345" s="1" t="s">
        <v>1277</v>
      </c>
      <c r="B345" s="2">
        <v>41842</v>
      </c>
      <c r="C345" t="s">
        <v>226</v>
      </c>
      <c r="D345" s="1" t="s">
        <v>30</v>
      </c>
      <c r="E345" t="s">
        <v>1278</v>
      </c>
      <c r="F345" t="s">
        <v>1278</v>
      </c>
      <c r="G345" t="s">
        <v>1279</v>
      </c>
      <c r="I345">
        <v>1</v>
      </c>
      <c r="J345">
        <v>5</v>
      </c>
      <c r="K345">
        <v>6</v>
      </c>
      <c r="L345">
        <v>0.8</v>
      </c>
      <c r="M345">
        <v>60</v>
      </c>
      <c r="N345">
        <v>600</v>
      </c>
      <c r="O345">
        <v>250</v>
      </c>
      <c r="P345">
        <v>250</v>
      </c>
      <c r="Q345">
        <v>12</v>
      </c>
      <c r="R345">
        <v>72</v>
      </c>
      <c r="S345">
        <v>0</v>
      </c>
      <c r="T345">
        <v>1002</v>
      </c>
      <c r="U345">
        <v>44</v>
      </c>
      <c r="V345" s="8" t="s">
        <v>33</v>
      </c>
      <c r="W345" t="s">
        <v>722</v>
      </c>
      <c r="Z345" t="str">
        <f t="shared" si="8"/>
        <v>MS</v>
      </c>
      <c r="AA345" s="8"/>
      <c r="AB345">
        <f t="array" ref="AB345">_xlfn._xlws.FILTER(Projets!I$2:I$823,(Projets!A$2:A$823=A345), "")</f>
        <v>4.5</v>
      </c>
    </row>
    <row r="346" spans="1:28" x14ac:dyDescent="0.25">
      <c r="A346" s="1" t="s">
        <v>1280</v>
      </c>
      <c r="B346" s="2">
        <v>42052</v>
      </c>
      <c r="C346" t="s">
        <v>1281</v>
      </c>
      <c r="D346" s="1" t="s">
        <v>145</v>
      </c>
      <c r="E346" t="s">
        <v>1282</v>
      </c>
      <c r="F346" t="s">
        <v>675</v>
      </c>
      <c r="G346" t="s">
        <v>1283</v>
      </c>
      <c r="I346">
        <v>1</v>
      </c>
      <c r="J346">
        <v>0.95</v>
      </c>
      <c r="K346">
        <v>10</v>
      </c>
      <c r="L346">
        <v>0.85</v>
      </c>
      <c r="M346">
        <v>50</v>
      </c>
      <c r="N346">
        <v>600</v>
      </c>
      <c r="O346">
        <v>74</v>
      </c>
      <c r="P346">
        <v>104</v>
      </c>
      <c r="Q346">
        <v>10</v>
      </c>
      <c r="R346">
        <v>90</v>
      </c>
      <c r="S346" t="s">
        <v>49</v>
      </c>
      <c r="T346">
        <v>3011</v>
      </c>
      <c r="U346">
        <v>55</v>
      </c>
      <c r="V346" s="8" t="s">
        <v>33</v>
      </c>
      <c r="W346" t="s">
        <v>34</v>
      </c>
      <c r="X346" t="s">
        <v>41</v>
      </c>
      <c r="Z346" t="str">
        <f t="shared" si="8"/>
        <v>MS</v>
      </c>
      <c r="AA346" s="8"/>
      <c r="AB346">
        <f t="array" ref="AB346">_xlfn._xlws.FILTER(Projets!I$2:I$823,(Projets!A$2:A$823=A346), "")</f>
        <v>1355.2</v>
      </c>
    </row>
    <row r="347" spans="1:28" x14ac:dyDescent="0.25">
      <c r="A347" s="1" t="s">
        <v>1280</v>
      </c>
      <c r="B347" s="2">
        <v>42052</v>
      </c>
      <c r="C347" t="s">
        <v>1284</v>
      </c>
      <c r="D347" s="1" t="s">
        <v>30</v>
      </c>
      <c r="E347" t="s">
        <v>1282</v>
      </c>
      <c r="F347" t="s">
        <v>675</v>
      </c>
      <c r="G347" t="s">
        <v>1285</v>
      </c>
      <c r="I347">
        <v>1</v>
      </c>
      <c r="J347">
        <v>0.93</v>
      </c>
      <c r="K347">
        <v>10</v>
      </c>
      <c r="L347">
        <v>0.85</v>
      </c>
      <c r="M347">
        <v>50</v>
      </c>
      <c r="N347">
        <v>750</v>
      </c>
      <c r="O347">
        <v>73</v>
      </c>
      <c r="P347">
        <v>74</v>
      </c>
      <c r="Q347">
        <v>8</v>
      </c>
      <c r="R347">
        <v>96</v>
      </c>
      <c r="S347" t="s">
        <v>49</v>
      </c>
      <c r="T347">
        <v>3011</v>
      </c>
      <c r="U347">
        <v>55</v>
      </c>
      <c r="V347" s="8" t="s">
        <v>106</v>
      </c>
      <c r="W347" t="s">
        <v>34</v>
      </c>
      <c r="X347" t="s">
        <v>41</v>
      </c>
      <c r="Z347" t="str">
        <f t="shared" si="8"/>
        <v>MS</v>
      </c>
      <c r="AA347" s="8"/>
      <c r="AB347">
        <f t="array" ref="AB347">_xlfn._xlws.FILTER(Projets!I$2:I$823,(Projets!A$2:A$823=A347), "")</f>
        <v>1355.2</v>
      </c>
    </row>
    <row r="348" spans="1:28" x14ac:dyDescent="0.25">
      <c r="A348" s="1" t="s">
        <v>1286</v>
      </c>
      <c r="B348" s="2">
        <v>42101</v>
      </c>
      <c r="C348" t="s">
        <v>1287</v>
      </c>
      <c r="D348" s="1" t="s">
        <v>30</v>
      </c>
      <c r="E348" t="s">
        <v>74</v>
      </c>
      <c r="F348" t="s">
        <v>272</v>
      </c>
      <c r="G348" t="s">
        <v>1288</v>
      </c>
      <c r="I348">
        <v>1</v>
      </c>
      <c r="J348">
        <v>0.375</v>
      </c>
      <c r="K348">
        <v>6.6</v>
      </c>
      <c r="L348">
        <v>0.85</v>
      </c>
      <c r="M348">
        <v>50</v>
      </c>
      <c r="N348">
        <v>1500</v>
      </c>
      <c r="O348">
        <v>40</v>
      </c>
      <c r="P348">
        <v>40</v>
      </c>
      <c r="Q348">
        <v>4</v>
      </c>
      <c r="R348">
        <v>48</v>
      </c>
      <c r="S348" t="s">
        <v>49</v>
      </c>
      <c r="T348">
        <v>3011</v>
      </c>
      <c r="U348">
        <v>54</v>
      </c>
      <c r="V348" s="8" t="s">
        <v>33</v>
      </c>
      <c r="W348" t="s">
        <v>34</v>
      </c>
      <c r="X348" t="s">
        <v>41</v>
      </c>
      <c r="Z348" t="str">
        <f t="shared" si="8"/>
        <v>MS</v>
      </c>
      <c r="AA348" s="8"/>
      <c r="AB348">
        <f t="array" ref="AB348">_xlfn._xlws.FILTER(Projets!I$2:I$823,(Projets!A$2:A$823=A348), "")</f>
        <v>211.45</v>
      </c>
    </row>
    <row r="349" spans="1:28" x14ac:dyDescent="0.25">
      <c r="A349" s="1" t="s">
        <v>1289</v>
      </c>
      <c r="B349" s="2">
        <v>42131</v>
      </c>
      <c r="C349" t="s">
        <v>1290</v>
      </c>
      <c r="D349" s="1" t="s">
        <v>30</v>
      </c>
      <c r="E349" t="s">
        <v>1291</v>
      </c>
      <c r="F349" t="s">
        <v>272</v>
      </c>
      <c r="G349" t="s">
        <v>1292</v>
      </c>
      <c r="I349">
        <v>1</v>
      </c>
      <c r="J349">
        <v>0.44</v>
      </c>
      <c r="K349">
        <v>6.6</v>
      </c>
      <c r="L349">
        <v>0.85</v>
      </c>
      <c r="M349">
        <v>50</v>
      </c>
      <c r="N349">
        <v>3000</v>
      </c>
      <c r="O349">
        <v>41</v>
      </c>
      <c r="P349">
        <v>30</v>
      </c>
      <c r="Q349">
        <v>2</v>
      </c>
      <c r="R349">
        <v>48</v>
      </c>
      <c r="S349" t="s">
        <v>49</v>
      </c>
      <c r="T349">
        <v>3011</v>
      </c>
      <c r="U349">
        <v>54</v>
      </c>
      <c r="V349" s="8" t="s">
        <v>33</v>
      </c>
      <c r="W349" t="s">
        <v>34</v>
      </c>
      <c r="X349" t="s">
        <v>41</v>
      </c>
      <c r="Z349" t="str">
        <f t="shared" si="8"/>
        <v>MS</v>
      </c>
      <c r="AA349" s="8"/>
      <c r="AB349">
        <f t="array" ref="AB349">_xlfn._xlws.FILTER(Projets!I$2:I$823,(Projets!A$2:A$823=A349), "")</f>
        <v>351.6</v>
      </c>
    </row>
    <row r="350" spans="1:28" x14ac:dyDescent="0.25">
      <c r="A350" s="1" t="s">
        <v>1293</v>
      </c>
      <c r="B350" s="2">
        <v>42131</v>
      </c>
      <c r="C350" t="s">
        <v>1294</v>
      </c>
      <c r="D350" s="1" t="s">
        <v>30</v>
      </c>
      <c r="E350" t="s">
        <v>452</v>
      </c>
      <c r="F350" t="s">
        <v>272</v>
      </c>
      <c r="G350" t="s">
        <v>1288</v>
      </c>
      <c r="I350">
        <v>1</v>
      </c>
      <c r="J350">
        <v>0.33</v>
      </c>
      <c r="K350">
        <v>6.6</v>
      </c>
      <c r="L350">
        <v>0.85</v>
      </c>
      <c r="M350">
        <v>50</v>
      </c>
      <c r="N350">
        <v>1500</v>
      </c>
      <c r="O350">
        <v>47</v>
      </c>
      <c r="P350">
        <v>35</v>
      </c>
      <c r="Q350">
        <v>4</v>
      </c>
      <c r="R350">
        <v>48</v>
      </c>
      <c r="S350" t="s">
        <v>49</v>
      </c>
      <c r="T350">
        <v>3011</v>
      </c>
      <c r="U350">
        <v>54</v>
      </c>
      <c r="V350" s="8" t="s">
        <v>33</v>
      </c>
      <c r="W350" t="s">
        <v>34</v>
      </c>
      <c r="X350" t="s">
        <v>41</v>
      </c>
      <c r="Z350" t="str">
        <f t="shared" si="8"/>
        <v>MS</v>
      </c>
      <c r="AA350" s="8"/>
      <c r="AB350">
        <f t="array" ref="AB350">_xlfn._xlws.FILTER(Projets!I$2:I$823,(Projets!A$2:A$823=A350), "")</f>
        <v>477.9</v>
      </c>
    </row>
    <row r="351" spans="1:28" x14ac:dyDescent="0.25">
      <c r="A351" s="1" t="s">
        <v>1295</v>
      </c>
      <c r="B351" s="2">
        <v>42563</v>
      </c>
      <c r="C351" t="s">
        <v>1296</v>
      </c>
      <c r="D351" s="1" t="s">
        <v>30</v>
      </c>
      <c r="E351" t="s">
        <v>1297</v>
      </c>
      <c r="F351" t="s">
        <v>1296</v>
      </c>
      <c r="G351" t="s">
        <v>1298</v>
      </c>
      <c r="I351">
        <v>1</v>
      </c>
      <c r="J351">
        <v>13</v>
      </c>
      <c r="K351">
        <v>10</v>
      </c>
      <c r="L351">
        <v>1</v>
      </c>
      <c r="M351">
        <v>50</v>
      </c>
      <c r="N351">
        <v>187</v>
      </c>
      <c r="O351">
        <v>38</v>
      </c>
      <c r="P351">
        <v>63</v>
      </c>
      <c r="Q351">
        <v>32</v>
      </c>
      <c r="R351">
        <v>324</v>
      </c>
      <c r="S351" t="s">
        <v>197</v>
      </c>
      <c r="T351">
        <v>7125</v>
      </c>
      <c r="U351">
        <v>55</v>
      </c>
      <c r="V351" s="8" t="s">
        <v>33</v>
      </c>
      <c r="W351" t="s">
        <v>722</v>
      </c>
      <c r="Z351" t="str">
        <f t="shared" si="8"/>
        <v>MS</v>
      </c>
      <c r="AA351" s="8"/>
      <c r="AB351">
        <f t="array" ref="AB351">_xlfn._xlws.FILTER(Projets!I$2:I$823,(Projets!A$2:A$823=A351), "")</f>
        <v>1100.7</v>
      </c>
    </row>
    <row r="352" spans="1:28" x14ac:dyDescent="0.25">
      <c r="A352" s="1" t="s">
        <v>634</v>
      </c>
      <c r="B352" s="2">
        <v>42683</v>
      </c>
      <c r="C352" t="s">
        <v>1299</v>
      </c>
      <c r="D352" s="1" t="s">
        <v>30</v>
      </c>
      <c r="E352" t="s">
        <v>1300</v>
      </c>
      <c r="F352" t="s">
        <v>1301</v>
      </c>
      <c r="G352" t="s">
        <v>1302</v>
      </c>
      <c r="I352">
        <v>1</v>
      </c>
      <c r="J352">
        <v>1</v>
      </c>
      <c r="K352">
        <v>10</v>
      </c>
      <c r="L352">
        <v>1</v>
      </c>
      <c r="M352">
        <v>50</v>
      </c>
      <c r="N352">
        <v>3000</v>
      </c>
      <c r="O352">
        <v>53</v>
      </c>
      <c r="P352">
        <v>69</v>
      </c>
      <c r="Q352">
        <v>2</v>
      </c>
      <c r="R352">
        <v>54</v>
      </c>
      <c r="S352" t="s">
        <v>176</v>
      </c>
      <c r="T352">
        <v>1001</v>
      </c>
      <c r="U352">
        <v>55</v>
      </c>
      <c r="V352" s="8" t="s">
        <v>33</v>
      </c>
      <c r="W352" t="s">
        <v>34</v>
      </c>
      <c r="X352" t="s">
        <v>41</v>
      </c>
      <c r="Z352" t="str">
        <f t="shared" si="8"/>
        <v>MS</v>
      </c>
      <c r="AA352" s="8"/>
      <c r="AB352">
        <f t="array" ref="AB352">_xlfn._xlws.FILTER(Projets!I$2:I$823,(Projets!A$2:A$823=A352), "")</f>
        <v>402.7</v>
      </c>
    </row>
    <row r="353" spans="1:28" x14ac:dyDescent="0.25">
      <c r="A353" s="1" t="s">
        <v>1303</v>
      </c>
      <c r="B353" s="2">
        <v>42836</v>
      </c>
      <c r="C353" t="s">
        <v>1304</v>
      </c>
      <c r="D353" s="1" t="s">
        <v>30</v>
      </c>
      <c r="E353" t="s">
        <v>1305</v>
      </c>
      <c r="F353" t="s">
        <v>1306</v>
      </c>
      <c r="G353" t="s">
        <v>1307</v>
      </c>
      <c r="H353" t="s">
        <v>1308</v>
      </c>
      <c r="I353">
        <v>2</v>
      </c>
      <c r="J353">
        <v>6</v>
      </c>
      <c r="K353">
        <v>6</v>
      </c>
      <c r="L353">
        <v>1</v>
      </c>
      <c r="M353">
        <v>50</v>
      </c>
      <c r="N353">
        <v>1500</v>
      </c>
      <c r="O353">
        <v>112</v>
      </c>
      <c r="P353">
        <v>90</v>
      </c>
      <c r="Q353">
        <v>4</v>
      </c>
      <c r="R353">
        <v>120</v>
      </c>
      <c r="S353">
        <v>1</v>
      </c>
      <c r="T353">
        <v>3011</v>
      </c>
      <c r="U353">
        <v>23</v>
      </c>
      <c r="V353" s="8" t="s">
        <v>33</v>
      </c>
      <c r="W353" t="s">
        <v>34</v>
      </c>
      <c r="X353" t="s">
        <v>41</v>
      </c>
      <c r="Z353" t="str">
        <f t="shared" si="8"/>
        <v>MS</v>
      </c>
      <c r="AA353" s="8"/>
      <c r="AB353">
        <f t="array" ref="AB353">_xlfn._xlws.FILTER(Projets!I$2:I$823,(Projets!A$2:A$823=A353), "")</f>
        <v>294.75</v>
      </c>
    </row>
    <row r="354" spans="1:28" x14ac:dyDescent="0.25">
      <c r="A354" s="1" t="s">
        <v>1309</v>
      </c>
      <c r="B354" s="2">
        <v>44082</v>
      </c>
      <c r="C354" t="s">
        <v>1310</v>
      </c>
      <c r="D354" s="1" t="s">
        <v>30</v>
      </c>
      <c r="E354" t="s">
        <v>1310</v>
      </c>
      <c r="F354" t="s">
        <v>1311</v>
      </c>
      <c r="G354" t="s">
        <v>1312</v>
      </c>
      <c r="H354" t="s">
        <v>1313</v>
      </c>
      <c r="I354">
        <v>1</v>
      </c>
      <c r="J354">
        <v>63.198</v>
      </c>
      <c r="K354">
        <v>10</v>
      </c>
      <c r="L354">
        <v>0.8</v>
      </c>
      <c r="M354">
        <v>50</v>
      </c>
      <c r="N354">
        <v>3000</v>
      </c>
      <c r="O354">
        <v>84</v>
      </c>
      <c r="P354">
        <v>270</v>
      </c>
      <c r="Q354">
        <v>2</v>
      </c>
      <c r="R354">
        <v>48</v>
      </c>
      <c r="S354" t="s">
        <v>156</v>
      </c>
      <c r="T354">
        <v>7215</v>
      </c>
      <c r="U354">
        <v>54</v>
      </c>
      <c r="V354" s="8" t="s">
        <v>33</v>
      </c>
      <c r="W354" t="s">
        <v>722</v>
      </c>
      <c r="Z354" t="str">
        <f t="shared" si="8"/>
        <v>MS</v>
      </c>
      <c r="AA354" s="8"/>
      <c r="AB354">
        <f t="array" ref="AB354">_xlfn._xlws.FILTER(Projets!I$2:I$823,(Projets!A$2:A$823=A354), "")</f>
        <v>1343.87</v>
      </c>
    </row>
    <row r="355" spans="1:28" x14ac:dyDescent="0.25">
      <c r="A355" s="1" t="s">
        <v>1314</v>
      </c>
      <c r="B355" s="2">
        <v>42934</v>
      </c>
      <c r="C355" t="s">
        <v>1315</v>
      </c>
      <c r="D355" s="1" t="s">
        <v>30</v>
      </c>
      <c r="E355" t="s">
        <v>1316</v>
      </c>
      <c r="F355" t="s">
        <v>1317</v>
      </c>
      <c r="G355" t="s">
        <v>1318</v>
      </c>
      <c r="I355">
        <v>1</v>
      </c>
      <c r="J355">
        <v>7.5</v>
      </c>
      <c r="K355">
        <v>6.6</v>
      </c>
      <c r="L355">
        <v>0.87</v>
      </c>
      <c r="M355">
        <v>50</v>
      </c>
      <c r="N355">
        <v>750</v>
      </c>
      <c r="O355">
        <v>121</v>
      </c>
      <c r="P355">
        <v>119</v>
      </c>
      <c r="Q355">
        <v>8</v>
      </c>
      <c r="R355">
        <v>120</v>
      </c>
      <c r="S355" t="s">
        <v>156</v>
      </c>
      <c r="T355">
        <v>3011</v>
      </c>
      <c r="U355">
        <v>54</v>
      </c>
      <c r="V355" s="8" t="s">
        <v>106</v>
      </c>
      <c r="W355" t="s">
        <v>34</v>
      </c>
      <c r="X355" t="s">
        <v>41</v>
      </c>
      <c r="Z355" t="str">
        <f t="shared" si="8"/>
        <v>NUC</v>
      </c>
      <c r="AA355" s="8"/>
      <c r="AB355">
        <f t="array" ref="AB355">_xlfn._xlws.FILTER(Projets!I$2:I$823,(Projets!A$2:A$823=A355), "")</f>
        <v>160</v>
      </c>
    </row>
    <row r="356" spans="1:28" x14ac:dyDescent="0.25">
      <c r="A356" s="1" t="s">
        <v>705</v>
      </c>
      <c r="B356" s="2">
        <v>43132</v>
      </c>
      <c r="C356" t="s">
        <v>1319</v>
      </c>
      <c r="D356" s="1" t="s">
        <v>30</v>
      </c>
      <c r="E356" t="s">
        <v>703</v>
      </c>
      <c r="F356" t="s">
        <v>1320</v>
      </c>
      <c r="G356" t="s">
        <v>1321</v>
      </c>
      <c r="H356" t="s">
        <v>1322</v>
      </c>
      <c r="I356">
        <v>9</v>
      </c>
      <c r="J356">
        <v>8</v>
      </c>
      <c r="K356">
        <v>10</v>
      </c>
      <c r="L356">
        <v>1</v>
      </c>
      <c r="M356">
        <v>50</v>
      </c>
      <c r="N356">
        <v>1500</v>
      </c>
      <c r="O356">
        <v>112</v>
      </c>
      <c r="P356">
        <v>140</v>
      </c>
      <c r="Q356">
        <v>4</v>
      </c>
      <c r="R356">
        <v>120</v>
      </c>
      <c r="S356">
        <v>1</v>
      </c>
      <c r="T356">
        <v>3011</v>
      </c>
      <c r="U356">
        <v>12</v>
      </c>
      <c r="V356" s="8" t="s">
        <v>33</v>
      </c>
      <c r="W356" t="s">
        <v>34</v>
      </c>
      <c r="X356" t="s">
        <v>41</v>
      </c>
      <c r="Z356" t="str">
        <f t="shared" si="8"/>
        <v>NUC</v>
      </c>
      <c r="AA356" s="8"/>
      <c r="AB356">
        <f t="array" ref="AB356">_xlfn._xlws.FILTER(Projets!I$2:I$823,(Projets!A$2:A$823=A356), "")</f>
        <v>4799.83</v>
      </c>
    </row>
    <row r="357" spans="1:28" x14ac:dyDescent="0.25">
      <c r="A357" s="1" t="s">
        <v>1323</v>
      </c>
      <c r="B357" s="2">
        <v>43538</v>
      </c>
      <c r="C357" t="s">
        <v>1324</v>
      </c>
      <c r="D357" s="1" t="s">
        <v>30</v>
      </c>
      <c r="E357" t="s">
        <v>1325</v>
      </c>
      <c r="F357" t="s">
        <v>1326</v>
      </c>
      <c r="G357" t="s">
        <v>1327</v>
      </c>
      <c r="H357" t="s">
        <v>1328</v>
      </c>
      <c r="I357">
        <v>1</v>
      </c>
      <c r="J357">
        <v>6.7</v>
      </c>
      <c r="K357">
        <v>6.6</v>
      </c>
      <c r="L357">
        <v>0.92</v>
      </c>
      <c r="M357">
        <v>60</v>
      </c>
      <c r="N357">
        <v>1200</v>
      </c>
      <c r="O357">
        <v>123</v>
      </c>
      <c r="P357">
        <v>112</v>
      </c>
      <c r="Q357">
        <v>6</v>
      </c>
      <c r="R357">
        <v>108</v>
      </c>
      <c r="S357" t="s">
        <v>156</v>
      </c>
      <c r="T357">
        <v>3011</v>
      </c>
      <c r="U357">
        <v>44</v>
      </c>
      <c r="V357" s="8" t="s">
        <v>33</v>
      </c>
      <c r="W357" t="s">
        <v>34</v>
      </c>
      <c r="X357" t="s">
        <v>41</v>
      </c>
      <c r="Z357" t="str">
        <f t="shared" si="8"/>
        <v>NUC</v>
      </c>
      <c r="AA357" s="8"/>
      <c r="AB357">
        <f t="array" ref="AB357">_xlfn._xlws.FILTER(Projets!I$2:I$823,(Projets!A$2:A$823=A357), "")</f>
        <v>1292.4000000000001</v>
      </c>
    </row>
  </sheetData>
  <autoFilter ref="A1:AB357" xr:uid="{00000000-0009-0000-0000-000001000000}">
    <sortState xmlns:xlrd2="http://schemas.microsoft.com/office/spreadsheetml/2017/richdata2" ref="A2:AB357">
      <sortCondition ref="A1:A357"/>
    </sortState>
  </autoFilter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27"/>
  <sheetViews>
    <sheetView workbookViewId="0">
      <selection activeCell="A3" sqref="A3"/>
    </sheetView>
  </sheetViews>
  <sheetFormatPr baseColWidth="10" defaultRowHeight="15" x14ac:dyDescent="0.25"/>
  <cols>
    <col min="1" max="1" width="21.42578125" bestFit="1" customWidth="1"/>
    <col min="2" max="2" width="18.28515625" bestFit="1" customWidth="1"/>
  </cols>
  <sheetData>
    <row r="3" spans="1:2" x14ac:dyDescent="0.25">
      <c r="A3" s="18" t="s">
        <v>1892</v>
      </c>
      <c r="B3" t="s">
        <v>1893</v>
      </c>
    </row>
    <row r="4" spans="1:2" x14ac:dyDescent="0.25">
      <c r="A4" s="10" t="s">
        <v>1894</v>
      </c>
      <c r="B4">
        <v>3</v>
      </c>
    </row>
    <row r="5" spans="1:2" x14ac:dyDescent="0.25">
      <c r="A5" s="19" t="s">
        <v>34</v>
      </c>
      <c r="B5">
        <v>1</v>
      </c>
    </row>
    <row r="6" spans="1:2" x14ac:dyDescent="0.25">
      <c r="A6" s="20"/>
      <c r="B6">
        <v>1</v>
      </c>
    </row>
    <row r="7" spans="1:2" x14ac:dyDescent="0.25">
      <c r="A7" s="19" t="s">
        <v>722</v>
      </c>
      <c r="B7">
        <v>2</v>
      </c>
    </row>
    <row r="8" spans="1:2" x14ac:dyDescent="0.25">
      <c r="A8" s="20"/>
      <c r="B8">
        <v>1</v>
      </c>
    </row>
    <row r="9" spans="1:2" x14ac:dyDescent="0.25">
      <c r="A9" s="20" t="s">
        <v>723</v>
      </c>
      <c r="B9">
        <v>1</v>
      </c>
    </row>
    <row r="10" spans="1:2" x14ac:dyDescent="0.25">
      <c r="A10" s="10" t="s">
        <v>768</v>
      </c>
      <c r="B10">
        <v>306</v>
      </c>
    </row>
    <row r="11" spans="1:2" x14ac:dyDescent="0.25">
      <c r="A11" s="19" t="s">
        <v>34</v>
      </c>
      <c r="B11">
        <v>167</v>
      </c>
    </row>
    <row r="12" spans="1:2" x14ac:dyDescent="0.25">
      <c r="A12" s="20"/>
      <c r="B12">
        <v>6</v>
      </c>
    </row>
    <row r="13" spans="1:2" x14ac:dyDescent="0.25">
      <c r="A13" s="20" t="s">
        <v>302</v>
      </c>
      <c r="B13">
        <v>7</v>
      </c>
    </row>
    <row r="14" spans="1:2" x14ac:dyDescent="0.25">
      <c r="A14" s="20" t="s">
        <v>41</v>
      </c>
      <c r="B14">
        <v>154</v>
      </c>
    </row>
    <row r="15" spans="1:2" x14ac:dyDescent="0.25">
      <c r="A15" s="19" t="s">
        <v>722</v>
      </c>
      <c r="B15">
        <v>139</v>
      </c>
    </row>
    <row r="16" spans="1:2" x14ac:dyDescent="0.25">
      <c r="A16" s="20"/>
      <c r="B16">
        <v>35</v>
      </c>
    </row>
    <row r="17" spans="1:2" x14ac:dyDescent="0.25">
      <c r="A17" s="20" t="s">
        <v>745</v>
      </c>
      <c r="B17">
        <v>7</v>
      </c>
    </row>
    <row r="18" spans="1:2" x14ac:dyDescent="0.25">
      <c r="A18" s="20" t="s">
        <v>761</v>
      </c>
      <c r="B18">
        <v>9</v>
      </c>
    </row>
    <row r="19" spans="1:2" x14ac:dyDescent="0.25">
      <c r="A19" s="20" t="s">
        <v>723</v>
      </c>
      <c r="B19">
        <v>88</v>
      </c>
    </row>
    <row r="20" spans="1:2" x14ac:dyDescent="0.25">
      <c r="A20" s="10" t="s">
        <v>1895</v>
      </c>
      <c r="B20">
        <v>50</v>
      </c>
    </row>
    <row r="21" spans="1:2" x14ac:dyDescent="0.25">
      <c r="A21" s="19" t="s">
        <v>34</v>
      </c>
      <c r="B21">
        <v>42</v>
      </c>
    </row>
    <row r="22" spans="1:2" x14ac:dyDescent="0.25">
      <c r="A22" s="20"/>
      <c r="B22">
        <v>1</v>
      </c>
    </row>
    <row r="23" spans="1:2" x14ac:dyDescent="0.25">
      <c r="A23" s="20" t="s">
        <v>41</v>
      </c>
      <c r="B23">
        <v>41</v>
      </c>
    </row>
    <row r="24" spans="1:2" x14ac:dyDescent="0.25">
      <c r="A24" s="19" t="s">
        <v>722</v>
      </c>
      <c r="B24">
        <v>8</v>
      </c>
    </row>
    <row r="25" spans="1:2" x14ac:dyDescent="0.25">
      <c r="A25" s="20"/>
      <c r="B25">
        <v>4</v>
      </c>
    </row>
    <row r="26" spans="1:2" x14ac:dyDescent="0.25">
      <c r="A26" s="20" t="s">
        <v>723</v>
      </c>
      <c r="B26">
        <v>4</v>
      </c>
    </row>
    <row r="27" spans="1:2" x14ac:dyDescent="0.25">
      <c r="A27" s="10" t="s">
        <v>1337</v>
      </c>
      <c r="B27">
        <v>359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253"/>
  <sheetViews>
    <sheetView topLeftCell="A4871" workbookViewId="0">
      <selection activeCell="F4899" sqref="F4899"/>
    </sheetView>
  </sheetViews>
  <sheetFormatPr baseColWidth="10" defaultRowHeight="15" x14ac:dyDescent="0.25"/>
  <cols>
    <col min="1" max="1" width="26.7109375" bestFit="1" customWidth="1"/>
    <col min="2" max="2" width="18.140625" bestFit="1" customWidth="1"/>
    <col min="3" max="3" width="11.5703125" bestFit="1" customWidth="1"/>
    <col min="4" max="4" width="15.5703125" bestFit="1" customWidth="1"/>
    <col min="7" max="7" width="41.28515625" customWidth="1"/>
  </cols>
  <sheetData>
    <row r="1" spans="1:7" x14ac:dyDescent="0.25">
      <c r="A1" t="s">
        <v>1896</v>
      </c>
      <c r="B1" t="s">
        <v>1897</v>
      </c>
      <c r="C1" t="s">
        <v>1898</v>
      </c>
      <c r="D1" t="s">
        <v>1899</v>
      </c>
    </row>
    <row r="2" spans="1:7" x14ac:dyDescent="0.25">
      <c r="A2" t="s">
        <v>1900</v>
      </c>
      <c r="B2" t="s">
        <v>1330</v>
      </c>
      <c r="C2" t="s">
        <v>1383</v>
      </c>
      <c r="D2">
        <v>45.8</v>
      </c>
    </row>
    <row r="3" spans="1:7" x14ac:dyDescent="0.25">
      <c r="A3" t="s">
        <v>1901</v>
      </c>
      <c r="B3" t="s">
        <v>1331</v>
      </c>
      <c r="C3" t="s">
        <v>1383</v>
      </c>
      <c r="D3">
        <v>215.1</v>
      </c>
    </row>
    <row r="4" spans="1:7" x14ac:dyDescent="0.25">
      <c r="A4" t="s">
        <v>1902</v>
      </c>
      <c r="B4" t="s">
        <v>1331</v>
      </c>
      <c r="C4" t="s">
        <v>1383</v>
      </c>
      <c r="D4">
        <v>79.849999999999994</v>
      </c>
      <c r="G4" t="s">
        <v>1903</v>
      </c>
    </row>
    <row r="5" spans="1:7" x14ac:dyDescent="0.25">
      <c r="A5" t="s">
        <v>1904</v>
      </c>
      <c r="B5" t="s">
        <v>1331</v>
      </c>
      <c r="C5" t="s">
        <v>1383</v>
      </c>
      <c r="D5">
        <v>71</v>
      </c>
      <c r="G5" t="s">
        <v>1905</v>
      </c>
    </row>
    <row r="6" spans="1:7" x14ac:dyDescent="0.25">
      <c r="A6" t="s">
        <v>1900</v>
      </c>
      <c r="B6" t="s">
        <v>1335</v>
      </c>
      <c r="C6" t="s">
        <v>1383</v>
      </c>
      <c r="D6">
        <v>131.55000000000001</v>
      </c>
      <c r="G6" t="s">
        <v>1906</v>
      </c>
    </row>
    <row r="7" spans="1:7" x14ac:dyDescent="0.25">
      <c r="A7" t="s">
        <v>1907</v>
      </c>
      <c r="B7" t="s">
        <v>1335</v>
      </c>
      <c r="C7" t="s">
        <v>1383</v>
      </c>
      <c r="D7">
        <v>2</v>
      </c>
      <c r="G7" t="s">
        <v>1908</v>
      </c>
    </row>
    <row r="8" spans="1:7" x14ac:dyDescent="0.25">
      <c r="A8" t="s">
        <v>1909</v>
      </c>
      <c r="B8" t="s">
        <v>1335</v>
      </c>
      <c r="C8" t="s">
        <v>1383</v>
      </c>
      <c r="D8">
        <v>45.5</v>
      </c>
      <c r="G8" t="s">
        <v>1910</v>
      </c>
    </row>
    <row r="9" spans="1:7" x14ac:dyDescent="0.25">
      <c r="A9" t="s">
        <v>1911</v>
      </c>
      <c r="B9" t="s">
        <v>1335</v>
      </c>
      <c r="C9" t="s">
        <v>1383</v>
      </c>
      <c r="D9">
        <v>16.7</v>
      </c>
      <c r="G9" t="s">
        <v>1912</v>
      </c>
    </row>
    <row r="10" spans="1:7" x14ac:dyDescent="0.25">
      <c r="A10" t="s">
        <v>1913</v>
      </c>
      <c r="B10" t="s">
        <v>1335</v>
      </c>
      <c r="C10" t="s">
        <v>1383</v>
      </c>
      <c r="D10">
        <v>60.2</v>
      </c>
    </row>
    <row r="11" spans="1:7" x14ac:dyDescent="0.25">
      <c r="A11" t="s">
        <v>1914</v>
      </c>
      <c r="B11" t="s">
        <v>1335</v>
      </c>
      <c r="C11" t="s">
        <v>1383</v>
      </c>
      <c r="D11">
        <v>3</v>
      </c>
      <c r="G11" t="s">
        <v>1915</v>
      </c>
    </row>
    <row r="12" spans="1:7" x14ac:dyDescent="0.25">
      <c r="A12" t="s">
        <v>1902</v>
      </c>
      <c r="B12" t="s">
        <v>1335</v>
      </c>
      <c r="C12" t="s">
        <v>1383</v>
      </c>
      <c r="D12">
        <v>29.8</v>
      </c>
    </row>
    <row r="13" spans="1:7" x14ac:dyDescent="0.25">
      <c r="A13" t="s">
        <v>1916</v>
      </c>
      <c r="B13" t="s">
        <v>1335</v>
      </c>
      <c r="C13" t="s">
        <v>1383</v>
      </c>
      <c r="D13">
        <v>14.2</v>
      </c>
      <c r="G13" t="s">
        <v>1917</v>
      </c>
    </row>
    <row r="14" spans="1:7" x14ac:dyDescent="0.25">
      <c r="A14" t="s">
        <v>1918</v>
      </c>
      <c r="B14" t="s">
        <v>1335</v>
      </c>
      <c r="C14" t="s">
        <v>1383</v>
      </c>
      <c r="D14">
        <v>221.3</v>
      </c>
      <c r="G14" t="s">
        <v>1919</v>
      </c>
    </row>
    <row r="15" spans="1:7" x14ac:dyDescent="0.25">
      <c r="A15" t="s">
        <v>1920</v>
      </c>
      <c r="B15" t="s">
        <v>1331</v>
      </c>
      <c r="C15" t="s">
        <v>28</v>
      </c>
      <c r="D15">
        <v>65.5</v>
      </c>
    </row>
    <row r="16" spans="1:7" x14ac:dyDescent="0.25">
      <c r="A16" t="s">
        <v>1921</v>
      </c>
      <c r="B16" t="s">
        <v>1330</v>
      </c>
      <c r="C16" t="s">
        <v>28</v>
      </c>
      <c r="D16">
        <v>49.2</v>
      </c>
      <c r="G16" t="s">
        <v>1922</v>
      </c>
    </row>
    <row r="17" spans="1:7" x14ac:dyDescent="0.25">
      <c r="A17" t="s">
        <v>1923</v>
      </c>
      <c r="B17" t="s">
        <v>1331</v>
      </c>
      <c r="C17" t="s">
        <v>28</v>
      </c>
      <c r="D17">
        <v>5</v>
      </c>
      <c r="G17" t="s">
        <v>1924</v>
      </c>
    </row>
    <row r="18" spans="1:7" x14ac:dyDescent="0.25">
      <c r="A18" t="s">
        <v>1925</v>
      </c>
      <c r="B18" t="s">
        <v>1333</v>
      </c>
      <c r="C18" t="s">
        <v>28</v>
      </c>
      <c r="D18">
        <v>9.5500000000000007</v>
      </c>
      <c r="G18" t="s">
        <v>1926</v>
      </c>
    </row>
    <row r="19" spans="1:7" x14ac:dyDescent="0.25">
      <c r="A19" t="s">
        <v>1927</v>
      </c>
      <c r="B19" t="s">
        <v>1331</v>
      </c>
      <c r="C19" t="s">
        <v>28</v>
      </c>
      <c r="D19">
        <v>63.3</v>
      </c>
      <c r="G19" t="s">
        <v>1928</v>
      </c>
    </row>
    <row r="20" spans="1:7" x14ac:dyDescent="0.25">
      <c r="A20" t="s">
        <v>1929</v>
      </c>
      <c r="B20" t="s">
        <v>1331</v>
      </c>
      <c r="C20" t="s">
        <v>28</v>
      </c>
      <c r="D20">
        <v>63</v>
      </c>
      <c r="G20" t="s">
        <v>1930</v>
      </c>
    </row>
    <row r="21" spans="1:7" x14ac:dyDescent="0.25">
      <c r="A21" t="s">
        <v>1931</v>
      </c>
      <c r="B21" t="s">
        <v>1330</v>
      </c>
      <c r="C21" t="s">
        <v>28</v>
      </c>
      <c r="D21">
        <v>7.7</v>
      </c>
      <c r="G21" t="s">
        <v>1932</v>
      </c>
    </row>
    <row r="22" spans="1:7" x14ac:dyDescent="0.25">
      <c r="A22" t="s">
        <v>1933</v>
      </c>
      <c r="B22" t="s">
        <v>1330</v>
      </c>
      <c r="C22" t="s">
        <v>28</v>
      </c>
      <c r="D22">
        <v>142.75</v>
      </c>
      <c r="G22" t="s">
        <v>1934</v>
      </c>
    </row>
    <row r="23" spans="1:7" x14ac:dyDescent="0.25">
      <c r="A23" t="s">
        <v>1935</v>
      </c>
      <c r="B23" t="s">
        <v>1331</v>
      </c>
      <c r="C23" t="s">
        <v>28</v>
      </c>
      <c r="D23">
        <v>245</v>
      </c>
      <c r="G23" t="s">
        <v>1936</v>
      </c>
    </row>
    <row r="24" spans="1:7" x14ac:dyDescent="0.25">
      <c r="A24" t="s">
        <v>1902</v>
      </c>
      <c r="B24" t="s">
        <v>1331</v>
      </c>
      <c r="C24" t="s">
        <v>28</v>
      </c>
      <c r="D24">
        <v>5.85</v>
      </c>
      <c r="G24" t="s">
        <v>1937</v>
      </c>
    </row>
    <row r="25" spans="1:7" x14ac:dyDescent="0.25">
      <c r="A25" t="s">
        <v>1925</v>
      </c>
      <c r="B25" t="s">
        <v>1331</v>
      </c>
      <c r="C25" t="s">
        <v>28</v>
      </c>
      <c r="D25">
        <v>69.099999999999994</v>
      </c>
      <c r="G25" t="s">
        <v>1938</v>
      </c>
    </row>
    <row r="26" spans="1:7" x14ac:dyDescent="0.25">
      <c r="A26" t="s">
        <v>1939</v>
      </c>
      <c r="B26" t="s">
        <v>1331</v>
      </c>
      <c r="C26" t="s">
        <v>28</v>
      </c>
      <c r="D26">
        <v>860.25</v>
      </c>
      <c r="G26" t="s">
        <v>1940</v>
      </c>
    </row>
    <row r="27" spans="1:7" x14ac:dyDescent="0.25">
      <c r="A27" t="s">
        <v>1941</v>
      </c>
      <c r="B27" t="s">
        <v>1330</v>
      </c>
      <c r="C27" t="s">
        <v>28</v>
      </c>
      <c r="D27">
        <v>15.4</v>
      </c>
      <c r="G27" t="s">
        <v>1942</v>
      </c>
    </row>
    <row r="28" spans="1:7" x14ac:dyDescent="0.25">
      <c r="A28" t="s">
        <v>1939</v>
      </c>
      <c r="B28" t="s">
        <v>1333</v>
      </c>
      <c r="C28" t="s">
        <v>28</v>
      </c>
      <c r="D28">
        <v>7.7</v>
      </c>
      <c r="G28" t="s">
        <v>1943</v>
      </c>
    </row>
    <row r="29" spans="1:7" x14ac:dyDescent="0.25">
      <c r="A29" t="s">
        <v>1931</v>
      </c>
      <c r="B29" t="s">
        <v>1335</v>
      </c>
      <c r="C29" t="s">
        <v>28</v>
      </c>
      <c r="D29">
        <v>7.7</v>
      </c>
      <c r="G29" t="s">
        <v>1926</v>
      </c>
    </row>
    <row r="30" spans="1:7" x14ac:dyDescent="0.25">
      <c r="A30" t="s">
        <v>1920</v>
      </c>
      <c r="B30" t="s">
        <v>1331</v>
      </c>
      <c r="C30" t="s">
        <v>35</v>
      </c>
      <c r="D30">
        <v>117.9</v>
      </c>
      <c r="G30" t="s">
        <v>1944</v>
      </c>
    </row>
    <row r="31" spans="1:7" x14ac:dyDescent="0.25">
      <c r="A31" t="s">
        <v>1945</v>
      </c>
      <c r="B31" t="s">
        <v>1331</v>
      </c>
      <c r="C31" t="s">
        <v>35</v>
      </c>
      <c r="D31">
        <v>37.75</v>
      </c>
      <c r="G31" t="s">
        <v>1946</v>
      </c>
    </row>
    <row r="32" spans="1:7" x14ac:dyDescent="0.25">
      <c r="A32" t="s">
        <v>1900</v>
      </c>
      <c r="B32" t="s">
        <v>1330</v>
      </c>
      <c r="C32" t="s">
        <v>35</v>
      </c>
      <c r="D32">
        <v>12</v>
      </c>
      <c r="G32" t="s">
        <v>1943</v>
      </c>
    </row>
    <row r="33" spans="1:7" x14ac:dyDescent="0.25">
      <c r="A33" t="s">
        <v>1947</v>
      </c>
      <c r="B33" t="s">
        <v>1331</v>
      </c>
      <c r="C33" t="s">
        <v>35</v>
      </c>
      <c r="D33">
        <v>89.55</v>
      </c>
    </row>
    <row r="34" spans="1:7" x14ac:dyDescent="0.25">
      <c r="A34" t="s">
        <v>1947</v>
      </c>
      <c r="B34" t="s">
        <v>1331</v>
      </c>
      <c r="C34" t="s">
        <v>1392</v>
      </c>
      <c r="D34">
        <v>106.25</v>
      </c>
      <c r="G34" t="s">
        <v>1948</v>
      </c>
    </row>
    <row r="35" spans="1:7" x14ac:dyDescent="0.25">
      <c r="A35" t="s">
        <v>1949</v>
      </c>
      <c r="B35" t="s">
        <v>1334</v>
      </c>
      <c r="C35" t="s">
        <v>1392</v>
      </c>
      <c r="D35">
        <v>29.8</v>
      </c>
      <c r="G35" t="s">
        <v>1906</v>
      </c>
    </row>
    <row r="36" spans="1:7" x14ac:dyDescent="0.25">
      <c r="A36" t="s">
        <v>1950</v>
      </c>
      <c r="B36" t="s">
        <v>1334</v>
      </c>
      <c r="C36" t="s">
        <v>1392</v>
      </c>
      <c r="D36">
        <v>2</v>
      </c>
      <c r="G36" t="s">
        <v>1908</v>
      </c>
    </row>
    <row r="37" spans="1:7" x14ac:dyDescent="0.25">
      <c r="A37" t="s">
        <v>1902</v>
      </c>
      <c r="B37" t="s">
        <v>1331</v>
      </c>
      <c r="C37" t="s">
        <v>1392</v>
      </c>
      <c r="D37">
        <v>15.55</v>
      </c>
      <c r="G37" t="s">
        <v>1951</v>
      </c>
    </row>
    <row r="38" spans="1:7" x14ac:dyDescent="0.25">
      <c r="A38" t="s">
        <v>1921</v>
      </c>
      <c r="B38" t="s">
        <v>1330</v>
      </c>
      <c r="C38" t="s">
        <v>1392</v>
      </c>
      <c r="D38">
        <v>334.8</v>
      </c>
    </row>
    <row r="39" spans="1:7" x14ac:dyDescent="0.25">
      <c r="A39" t="s">
        <v>1945</v>
      </c>
      <c r="B39" t="s">
        <v>1331</v>
      </c>
      <c r="C39" t="s">
        <v>1392</v>
      </c>
      <c r="D39">
        <v>3.5</v>
      </c>
    </row>
    <row r="40" spans="1:7" x14ac:dyDescent="0.25">
      <c r="A40" t="s">
        <v>1949</v>
      </c>
      <c r="B40" t="s">
        <v>1333</v>
      </c>
      <c r="C40" t="s">
        <v>1392</v>
      </c>
      <c r="D40">
        <v>4</v>
      </c>
    </row>
    <row r="41" spans="1:7" x14ac:dyDescent="0.25">
      <c r="A41" t="s">
        <v>1952</v>
      </c>
      <c r="B41" t="s">
        <v>1331</v>
      </c>
      <c r="C41" t="s">
        <v>1392</v>
      </c>
      <c r="D41">
        <v>55.7</v>
      </c>
    </row>
    <row r="42" spans="1:7" x14ac:dyDescent="0.25">
      <c r="A42" t="s">
        <v>1949</v>
      </c>
      <c r="B42" t="s">
        <v>1331</v>
      </c>
      <c r="C42" t="s">
        <v>1392</v>
      </c>
      <c r="D42">
        <v>271.35000000000002</v>
      </c>
    </row>
    <row r="43" spans="1:7" x14ac:dyDescent="0.25">
      <c r="A43" t="s">
        <v>1902</v>
      </c>
      <c r="B43" t="s">
        <v>1335</v>
      </c>
      <c r="C43" t="s">
        <v>42</v>
      </c>
      <c r="D43">
        <v>2</v>
      </c>
    </row>
    <row r="44" spans="1:7" x14ac:dyDescent="0.25">
      <c r="A44" t="s">
        <v>1947</v>
      </c>
      <c r="B44" t="s">
        <v>1331</v>
      </c>
      <c r="C44" t="s">
        <v>42</v>
      </c>
      <c r="D44">
        <v>45.8</v>
      </c>
    </row>
    <row r="45" spans="1:7" x14ac:dyDescent="0.25">
      <c r="A45" t="s">
        <v>1945</v>
      </c>
      <c r="B45" t="s">
        <v>1331</v>
      </c>
      <c r="C45" t="s">
        <v>42</v>
      </c>
      <c r="D45">
        <v>40</v>
      </c>
    </row>
    <row r="46" spans="1:7" x14ac:dyDescent="0.25">
      <c r="A46" t="s">
        <v>1920</v>
      </c>
      <c r="B46" t="s">
        <v>1331</v>
      </c>
      <c r="C46" t="s">
        <v>42</v>
      </c>
      <c r="D46">
        <v>139.15</v>
      </c>
    </row>
    <row r="47" spans="1:7" x14ac:dyDescent="0.25">
      <c r="A47" t="s">
        <v>1900</v>
      </c>
      <c r="B47" t="s">
        <v>1330</v>
      </c>
      <c r="C47" t="s">
        <v>42</v>
      </c>
      <c r="D47">
        <v>4.5</v>
      </c>
    </row>
    <row r="48" spans="1:7" x14ac:dyDescent="0.25">
      <c r="A48" t="s">
        <v>1921</v>
      </c>
      <c r="B48" t="s">
        <v>1330</v>
      </c>
      <c r="C48" t="s">
        <v>44</v>
      </c>
      <c r="D48">
        <v>33.1</v>
      </c>
    </row>
    <row r="49" spans="1:4" x14ac:dyDescent="0.25">
      <c r="A49" t="s">
        <v>1953</v>
      </c>
      <c r="B49" t="s">
        <v>1335</v>
      </c>
      <c r="C49" t="s">
        <v>44</v>
      </c>
      <c r="D49">
        <v>104.4</v>
      </c>
    </row>
    <row r="50" spans="1:4" x14ac:dyDescent="0.25">
      <c r="A50" t="s">
        <v>1929</v>
      </c>
      <c r="B50" t="s">
        <v>1334</v>
      </c>
      <c r="C50" t="s">
        <v>44</v>
      </c>
      <c r="D50">
        <v>30</v>
      </c>
    </row>
    <row r="51" spans="1:4" x14ac:dyDescent="0.25">
      <c r="A51" t="s">
        <v>1907</v>
      </c>
      <c r="B51" t="s">
        <v>1335</v>
      </c>
      <c r="C51" t="s">
        <v>44</v>
      </c>
      <c r="D51">
        <v>2</v>
      </c>
    </row>
    <row r="52" spans="1:4" x14ac:dyDescent="0.25">
      <c r="A52" t="s">
        <v>1929</v>
      </c>
      <c r="B52" t="s">
        <v>1331</v>
      </c>
      <c r="C52" t="s">
        <v>44</v>
      </c>
      <c r="D52">
        <v>334.4</v>
      </c>
    </row>
    <row r="53" spans="1:4" x14ac:dyDescent="0.25">
      <c r="A53" t="s">
        <v>1902</v>
      </c>
      <c r="B53" t="s">
        <v>1331</v>
      </c>
      <c r="C53" t="s">
        <v>44</v>
      </c>
      <c r="D53">
        <v>3.85</v>
      </c>
    </row>
    <row r="54" spans="1:4" x14ac:dyDescent="0.25">
      <c r="A54" t="s">
        <v>1954</v>
      </c>
      <c r="B54" t="s">
        <v>1335</v>
      </c>
      <c r="C54" t="s">
        <v>44</v>
      </c>
      <c r="D54">
        <v>106.4</v>
      </c>
    </row>
    <row r="55" spans="1:4" x14ac:dyDescent="0.25">
      <c r="A55" t="s">
        <v>1954</v>
      </c>
      <c r="B55" t="s">
        <v>1331</v>
      </c>
      <c r="C55" t="s">
        <v>44</v>
      </c>
      <c r="D55">
        <v>3</v>
      </c>
    </row>
    <row r="56" spans="1:4" x14ac:dyDescent="0.25">
      <c r="A56" t="s">
        <v>1950</v>
      </c>
      <c r="B56" t="s">
        <v>1334</v>
      </c>
      <c r="C56" t="s">
        <v>44</v>
      </c>
      <c r="D56">
        <v>21.1</v>
      </c>
    </row>
    <row r="57" spans="1:4" x14ac:dyDescent="0.25">
      <c r="A57" t="s">
        <v>1955</v>
      </c>
      <c r="B57" t="s">
        <v>1331</v>
      </c>
      <c r="C57" t="s">
        <v>44</v>
      </c>
      <c r="D57">
        <v>46.5</v>
      </c>
    </row>
    <row r="58" spans="1:4" x14ac:dyDescent="0.25">
      <c r="A58" t="s">
        <v>1956</v>
      </c>
      <c r="B58" t="s">
        <v>1335</v>
      </c>
      <c r="C58" t="s">
        <v>44</v>
      </c>
      <c r="D58">
        <v>17.899999999999999</v>
      </c>
    </row>
    <row r="59" spans="1:4" x14ac:dyDescent="0.25">
      <c r="A59" t="s">
        <v>1920</v>
      </c>
      <c r="B59" t="s">
        <v>1331</v>
      </c>
      <c r="C59" t="s">
        <v>44</v>
      </c>
      <c r="D59">
        <v>32.5</v>
      </c>
    </row>
    <row r="60" spans="1:4" x14ac:dyDescent="0.25">
      <c r="A60" t="s">
        <v>1957</v>
      </c>
      <c r="B60" t="s">
        <v>1331</v>
      </c>
      <c r="C60" t="s">
        <v>50</v>
      </c>
      <c r="D60">
        <v>2</v>
      </c>
    </row>
    <row r="61" spans="1:4" x14ac:dyDescent="0.25">
      <c r="A61" t="s">
        <v>1955</v>
      </c>
      <c r="B61" t="s">
        <v>1331</v>
      </c>
      <c r="C61" t="s">
        <v>50</v>
      </c>
      <c r="D61">
        <v>49.9</v>
      </c>
    </row>
    <row r="62" spans="1:4" x14ac:dyDescent="0.25">
      <c r="A62" t="s">
        <v>1958</v>
      </c>
      <c r="B62" t="s">
        <v>1335</v>
      </c>
      <c r="C62" t="s">
        <v>50</v>
      </c>
      <c r="D62">
        <v>21.4</v>
      </c>
    </row>
    <row r="63" spans="1:4" x14ac:dyDescent="0.25">
      <c r="A63" t="s">
        <v>1955</v>
      </c>
      <c r="B63" t="s">
        <v>1335</v>
      </c>
      <c r="C63" t="s">
        <v>50</v>
      </c>
      <c r="D63">
        <v>95.7</v>
      </c>
    </row>
    <row r="64" spans="1:4" x14ac:dyDescent="0.25">
      <c r="A64" t="s">
        <v>1950</v>
      </c>
      <c r="B64" t="s">
        <v>1334</v>
      </c>
      <c r="C64" t="s">
        <v>50</v>
      </c>
      <c r="D64">
        <v>4</v>
      </c>
    </row>
    <row r="65" spans="1:4" x14ac:dyDescent="0.25">
      <c r="A65" t="s">
        <v>1953</v>
      </c>
      <c r="B65" t="s">
        <v>1335</v>
      </c>
      <c r="C65" t="s">
        <v>50</v>
      </c>
      <c r="D65">
        <v>110.5</v>
      </c>
    </row>
    <row r="66" spans="1:4" x14ac:dyDescent="0.25">
      <c r="A66" t="s">
        <v>1945</v>
      </c>
      <c r="B66" t="s">
        <v>1331</v>
      </c>
      <c r="C66" t="s">
        <v>50</v>
      </c>
      <c r="D66">
        <v>12</v>
      </c>
    </row>
    <row r="67" spans="1:4" x14ac:dyDescent="0.25">
      <c r="A67" t="s">
        <v>1959</v>
      </c>
      <c r="B67" t="s">
        <v>1331</v>
      </c>
      <c r="C67" t="s">
        <v>1419</v>
      </c>
      <c r="D67">
        <v>2</v>
      </c>
    </row>
    <row r="68" spans="1:4" x14ac:dyDescent="0.25">
      <c r="A68" t="s">
        <v>1921</v>
      </c>
      <c r="B68" t="s">
        <v>1330</v>
      </c>
      <c r="C68" t="s">
        <v>1419</v>
      </c>
      <c r="D68">
        <v>26.1</v>
      </c>
    </row>
    <row r="69" spans="1:4" x14ac:dyDescent="0.25">
      <c r="A69" t="s">
        <v>1949</v>
      </c>
      <c r="B69" t="s">
        <v>1333</v>
      </c>
      <c r="C69" t="s">
        <v>1419</v>
      </c>
      <c r="D69">
        <v>2</v>
      </c>
    </row>
    <row r="70" spans="1:4" x14ac:dyDescent="0.25">
      <c r="A70" t="s">
        <v>1935</v>
      </c>
      <c r="B70" t="s">
        <v>1331</v>
      </c>
      <c r="C70" t="s">
        <v>1419</v>
      </c>
      <c r="D70">
        <v>199.9</v>
      </c>
    </row>
    <row r="71" spans="1:4" x14ac:dyDescent="0.25">
      <c r="A71" t="s">
        <v>1902</v>
      </c>
      <c r="B71" t="s">
        <v>1331</v>
      </c>
      <c r="C71" t="s">
        <v>1419</v>
      </c>
      <c r="D71">
        <v>6.4</v>
      </c>
    </row>
    <row r="72" spans="1:4" x14ac:dyDescent="0.25">
      <c r="A72" t="s">
        <v>1949</v>
      </c>
      <c r="B72" t="s">
        <v>1331</v>
      </c>
      <c r="C72" t="s">
        <v>1419</v>
      </c>
      <c r="D72">
        <v>99</v>
      </c>
    </row>
    <row r="73" spans="1:4" x14ac:dyDescent="0.25">
      <c r="A73" t="s">
        <v>1920</v>
      </c>
      <c r="B73" t="s">
        <v>1334</v>
      </c>
      <c r="C73" t="s">
        <v>1419</v>
      </c>
      <c r="D73">
        <v>1.5</v>
      </c>
    </row>
    <row r="74" spans="1:4" x14ac:dyDescent="0.25">
      <c r="A74" t="s">
        <v>1959</v>
      </c>
      <c r="B74" t="s">
        <v>1330</v>
      </c>
      <c r="C74" t="s">
        <v>1419</v>
      </c>
      <c r="D74">
        <v>2</v>
      </c>
    </row>
    <row r="75" spans="1:4" x14ac:dyDescent="0.25">
      <c r="A75" t="s">
        <v>1952</v>
      </c>
      <c r="B75" t="s">
        <v>1331</v>
      </c>
      <c r="C75" t="s">
        <v>1419</v>
      </c>
      <c r="D75">
        <v>50.3</v>
      </c>
    </row>
    <row r="76" spans="1:4" x14ac:dyDescent="0.25">
      <c r="A76" t="s">
        <v>1920</v>
      </c>
      <c r="B76" t="s">
        <v>1331</v>
      </c>
      <c r="C76" t="s">
        <v>1419</v>
      </c>
      <c r="D76">
        <v>73.5</v>
      </c>
    </row>
    <row r="77" spans="1:4" x14ac:dyDescent="0.25">
      <c r="A77" t="s">
        <v>1920</v>
      </c>
      <c r="B77" t="s">
        <v>1331</v>
      </c>
      <c r="C77" t="s">
        <v>55</v>
      </c>
      <c r="D77">
        <v>42.9</v>
      </c>
    </row>
    <row r="78" spans="1:4" x14ac:dyDescent="0.25">
      <c r="A78" t="s">
        <v>1945</v>
      </c>
      <c r="B78" t="s">
        <v>1331</v>
      </c>
      <c r="C78" t="s">
        <v>55</v>
      </c>
      <c r="D78">
        <v>23.2</v>
      </c>
    </row>
    <row r="79" spans="1:4" x14ac:dyDescent="0.25">
      <c r="A79" t="s">
        <v>1920</v>
      </c>
      <c r="B79" t="s">
        <v>1334</v>
      </c>
      <c r="C79" t="s">
        <v>55</v>
      </c>
      <c r="D79">
        <v>0.7</v>
      </c>
    </row>
    <row r="80" spans="1:4" x14ac:dyDescent="0.25">
      <c r="A80" t="s">
        <v>1900</v>
      </c>
      <c r="B80" t="s">
        <v>1330</v>
      </c>
      <c r="C80" t="s">
        <v>55</v>
      </c>
      <c r="D80">
        <v>12.5</v>
      </c>
    </row>
    <row r="81" spans="1:4" x14ac:dyDescent="0.25">
      <c r="A81" t="s">
        <v>1901</v>
      </c>
      <c r="B81" t="s">
        <v>1334</v>
      </c>
      <c r="C81" t="s">
        <v>1398</v>
      </c>
      <c r="D81">
        <v>40</v>
      </c>
    </row>
    <row r="82" spans="1:4" x14ac:dyDescent="0.25">
      <c r="A82" t="s">
        <v>1901</v>
      </c>
      <c r="B82" t="s">
        <v>1331</v>
      </c>
      <c r="C82" t="s">
        <v>1398</v>
      </c>
      <c r="D82">
        <v>479.4</v>
      </c>
    </row>
    <row r="83" spans="1:4" x14ac:dyDescent="0.25">
      <c r="A83" t="s">
        <v>1920</v>
      </c>
      <c r="B83" t="s">
        <v>1331</v>
      </c>
      <c r="C83" t="s">
        <v>1398</v>
      </c>
      <c r="D83">
        <v>177.5</v>
      </c>
    </row>
    <row r="84" spans="1:4" x14ac:dyDescent="0.25">
      <c r="A84" t="s">
        <v>1920</v>
      </c>
      <c r="B84" t="s">
        <v>1331</v>
      </c>
      <c r="C84" t="s">
        <v>60</v>
      </c>
      <c r="D84">
        <v>39.5</v>
      </c>
    </row>
    <row r="85" spans="1:4" x14ac:dyDescent="0.25">
      <c r="A85" t="s">
        <v>1953</v>
      </c>
      <c r="B85" t="s">
        <v>1331</v>
      </c>
      <c r="C85" t="s">
        <v>60</v>
      </c>
      <c r="D85">
        <v>21.1</v>
      </c>
    </row>
    <row r="86" spans="1:4" x14ac:dyDescent="0.25">
      <c r="A86" t="s">
        <v>1950</v>
      </c>
      <c r="B86" t="s">
        <v>1334</v>
      </c>
      <c r="C86" t="s">
        <v>60</v>
      </c>
      <c r="D86">
        <v>19.399999999999999</v>
      </c>
    </row>
    <row r="87" spans="1:4" x14ac:dyDescent="0.25">
      <c r="A87" t="s">
        <v>1956</v>
      </c>
      <c r="B87" t="s">
        <v>1331</v>
      </c>
      <c r="C87" t="s">
        <v>60</v>
      </c>
      <c r="D87">
        <v>15.4</v>
      </c>
    </row>
    <row r="88" spans="1:4" x14ac:dyDescent="0.25">
      <c r="A88" t="s">
        <v>1907</v>
      </c>
      <c r="B88" t="s">
        <v>1331</v>
      </c>
      <c r="C88" t="s">
        <v>60</v>
      </c>
      <c r="D88">
        <v>10</v>
      </c>
    </row>
    <row r="89" spans="1:4" x14ac:dyDescent="0.25">
      <c r="A89" t="s">
        <v>1933</v>
      </c>
      <c r="B89" t="s">
        <v>1330</v>
      </c>
      <c r="C89" t="s">
        <v>60</v>
      </c>
      <c r="D89">
        <v>228.1</v>
      </c>
    </row>
    <row r="90" spans="1:4" x14ac:dyDescent="0.25">
      <c r="A90" t="s">
        <v>1956</v>
      </c>
      <c r="B90" t="s">
        <v>1335</v>
      </c>
      <c r="C90" t="s">
        <v>60</v>
      </c>
      <c r="D90">
        <v>41</v>
      </c>
    </row>
    <row r="91" spans="1:4" x14ac:dyDescent="0.25">
      <c r="A91" t="s">
        <v>1958</v>
      </c>
      <c r="B91" t="s">
        <v>1335</v>
      </c>
      <c r="C91" t="s">
        <v>60</v>
      </c>
      <c r="D91">
        <v>4.7</v>
      </c>
    </row>
    <row r="92" spans="1:4" x14ac:dyDescent="0.25">
      <c r="A92" t="s">
        <v>1902</v>
      </c>
      <c r="B92" t="s">
        <v>1331</v>
      </c>
      <c r="C92" t="s">
        <v>60</v>
      </c>
      <c r="D92">
        <v>2.7</v>
      </c>
    </row>
    <row r="93" spans="1:4" x14ac:dyDescent="0.25">
      <c r="A93" t="s">
        <v>1907</v>
      </c>
      <c r="B93" t="s">
        <v>1333</v>
      </c>
      <c r="C93" t="s">
        <v>60</v>
      </c>
      <c r="D93">
        <v>4</v>
      </c>
    </row>
    <row r="94" spans="1:4" x14ac:dyDescent="0.25">
      <c r="A94" t="s">
        <v>1954</v>
      </c>
      <c r="B94" t="s">
        <v>1331</v>
      </c>
      <c r="C94" t="s">
        <v>60</v>
      </c>
      <c r="D94">
        <v>19.100000000000001</v>
      </c>
    </row>
    <row r="95" spans="1:4" x14ac:dyDescent="0.25">
      <c r="A95" t="s">
        <v>1931</v>
      </c>
      <c r="B95" t="s">
        <v>1335</v>
      </c>
      <c r="C95" t="s">
        <v>60</v>
      </c>
      <c r="D95">
        <v>23.1</v>
      </c>
    </row>
    <row r="96" spans="1:4" x14ac:dyDescent="0.25">
      <c r="A96" t="s">
        <v>1933</v>
      </c>
      <c r="B96" t="s">
        <v>1331</v>
      </c>
      <c r="C96" t="s">
        <v>60</v>
      </c>
      <c r="D96">
        <v>22.35</v>
      </c>
    </row>
    <row r="97" spans="1:4" x14ac:dyDescent="0.25">
      <c r="A97" t="s">
        <v>1960</v>
      </c>
      <c r="B97" t="s">
        <v>1331</v>
      </c>
      <c r="C97" t="s">
        <v>60</v>
      </c>
      <c r="D97">
        <v>37.1</v>
      </c>
    </row>
    <row r="98" spans="1:4" x14ac:dyDescent="0.25">
      <c r="A98" t="s">
        <v>1953</v>
      </c>
      <c r="B98" t="s">
        <v>1335</v>
      </c>
      <c r="C98" t="s">
        <v>60</v>
      </c>
      <c r="D98">
        <v>93.25</v>
      </c>
    </row>
    <row r="99" spans="1:4" x14ac:dyDescent="0.25">
      <c r="A99" t="s">
        <v>1933</v>
      </c>
      <c r="B99" t="s">
        <v>1335</v>
      </c>
      <c r="C99" t="s">
        <v>60</v>
      </c>
      <c r="D99">
        <v>2.7</v>
      </c>
    </row>
    <row r="100" spans="1:4" x14ac:dyDescent="0.25">
      <c r="A100" t="s">
        <v>1954</v>
      </c>
      <c r="B100" t="s">
        <v>1335</v>
      </c>
      <c r="C100" t="s">
        <v>60</v>
      </c>
      <c r="D100">
        <v>1.2</v>
      </c>
    </row>
    <row r="101" spans="1:4" x14ac:dyDescent="0.25">
      <c r="A101" t="s">
        <v>1907</v>
      </c>
      <c r="B101" t="s">
        <v>1335</v>
      </c>
      <c r="C101" t="s">
        <v>60</v>
      </c>
      <c r="D101">
        <v>43.2</v>
      </c>
    </row>
    <row r="102" spans="1:4" x14ac:dyDescent="0.25">
      <c r="A102" t="s">
        <v>1902</v>
      </c>
      <c r="B102" t="s">
        <v>1335</v>
      </c>
      <c r="C102" t="s">
        <v>60</v>
      </c>
      <c r="D102">
        <v>3.85</v>
      </c>
    </row>
    <row r="103" spans="1:4" x14ac:dyDescent="0.25">
      <c r="A103" t="s">
        <v>1933</v>
      </c>
      <c r="B103" t="s">
        <v>1330</v>
      </c>
      <c r="C103" t="s">
        <v>65</v>
      </c>
      <c r="D103">
        <v>20.9</v>
      </c>
    </row>
    <row r="104" spans="1:4" x14ac:dyDescent="0.25">
      <c r="A104" t="s">
        <v>1954</v>
      </c>
      <c r="B104" t="s">
        <v>1335</v>
      </c>
      <c r="C104" t="s">
        <v>65</v>
      </c>
      <c r="D104">
        <v>4</v>
      </c>
    </row>
    <row r="105" spans="1:4" x14ac:dyDescent="0.25">
      <c r="A105" t="s">
        <v>1933</v>
      </c>
      <c r="B105" t="s">
        <v>1335</v>
      </c>
      <c r="C105" t="s">
        <v>65</v>
      </c>
      <c r="D105">
        <v>1.7</v>
      </c>
    </row>
    <row r="106" spans="1:4" x14ac:dyDescent="0.25">
      <c r="A106" t="s">
        <v>1955</v>
      </c>
      <c r="B106" t="s">
        <v>1335</v>
      </c>
      <c r="C106" t="s">
        <v>65</v>
      </c>
      <c r="D106">
        <v>13.4</v>
      </c>
    </row>
    <row r="107" spans="1:4" x14ac:dyDescent="0.25">
      <c r="A107" t="s">
        <v>1950</v>
      </c>
      <c r="B107" t="s">
        <v>1334</v>
      </c>
      <c r="C107" t="s">
        <v>65</v>
      </c>
      <c r="D107">
        <v>5</v>
      </c>
    </row>
    <row r="108" spans="1:4" x14ac:dyDescent="0.25">
      <c r="A108" t="s">
        <v>1954</v>
      </c>
      <c r="B108" t="s">
        <v>1331</v>
      </c>
      <c r="C108" t="s">
        <v>65</v>
      </c>
      <c r="D108">
        <v>3</v>
      </c>
    </row>
    <row r="109" spans="1:4" x14ac:dyDescent="0.25">
      <c r="A109" t="s">
        <v>1949</v>
      </c>
      <c r="B109" t="s">
        <v>1333</v>
      </c>
      <c r="C109" t="s">
        <v>1472</v>
      </c>
      <c r="D109">
        <v>3.7</v>
      </c>
    </row>
    <row r="110" spans="1:4" x14ac:dyDescent="0.25">
      <c r="A110" t="s">
        <v>1949</v>
      </c>
      <c r="B110" t="s">
        <v>1331</v>
      </c>
      <c r="C110" t="s">
        <v>1472</v>
      </c>
      <c r="D110">
        <v>62.7</v>
      </c>
    </row>
    <row r="111" spans="1:4" x14ac:dyDescent="0.25">
      <c r="A111" t="s">
        <v>1935</v>
      </c>
      <c r="B111" t="s">
        <v>1331</v>
      </c>
      <c r="C111" t="s">
        <v>1472</v>
      </c>
      <c r="D111">
        <v>1</v>
      </c>
    </row>
    <row r="112" spans="1:4" x14ac:dyDescent="0.25">
      <c r="A112" t="s">
        <v>1947</v>
      </c>
      <c r="B112" t="s">
        <v>1331</v>
      </c>
      <c r="C112" t="s">
        <v>1472</v>
      </c>
      <c r="D112">
        <v>127.05</v>
      </c>
    </row>
    <row r="113" spans="1:4" x14ac:dyDescent="0.25">
      <c r="A113" t="s">
        <v>1955</v>
      </c>
      <c r="B113" t="s">
        <v>1331</v>
      </c>
      <c r="C113" t="s">
        <v>70</v>
      </c>
      <c r="D113">
        <v>61.2</v>
      </c>
    </row>
    <row r="114" spans="1:4" x14ac:dyDescent="0.25">
      <c r="A114" t="s">
        <v>1950</v>
      </c>
      <c r="B114" t="s">
        <v>1334</v>
      </c>
      <c r="C114" t="s">
        <v>70</v>
      </c>
      <c r="D114">
        <v>50.2</v>
      </c>
    </row>
    <row r="115" spans="1:4" x14ac:dyDescent="0.25">
      <c r="A115" t="s">
        <v>1920</v>
      </c>
      <c r="B115" t="s">
        <v>1330</v>
      </c>
      <c r="C115" t="s">
        <v>70</v>
      </c>
      <c r="D115">
        <v>5</v>
      </c>
    </row>
    <row r="116" spans="1:4" x14ac:dyDescent="0.25">
      <c r="A116" t="s">
        <v>1956</v>
      </c>
      <c r="B116" t="s">
        <v>1335</v>
      </c>
      <c r="C116" t="s">
        <v>70</v>
      </c>
      <c r="D116">
        <v>16.100000000000001</v>
      </c>
    </row>
    <row r="117" spans="1:4" x14ac:dyDescent="0.25">
      <c r="A117" t="s">
        <v>1955</v>
      </c>
      <c r="B117" t="s">
        <v>1335</v>
      </c>
      <c r="C117" t="s">
        <v>70</v>
      </c>
      <c r="D117">
        <v>274.8</v>
      </c>
    </row>
    <row r="118" spans="1:4" x14ac:dyDescent="0.25">
      <c r="A118" t="s">
        <v>1950</v>
      </c>
      <c r="B118" t="s">
        <v>1331</v>
      </c>
      <c r="C118" t="s">
        <v>70</v>
      </c>
      <c r="D118">
        <v>5.7</v>
      </c>
    </row>
    <row r="119" spans="1:4" x14ac:dyDescent="0.25">
      <c r="A119" t="s">
        <v>1933</v>
      </c>
      <c r="B119" t="s">
        <v>1330</v>
      </c>
      <c r="C119" t="s">
        <v>70</v>
      </c>
      <c r="D119">
        <v>19.100000000000001</v>
      </c>
    </row>
    <row r="120" spans="1:4" x14ac:dyDescent="0.25">
      <c r="A120" t="s">
        <v>1953</v>
      </c>
      <c r="B120" t="s">
        <v>1331</v>
      </c>
      <c r="C120" t="s">
        <v>70</v>
      </c>
      <c r="D120">
        <v>46.2</v>
      </c>
    </row>
    <row r="121" spans="1:4" x14ac:dyDescent="0.25">
      <c r="A121" t="s">
        <v>1920</v>
      </c>
      <c r="B121" t="s">
        <v>1331</v>
      </c>
      <c r="C121" t="s">
        <v>70</v>
      </c>
      <c r="D121">
        <v>14</v>
      </c>
    </row>
    <row r="122" spans="1:4" x14ac:dyDescent="0.25">
      <c r="A122" t="s">
        <v>1921</v>
      </c>
      <c r="B122" t="s">
        <v>1330</v>
      </c>
      <c r="C122" t="s">
        <v>70</v>
      </c>
      <c r="D122">
        <v>7.7</v>
      </c>
    </row>
    <row r="123" spans="1:4" x14ac:dyDescent="0.25">
      <c r="A123" t="s">
        <v>1953</v>
      </c>
      <c r="B123" t="s">
        <v>1335</v>
      </c>
      <c r="C123" t="s">
        <v>70</v>
      </c>
      <c r="D123">
        <v>67.8</v>
      </c>
    </row>
    <row r="124" spans="1:4" x14ac:dyDescent="0.25">
      <c r="A124" t="s">
        <v>1954</v>
      </c>
      <c r="B124" t="s">
        <v>1335</v>
      </c>
      <c r="C124" t="s">
        <v>70</v>
      </c>
      <c r="D124">
        <v>28.7</v>
      </c>
    </row>
    <row r="125" spans="1:4" x14ac:dyDescent="0.25">
      <c r="A125" t="s">
        <v>1920</v>
      </c>
      <c r="B125" t="s">
        <v>1331</v>
      </c>
      <c r="C125" t="s">
        <v>80</v>
      </c>
      <c r="D125">
        <v>71</v>
      </c>
    </row>
    <row r="126" spans="1:4" x14ac:dyDescent="0.25">
      <c r="A126" t="s">
        <v>1947</v>
      </c>
      <c r="B126" t="s">
        <v>1331</v>
      </c>
      <c r="C126" t="s">
        <v>80</v>
      </c>
      <c r="D126">
        <v>3</v>
      </c>
    </row>
    <row r="127" spans="1:4" x14ac:dyDescent="0.25">
      <c r="A127" t="s">
        <v>1945</v>
      </c>
      <c r="B127" t="s">
        <v>1331</v>
      </c>
      <c r="C127" t="s">
        <v>80</v>
      </c>
      <c r="D127">
        <v>18.600000000000001</v>
      </c>
    </row>
    <row r="128" spans="1:4" x14ac:dyDescent="0.25">
      <c r="A128" t="s">
        <v>1947</v>
      </c>
      <c r="B128" t="s">
        <v>1331</v>
      </c>
      <c r="C128" t="s">
        <v>82</v>
      </c>
      <c r="D128">
        <v>3</v>
      </c>
    </row>
    <row r="129" spans="1:4" x14ac:dyDescent="0.25">
      <c r="A129" t="s">
        <v>1920</v>
      </c>
      <c r="B129" t="s">
        <v>1331</v>
      </c>
      <c r="C129" t="s">
        <v>82</v>
      </c>
      <c r="D129">
        <v>70</v>
      </c>
    </row>
    <row r="130" spans="1:4" x14ac:dyDescent="0.25">
      <c r="A130" t="s">
        <v>1949</v>
      </c>
      <c r="B130" t="s">
        <v>1331</v>
      </c>
      <c r="C130" t="s">
        <v>82</v>
      </c>
      <c r="D130">
        <v>17.100000000000001</v>
      </c>
    </row>
    <row r="131" spans="1:4" x14ac:dyDescent="0.25">
      <c r="A131" t="s">
        <v>1945</v>
      </c>
      <c r="B131" t="s">
        <v>1331</v>
      </c>
      <c r="C131" t="s">
        <v>82</v>
      </c>
      <c r="D131">
        <v>10.8</v>
      </c>
    </row>
    <row r="132" spans="1:4" x14ac:dyDescent="0.25">
      <c r="A132" t="s">
        <v>1929</v>
      </c>
      <c r="B132" t="s">
        <v>1331</v>
      </c>
      <c r="C132" t="s">
        <v>1388</v>
      </c>
      <c r="D132">
        <v>486.5</v>
      </c>
    </row>
    <row r="133" spans="1:4" x14ac:dyDescent="0.25">
      <c r="A133" t="s">
        <v>1961</v>
      </c>
      <c r="B133" t="s">
        <v>1331</v>
      </c>
      <c r="C133" t="s">
        <v>1388</v>
      </c>
      <c r="D133">
        <v>21.4</v>
      </c>
    </row>
    <row r="134" spans="1:4" x14ac:dyDescent="0.25">
      <c r="A134" t="s">
        <v>1933</v>
      </c>
      <c r="B134" t="s">
        <v>1330</v>
      </c>
      <c r="C134" t="s">
        <v>1388</v>
      </c>
      <c r="D134">
        <v>82.8</v>
      </c>
    </row>
    <row r="135" spans="1:4" x14ac:dyDescent="0.25">
      <c r="A135" t="s">
        <v>1933</v>
      </c>
      <c r="B135" t="s">
        <v>1331</v>
      </c>
      <c r="C135" t="s">
        <v>1388</v>
      </c>
      <c r="D135">
        <v>18.399999999999999</v>
      </c>
    </row>
    <row r="136" spans="1:4" x14ac:dyDescent="0.25">
      <c r="A136" t="s">
        <v>1949</v>
      </c>
      <c r="B136" t="s">
        <v>1331</v>
      </c>
      <c r="C136" t="s">
        <v>1388</v>
      </c>
      <c r="D136">
        <v>217.55</v>
      </c>
    </row>
    <row r="137" spans="1:4" x14ac:dyDescent="0.25">
      <c r="A137" t="s">
        <v>1902</v>
      </c>
      <c r="B137" t="s">
        <v>1335</v>
      </c>
      <c r="C137" t="s">
        <v>1388</v>
      </c>
      <c r="D137">
        <v>23.8</v>
      </c>
    </row>
    <row r="138" spans="1:4" x14ac:dyDescent="0.25">
      <c r="A138" t="s">
        <v>1923</v>
      </c>
      <c r="B138" t="s">
        <v>1331</v>
      </c>
      <c r="C138" t="s">
        <v>1388</v>
      </c>
      <c r="D138">
        <v>10.4</v>
      </c>
    </row>
    <row r="139" spans="1:4" x14ac:dyDescent="0.25">
      <c r="A139" t="s">
        <v>1916</v>
      </c>
      <c r="B139" t="s">
        <v>1335</v>
      </c>
      <c r="C139" t="s">
        <v>84</v>
      </c>
      <c r="D139">
        <v>7.1</v>
      </c>
    </row>
    <row r="140" spans="1:4" x14ac:dyDescent="0.25">
      <c r="A140" t="s">
        <v>1933</v>
      </c>
      <c r="B140" t="s">
        <v>1330</v>
      </c>
      <c r="C140" t="s">
        <v>84</v>
      </c>
      <c r="D140">
        <v>60.5</v>
      </c>
    </row>
    <row r="141" spans="1:4" x14ac:dyDescent="0.25">
      <c r="A141" t="s">
        <v>1956</v>
      </c>
      <c r="B141" t="s">
        <v>1331</v>
      </c>
      <c r="C141" t="s">
        <v>84</v>
      </c>
      <c r="D141">
        <v>7.7</v>
      </c>
    </row>
    <row r="142" spans="1:4" x14ac:dyDescent="0.25">
      <c r="A142" t="s">
        <v>1953</v>
      </c>
      <c r="B142" t="s">
        <v>1335</v>
      </c>
      <c r="C142" t="s">
        <v>84</v>
      </c>
      <c r="D142">
        <v>53.9</v>
      </c>
    </row>
    <row r="143" spans="1:4" x14ac:dyDescent="0.25">
      <c r="A143" t="s">
        <v>1933</v>
      </c>
      <c r="B143" t="s">
        <v>1334</v>
      </c>
      <c r="C143" t="s">
        <v>84</v>
      </c>
      <c r="D143">
        <v>1.5</v>
      </c>
    </row>
    <row r="144" spans="1:4" x14ac:dyDescent="0.25">
      <c r="A144" t="s">
        <v>1950</v>
      </c>
      <c r="B144" t="s">
        <v>1334</v>
      </c>
      <c r="C144" t="s">
        <v>84</v>
      </c>
      <c r="D144">
        <v>13.8</v>
      </c>
    </row>
    <row r="145" spans="1:4" x14ac:dyDescent="0.25">
      <c r="A145" t="s">
        <v>1954</v>
      </c>
      <c r="B145" t="s">
        <v>1335</v>
      </c>
      <c r="C145" t="s">
        <v>84</v>
      </c>
      <c r="D145">
        <v>6.7</v>
      </c>
    </row>
    <row r="146" spans="1:4" x14ac:dyDescent="0.25">
      <c r="A146" t="s">
        <v>1902</v>
      </c>
      <c r="B146" t="s">
        <v>1335</v>
      </c>
      <c r="C146" t="s">
        <v>84</v>
      </c>
      <c r="D146">
        <v>3</v>
      </c>
    </row>
    <row r="147" spans="1:4" x14ac:dyDescent="0.25">
      <c r="A147" t="s">
        <v>1958</v>
      </c>
      <c r="B147" t="s">
        <v>1335</v>
      </c>
      <c r="C147" t="s">
        <v>84</v>
      </c>
      <c r="D147">
        <v>8.4</v>
      </c>
    </row>
    <row r="148" spans="1:4" x14ac:dyDescent="0.25">
      <c r="A148" t="s">
        <v>1950</v>
      </c>
      <c r="B148" t="s">
        <v>1334</v>
      </c>
      <c r="C148" t="s">
        <v>93</v>
      </c>
      <c r="D148">
        <v>7.7</v>
      </c>
    </row>
    <row r="149" spans="1:4" x14ac:dyDescent="0.25">
      <c r="A149" t="s">
        <v>1954</v>
      </c>
      <c r="B149" t="s">
        <v>1335</v>
      </c>
      <c r="C149" t="s">
        <v>93</v>
      </c>
      <c r="D149">
        <v>5.2</v>
      </c>
    </row>
    <row r="150" spans="1:4" x14ac:dyDescent="0.25">
      <c r="A150" t="s">
        <v>1954</v>
      </c>
      <c r="B150" t="s">
        <v>1331</v>
      </c>
      <c r="C150" t="s">
        <v>93</v>
      </c>
      <c r="D150">
        <v>2</v>
      </c>
    </row>
    <row r="151" spans="1:4" x14ac:dyDescent="0.25">
      <c r="A151" t="s">
        <v>1933</v>
      </c>
      <c r="B151" t="s">
        <v>1330</v>
      </c>
      <c r="C151" t="s">
        <v>93</v>
      </c>
      <c r="D151">
        <v>90.35</v>
      </c>
    </row>
    <row r="152" spans="1:4" x14ac:dyDescent="0.25">
      <c r="A152" t="s">
        <v>1958</v>
      </c>
      <c r="B152" t="s">
        <v>1335</v>
      </c>
      <c r="C152" t="s">
        <v>93</v>
      </c>
      <c r="D152">
        <v>3.7</v>
      </c>
    </row>
    <row r="153" spans="1:4" x14ac:dyDescent="0.25">
      <c r="A153" t="s">
        <v>1950</v>
      </c>
      <c r="B153" t="s">
        <v>1331</v>
      </c>
      <c r="C153" t="s">
        <v>93</v>
      </c>
      <c r="D153">
        <v>4</v>
      </c>
    </row>
    <row r="154" spans="1:4" x14ac:dyDescent="0.25">
      <c r="A154" t="s">
        <v>1953</v>
      </c>
      <c r="B154" t="s">
        <v>1335</v>
      </c>
      <c r="C154" t="s">
        <v>93</v>
      </c>
      <c r="D154">
        <v>44.35</v>
      </c>
    </row>
    <row r="155" spans="1:4" x14ac:dyDescent="0.25">
      <c r="A155" t="s">
        <v>1956</v>
      </c>
      <c r="B155" t="s">
        <v>1335</v>
      </c>
      <c r="C155" t="s">
        <v>93</v>
      </c>
      <c r="D155">
        <v>11.55</v>
      </c>
    </row>
    <row r="156" spans="1:4" x14ac:dyDescent="0.25">
      <c r="A156" t="s">
        <v>1933</v>
      </c>
      <c r="B156" t="s">
        <v>1331</v>
      </c>
      <c r="C156" t="s">
        <v>1396</v>
      </c>
      <c r="D156">
        <v>5.7</v>
      </c>
    </row>
    <row r="157" spans="1:4" x14ac:dyDescent="0.25">
      <c r="A157" t="s">
        <v>1923</v>
      </c>
      <c r="B157" t="s">
        <v>1331</v>
      </c>
      <c r="C157" t="s">
        <v>1396</v>
      </c>
      <c r="D157">
        <v>174.8</v>
      </c>
    </row>
    <row r="158" spans="1:4" x14ac:dyDescent="0.25">
      <c r="A158" t="s">
        <v>1939</v>
      </c>
      <c r="B158" t="s">
        <v>1331</v>
      </c>
      <c r="C158" t="s">
        <v>1396</v>
      </c>
      <c r="D158">
        <v>18.399999999999999</v>
      </c>
    </row>
    <row r="159" spans="1:4" x14ac:dyDescent="0.25">
      <c r="A159" t="s">
        <v>1961</v>
      </c>
      <c r="B159" t="s">
        <v>1331</v>
      </c>
      <c r="C159" t="s">
        <v>1396</v>
      </c>
      <c r="D159">
        <v>83.5</v>
      </c>
    </row>
    <row r="160" spans="1:4" x14ac:dyDescent="0.25">
      <c r="A160" t="s">
        <v>1929</v>
      </c>
      <c r="B160" t="s">
        <v>1331</v>
      </c>
      <c r="C160" t="s">
        <v>1396</v>
      </c>
      <c r="D160">
        <v>42</v>
      </c>
    </row>
    <row r="161" spans="1:4" x14ac:dyDescent="0.25">
      <c r="A161" t="s">
        <v>1962</v>
      </c>
      <c r="B161" t="s">
        <v>1331</v>
      </c>
      <c r="C161" t="s">
        <v>1396</v>
      </c>
      <c r="D161">
        <v>6.7</v>
      </c>
    </row>
    <row r="162" spans="1:4" x14ac:dyDescent="0.25">
      <c r="A162" t="s">
        <v>1963</v>
      </c>
      <c r="B162" t="s">
        <v>1333</v>
      </c>
      <c r="C162" t="s">
        <v>1396</v>
      </c>
      <c r="D162">
        <v>6</v>
      </c>
    </row>
    <row r="163" spans="1:4" x14ac:dyDescent="0.25">
      <c r="A163" t="s">
        <v>1949</v>
      </c>
      <c r="B163" t="s">
        <v>1331</v>
      </c>
      <c r="C163" t="s">
        <v>1396</v>
      </c>
      <c r="D163">
        <v>285.75</v>
      </c>
    </row>
    <row r="164" spans="1:4" x14ac:dyDescent="0.25">
      <c r="A164" t="s">
        <v>1921</v>
      </c>
      <c r="B164" t="s">
        <v>1330</v>
      </c>
      <c r="C164" t="s">
        <v>1396</v>
      </c>
      <c r="D164">
        <v>22.1</v>
      </c>
    </row>
    <row r="165" spans="1:4" x14ac:dyDescent="0.25">
      <c r="A165" t="s">
        <v>1949</v>
      </c>
      <c r="B165" t="s">
        <v>1333</v>
      </c>
      <c r="C165" t="s">
        <v>1396</v>
      </c>
      <c r="D165">
        <v>17.399999999999999</v>
      </c>
    </row>
    <row r="166" spans="1:4" x14ac:dyDescent="0.25">
      <c r="A166" t="s">
        <v>1963</v>
      </c>
      <c r="B166" t="s">
        <v>1331</v>
      </c>
      <c r="C166" t="s">
        <v>1396</v>
      </c>
      <c r="D166">
        <v>2</v>
      </c>
    </row>
    <row r="167" spans="1:4" x14ac:dyDescent="0.25">
      <c r="A167" t="s">
        <v>1939</v>
      </c>
      <c r="B167" t="s">
        <v>1333</v>
      </c>
      <c r="C167" t="s">
        <v>1396</v>
      </c>
      <c r="D167">
        <v>1.5</v>
      </c>
    </row>
    <row r="168" spans="1:4" x14ac:dyDescent="0.25">
      <c r="A168" t="s">
        <v>1964</v>
      </c>
      <c r="B168" t="s">
        <v>1333</v>
      </c>
      <c r="C168" t="s">
        <v>1396</v>
      </c>
      <c r="D168">
        <v>5</v>
      </c>
    </row>
    <row r="169" spans="1:4" x14ac:dyDescent="0.25">
      <c r="A169" t="s">
        <v>1902</v>
      </c>
      <c r="B169" t="s">
        <v>1335</v>
      </c>
      <c r="C169" t="s">
        <v>1396</v>
      </c>
      <c r="D169">
        <v>45</v>
      </c>
    </row>
    <row r="170" spans="1:4" x14ac:dyDescent="0.25">
      <c r="A170" t="s">
        <v>1920</v>
      </c>
      <c r="B170" t="s">
        <v>1331</v>
      </c>
      <c r="C170" t="s">
        <v>1396</v>
      </c>
      <c r="D170">
        <v>2</v>
      </c>
    </row>
    <row r="171" spans="1:4" x14ac:dyDescent="0.25">
      <c r="A171" t="s">
        <v>1959</v>
      </c>
      <c r="B171" t="s">
        <v>1330</v>
      </c>
      <c r="C171" t="s">
        <v>1396</v>
      </c>
      <c r="D171">
        <v>3</v>
      </c>
    </row>
    <row r="172" spans="1:4" x14ac:dyDescent="0.25">
      <c r="A172" t="s">
        <v>1933</v>
      </c>
      <c r="B172" t="s">
        <v>1330</v>
      </c>
      <c r="C172" t="s">
        <v>1396</v>
      </c>
      <c r="D172">
        <v>18.899999999999999</v>
      </c>
    </row>
    <row r="173" spans="1:4" x14ac:dyDescent="0.25">
      <c r="A173" t="s">
        <v>1949</v>
      </c>
      <c r="B173" t="s">
        <v>1333</v>
      </c>
      <c r="C173" t="s">
        <v>1371</v>
      </c>
      <c r="D173">
        <v>5</v>
      </c>
    </row>
    <row r="174" spans="1:4" x14ac:dyDescent="0.25">
      <c r="A174" t="s">
        <v>1965</v>
      </c>
      <c r="B174" t="s">
        <v>1331</v>
      </c>
      <c r="C174" t="s">
        <v>1371</v>
      </c>
      <c r="D174">
        <v>50.9</v>
      </c>
    </row>
    <row r="175" spans="1:4" x14ac:dyDescent="0.25">
      <c r="A175" t="s">
        <v>1945</v>
      </c>
      <c r="B175" t="s">
        <v>1331</v>
      </c>
      <c r="C175" t="s">
        <v>1371</v>
      </c>
      <c r="D175">
        <v>2</v>
      </c>
    </row>
    <row r="176" spans="1:4" x14ac:dyDescent="0.25">
      <c r="A176" t="s">
        <v>1902</v>
      </c>
      <c r="B176" t="s">
        <v>1335</v>
      </c>
      <c r="C176" t="s">
        <v>1371</v>
      </c>
      <c r="D176">
        <v>49.05</v>
      </c>
    </row>
    <row r="177" spans="1:4" x14ac:dyDescent="0.25">
      <c r="A177" t="s">
        <v>1950</v>
      </c>
      <c r="B177" t="s">
        <v>1334</v>
      </c>
      <c r="C177" t="s">
        <v>1371</v>
      </c>
      <c r="D177">
        <v>98.6</v>
      </c>
    </row>
    <row r="178" spans="1:4" x14ac:dyDescent="0.25">
      <c r="A178" t="s">
        <v>1935</v>
      </c>
      <c r="B178" t="s">
        <v>1331</v>
      </c>
      <c r="C178" t="s">
        <v>1371</v>
      </c>
      <c r="D178">
        <v>17.5</v>
      </c>
    </row>
    <row r="179" spans="1:4" x14ac:dyDescent="0.25">
      <c r="A179" t="s">
        <v>1949</v>
      </c>
      <c r="B179" t="s">
        <v>1331</v>
      </c>
      <c r="C179" t="s">
        <v>1371</v>
      </c>
      <c r="D179">
        <v>237.35</v>
      </c>
    </row>
    <row r="180" spans="1:4" x14ac:dyDescent="0.25">
      <c r="A180" t="s">
        <v>1923</v>
      </c>
      <c r="B180" t="s">
        <v>1331</v>
      </c>
      <c r="C180" t="s">
        <v>1371</v>
      </c>
      <c r="D180">
        <v>757.7</v>
      </c>
    </row>
    <row r="181" spans="1:4" x14ac:dyDescent="0.25">
      <c r="A181" t="s">
        <v>1933</v>
      </c>
      <c r="B181" t="s">
        <v>1330</v>
      </c>
      <c r="C181" t="s">
        <v>1371</v>
      </c>
      <c r="D181">
        <v>40.15</v>
      </c>
    </row>
    <row r="182" spans="1:4" x14ac:dyDescent="0.25">
      <c r="A182" t="s">
        <v>1920</v>
      </c>
      <c r="B182" t="s">
        <v>1331</v>
      </c>
      <c r="C182" t="s">
        <v>1371</v>
      </c>
      <c r="D182">
        <v>352.85</v>
      </c>
    </row>
    <row r="183" spans="1:4" x14ac:dyDescent="0.25">
      <c r="A183" t="s">
        <v>1902</v>
      </c>
      <c r="B183" t="s">
        <v>1335</v>
      </c>
      <c r="C183" t="s">
        <v>1739</v>
      </c>
      <c r="D183">
        <v>2.7</v>
      </c>
    </row>
    <row r="184" spans="1:4" x14ac:dyDescent="0.25">
      <c r="A184" t="s">
        <v>1949</v>
      </c>
      <c r="B184" t="s">
        <v>1331</v>
      </c>
      <c r="C184" t="s">
        <v>1739</v>
      </c>
      <c r="D184">
        <v>6</v>
      </c>
    </row>
    <row r="185" spans="1:4" x14ac:dyDescent="0.25">
      <c r="A185" t="s">
        <v>1949</v>
      </c>
      <c r="B185" t="s">
        <v>1333</v>
      </c>
      <c r="C185" t="s">
        <v>1739</v>
      </c>
      <c r="D185">
        <v>3</v>
      </c>
    </row>
    <row r="186" spans="1:4" x14ac:dyDescent="0.25">
      <c r="A186" t="s">
        <v>1900</v>
      </c>
      <c r="B186" t="s">
        <v>1335</v>
      </c>
      <c r="C186" t="s">
        <v>98</v>
      </c>
      <c r="D186">
        <v>6</v>
      </c>
    </row>
    <row r="187" spans="1:4" x14ac:dyDescent="0.25">
      <c r="A187" t="s">
        <v>1949</v>
      </c>
      <c r="B187" t="s">
        <v>1331</v>
      </c>
      <c r="C187" t="s">
        <v>98</v>
      </c>
      <c r="D187">
        <v>3.95</v>
      </c>
    </row>
    <row r="188" spans="1:4" x14ac:dyDescent="0.25">
      <c r="A188" t="s">
        <v>1920</v>
      </c>
      <c r="B188" t="s">
        <v>1331</v>
      </c>
      <c r="C188" t="s">
        <v>98</v>
      </c>
      <c r="D188">
        <v>65</v>
      </c>
    </row>
    <row r="189" spans="1:4" x14ac:dyDescent="0.25">
      <c r="A189" t="s">
        <v>1923</v>
      </c>
      <c r="B189" t="s">
        <v>1331</v>
      </c>
      <c r="C189" t="s">
        <v>98</v>
      </c>
      <c r="D189">
        <v>20.100000000000001</v>
      </c>
    </row>
    <row r="190" spans="1:4" x14ac:dyDescent="0.25">
      <c r="A190" t="s">
        <v>1900</v>
      </c>
      <c r="B190" t="s">
        <v>1335</v>
      </c>
      <c r="C190" t="s">
        <v>100</v>
      </c>
      <c r="D190">
        <v>6</v>
      </c>
    </row>
    <row r="191" spans="1:4" x14ac:dyDescent="0.25">
      <c r="A191" t="s">
        <v>1920</v>
      </c>
      <c r="B191" t="s">
        <v>1331</v>
      </c>
      <c r="C191" t="s">
        <v>100</v>
      </c>
      <c r="D191">
        <v>37</v>
      </c>
    </row>
    <row r="192" spans="1:4" x14ac:dyDescent="0.25">
      <c r="A192" t="s">
        <v>1949</v>
      </c>
      <c r="B192" t="s">
        <v>1331</v>
      </c>
      <c r="C192" t="s">
        <v>100</v>
      </c>
      <c r="D192">
        <v>1.25</v>
      </c>
    </row>
    <row r="193" spans="1:4" x14ac:dyDescent="0.25">
      <c r="A193" t="s">
        <v>1950</v>
      </c>
      <c r="B193" t="s">
        <v>1334</v>
      </c>
      <c r="C193" t="s">
        <v>102</v>
      </c>
      <c r="D193">
        <v>39.799999999999997</v>
      </c>
    </row>
    <row r="194" spans="1:4" x14ac:dyDescent="0.25">
      <c r="A194" t="s">
        <v>1953</v>
      </c>
      <c r="B194" t="s">
        <v>1335</v>
      </c>
      <c r="C194" t="s">
        <v>102</v>
      </c>
      <c r="D194">
        <v>147.30000000000001</v>
      </c>
    </row>
    <row r="195" spans="1:4" x14ac:dyDescent="0.25">
      <c r="A195" t="s">
        <v>1958</v>
      </c>
      <c r="B195" t="s">
        <v>1335</v>
      </c>
      <c r="C195" t="s">
        <v>102</v>
      </c>
      <c r="D195">
        <v>9.9</v>
      </c>
    </row>
    <row r="196" spans="1:4" x14ac:dyDescent="0.25">
      <c r="A196" t="s">
        <v>1956</v>
      </c>
      <c r="B196" t="s">
        <v>1335</v>
      </c>
      <c r="C196" t="s">
        <v>102</v>
      </c>
      <c r="D196">
        <v>38.799999999999997</v>
      </c>
    </row>
    <row r="197" spans="1:4" x14ac:dyDescent="0.25">
      <c r="A197" t="s">
        <v>1950</v>
      </c>
      <c r="B197" t="s">
        <v>1331</v>
      </c>
      <c r="C197" t="s">
        <v>102</v>
      </c>
      <c r="D197">
        <v>2</v>
      </c>
    </row>
    <row r="198" spans="1:4" x14ac:dyDescent="0.25">
      <c r="A198" t="s">
        <v>1966</v>
      </c>
      <c r="B198" t="s">
        <v>1331</v>
      </c>
      <c r="C198" t="s">
        <v>102</v>
      </c>
      <c r="D198">
        <v>92.4</v>
      </c>
    </row>
    <row r="199" spans="1:4" x14ac:dyDescent="0.25">
      <c r="A199" t="s">
        <v>1902</v>
      </c>
      <c r="B199" t="s">
        <v>1335</v>
      </c>
      <c r="C199" t="s">
        <v>102</v>
      </c>
      <c r="D199">
        <v>7.55</v>
      </c>
    </row>
    <row r="200" spans="1:4" x14ac:dyDescent="0.25">
      <c r="A200" t="s">
        <v>1956</v>
      </c>
      <c r="B200" t="s">
        <v>1331</v>
      </c>
      <c r="C200" t="s">
        <v>102</v>
      </c>
      <c r="D200">
        <v>3.7</v>
      </c>
    </row>
    <row r="201" spans="1:4" x14ac:dyDescent="0.25">
      <c r="A201" t="s">
        <v>1920</v>
      </c>
      <c r="B201" t="s">
        <v>1331</v>
      </c>
      <c r="C201" t="s">
        <v>102</v>
      </c>
      <c r="D201">
        <v>16.5</v>
      </c>
    </row>
    <row r="202" spans="1:4" x14ac:dyDescent="0.25">
      <c r="A202" t="s">
        <v>1916</v>
      </c>
      <c r="B202" t="s">
        <v>1335</v>
      </c>
      <c r="C202" t="s">
        <v>102</v>
      </c>
      <c r="D202">
        <v>137.6</v>
      </c>
    </row>
    <row r="203" spans="1:4" x14ac:dyDescent="0.25">
      <c r="A203" t="s">
        <v>1931</v>
      </c>
      <c r="B203" t="s">
        <v>1335</v>
      </c>
      <c r="C203" t="s">
        <v>102</v>
      </c>
      <c r="D203">
        <v>19.25</v>
      </c>
    </row>
    <row r="204" spans="1:4" x14ac:dyDescent="0.25">
      <c r="A204" t="s">
        <v>1933</v>
      </c>
      <c r="B204" t="s">
        <v>1330</v>
      </c>
      <c r="C204" t="s">
        <v>102</v>
      </c>
      <c r="D204">
        <v>54.9</v>
      </c>
    </row>
    <row r="205" spans="1:4" x14ac:dyDescent="0.25">
      <c r="A205" t="s">
        <v>1933</v>
      </c>
      <c r="B205" t="s">
        <v>1330</v>
      </c>
      <c r="C205" t="s">
        <v>107</v>
      </c>
      <c r="D205">
        <v>27.3</v>
      </c>
    </row>
    <row r="206" spans="1:4" x14ac:dyDescent="0.25">
      <c r="A206" t="s">
        <v>1953</v>
      </c>
      <c r="B206" t="s">
        <v>1335</v>
      </c>
      <c r="C206" t="s">
        <v>107</v>
      </c>
      <c r="D206">
        <v>6.7</v>
      </c>
    </row>
    <row r="207" spans="1:4" x14ac:dyDescent="0.25">
      <c r="A207" t="s">
        <v>1950</v>
      </c>
      <c r="B207" t="s">
        <v>1334</v>
      </c>
      <c r="C207" t="s">
        <v>107</v>
      </c>
      <c r="D207">
        <v>3.7</v>
      </c>
    </row>
    <row r="208" spans="1:4" x14ac:dyDescent="0.25">
      <c r="A208" t="s">
        <v>1931</v>
      </c>
      <c r="B208" t="s">
        <v>1335</v>
      </c>
      <c r="C208" t="s">
        <v>107</v>
      </c>
      <c r="D208">
        <v>15.4</v>
      </c>
    </row>
    <row r="209" spans="1:4" x14ac:dyDescent="0.25">
      <c r="A209" t="s">
        <v>1902</v>
      </c>
      <c r="B209" t="s">
        <v>1335</v>
      </c>
      <c r="C209" t="s">
        <v>107</v>
      </c>
      <c r="D209">
        <v>32.1</v>
      </c>
    </row>
    <row r="210" spans="1:4" x14ac:dyDescent="0.25">
      <c r="A210" t="s">
        <v>1935</v>
      </c>
      <c r="B210" t="s">
        <v>1331</v>
      </c>
      <c r="C210" t="s">
        <v>107</v>
      </c>
      <c r="D210">
        <v>153.44999999999999</v>
      </c>
    </row>
    <row r="211" spans="1:4" x14ac:dyDescent="0.25">
      <c r="A211" t="s">
        <v>1933</v>
      </c>
      <c r="B211" t="s">
        <v>1330</v>
      </c>
      <c r="C211" t="s">
        <v>112</v>
      </c>
      <c r="D211">
        <v>162.5</v>
      </c>
    </row>
    <row r="212" spans="1:4" x14ac:dyDescent="0.25">
      <c r="A212" t="s">
        <v>1904</v>
      </c>
      <c r="B212" t="s">
        <v>1331</v>
      </c>
      <c r="C212" t="s">
        <v>112</v>
      </c>
      <c r="D212">
        <v>67</v>
      </c>
    </row>
    <row r="213" spans="1:4" x14ac:dyDescent="0.25">
      <c r="A213" t="s">
        <v>1935</v>
      </c>
      <c r="B213" t="s">
        <v>1331</v>
      </c>
      <c r="C213" t="s">
        <v>112</v>
      </c>
      <c r="D213">
        <v>399.5</v>
      </c>
    </row>
    <row r="214" spans="1:4" x14ac:dyDescent="0.25">
      <c r="A214" t="s">
        <v>1950</v>
      </c>
      <c r="B214" t="s">
        <v>1334</v>
      </c>
      <c r="C214" t="s">
        <v>112</v>
      </c>
      <c r="D214">
        <v>16.7</v>
      </c>
    </row>
    <row r="215" spans="1:4" x14ac:dyDescent="0.25">
      <c r="A215" t="s">
        <v>1925</v>
      </c>
      <c r="B215" t="s">
        <v>1333</v>
      </c>
      <c r="C215" t="s">
        <v>112</v>
      </c>
      <c r="D215">
        <v>13.55</v>
      </c>
    </row>
    <row r="216" spans="1:4" x14ac:dyDescent="0.25">
      <c r="A216" t="s">
        <v>1927</v>
      </c>
      <c r="B216" t="s">
        <v>1331</v>
      </c>
      <c r="C216" t="s">
        <v>112</v>
      </c>
      <c r="D216">
        <v>26.95</v>
      </c>
    </row>
    <row r="217" spans="1:4" x14ac:dyDescent="0.25">
      <c r="A217" t="s">
        <v>1929</v>
      </c>
      <c r="B217" t="s">
        <v>1331</v>
      </c>
      <c r="C217" t="s">
        <v>112</v>
      </c>
      <c r="D217">
        <v>3</v>
      </c>
    </row>
    <row r="218" spans="1:4" x14ac:dyDescent="0.25">
      <c r="A218" t="s">
        <v>1920</v>
      </c>
      <c r="B218" t="s">
        <v>1331</v>
      </c>
      <c r="C218" t="s">
        <v>112</v>
      </c>
      <c r="D218">
        <v>54</v>
      </c>
    </row>
    <row r="219" spans="1:4" x14ac:dyDescent="0.25">
      <c r="A219" t="s">
        <v>1967</v>
      </c>
      <c r="B219" t="s">
        <v>1331</v>
      </c>
      <c r="C219" t="s">
        <v>112</v>
      </c>
      <c r="D219">
        <v>7</v>
      </c>
    </row>
    <row r="220" spans="1:4" x14ac:dyDescent="0.25">
      <c r="A220" t="s">
        <v>1968</v>
      </c>
      <c r="B220" t="s">
        <v>1331</v>
      </c>
      <c r="C220" t="s">
        <v>112</v>
      </c>
      <c r="D220">
        <v>68.3</v>
      </c>
    </row>
    <row r="221" spans="1:4" x14ac:dyDescent="0.25">
      <c r="A221" t="s">
        <v>1900</v>
      </c>
      <c r="B221" t="s">
        <v>1335</v>
      </c>
      <c r="C221" t="s">
        <v>117</v>
      </c>
      <c r="D221">
        <v>6</v>
      </c>
    </row>
    <row r="222" spans="1:4" x14ac:dyDescent="0.25">
      <c r="A222" t="s">
        <v>1920</v>
      </c>
      <c r="B222" t="s">
        <v>1331</v>
      </c>
      <c r="C222" t="s">
        <v>117</v>
      </c>
      <c r="D222">
        <v>35.5</v>
      </c>
    </row>
    <row r="223" spans="1:4" x14ac:dyDescent="0.25">
      <c r="A223" t="s">
        <v>1949</v>
      </c>
      <c r="B223" t="s">
        <v>1331</v>
      </c>
      <c r="C223" t="s">
        <v>1426</v>
      </c>
      <c r="D223">
        <v>135.80000000000001</v>
      </c>
    </row>
    <row r="224" spans="1:4" x14ac:dyDescent="0.25">
      <c r="A224" t="s">
        <v>1968</v>
      </c>
      <c r="B224" t="s">
        <v>1331</v>
      </c>
      <c r="C224" t="s">
        <v>1426</v>
      </c>
      <c r="D224">
        <v>13.7</v>
      </c>
    </row>
    <row r="225" spans="1:4" x14ac:dyDescent="0.25">
      <c r="A225" t="s">
        <v>1933</v>
      </c>
      <c r="B225" t="s">
        <v>1330</v>
      </c>
      <c r="C225" t="s">
        <v>1426</v>
      </c>
      <c r="D225">
        <v>7.1</v>
      </c>
    </row>
    <row r="226" spans="1:4" x14ac:dyDescent="0.25">
      <c r="A226" t="s">
        <v>1965</v>
      </c>
      <c r="B226" t="s">
        <v>1331</v>
      </c>
      <c r="C226" t="s">
        <v>1426</v>
      </c>
      <c r="D226">
        <v>4</v>
      </c>
    </row>
    <row r="227" spans="1:4" x14ac:dyDescent="0.25">
      <c r="A227" t="s">
        <v>1949</v>
      </c>
      <c r="B227" t="s">
        <v>1333</v>
      </c>
      <c r="C227" t="s">
        <v>1426</v>
      </c>
      <c r="D227">
        <v>6</v>
      </c>
    </row>
    <row r="228" spans="1:4" x14ac:dyDescent="0.25">
      <c r="A228" t="s">
        <v>1923</v>
      </c>
      <c r="B228" t="s">
        <v>1331</v>
      </c>
      <c r="C228" t="s">
        <v>1426</v>
      </c>
      <c r="D228">
        <v>139.30000000000001</v>
      </c>
    </row>
    <row r="229" spans="1:4" x14ac:dyDescent="0.25">
      <c r="A229" t="s">
        <v>1921</v>
      </c>
      <c r="B229" t="s">
        <v>1330</v>
      </c>
      <c r="C229" t="s">
        <v>1426</v>
      </c>
      <c r="D229">
        <v>48.2</v>
      </c>
    </row>
    <row r="230" spans="1:4" x14ac:dyDescent="0.25">
      <c r="A230" t="s">
        <v>1963</v>
      </c>
      <c r="B230" t="s">
        <v>1331</v>
      </c>
      <c r="C230" t="s">
        <v>1426</v>
      </c>
      <c r="D230">
        <v>6</v>
      </c>
    </row>
    <row r="231" spans="1:4" x14ac:dyDescent="0.25">
      <c r="A231" t="s">
        <v>1929</v>
      </c>
      <c r="B231" t="s">
        <v>1331</v>
      </c>
      <c r="C231" t="s">
        <v>1426</v>
      </c>
      <c r="D231">
        <v>2</v>
      </c>
    </row>
    <row r="232" spans="1:4" x14ac:dyDescent="0.25">
      <c r="A232" t="s">
        <v>1902</v>
      </c>
      <c r="B232" t="s">
        <v>1335</v>
      </c>
      <c r="C232" t="s">
        <v>1426</v>
      </c>
      <c r="D232">
        <v>26.95</v>
      </c>
    </row>
    <row r="233" spans="1:4" x14ac:dyDescent="0.25">
      <c r="A233" t="s">
        <v>1920</v>
      </c>
      <c r="B233" t="s">
        <v>1331</v>
      </c>
      <c r="C233" t="s">
        <v>121</v>
      </c>
      <c r="D233">
        <v>4</v>
      </c>
    </row>
    <row r="234" spans="1:4" x14ac:dyDescent="0.25">
      <c r="A234" t="s">
        <v>1902</v>
      </c>
      <c r="B234" t="s">
        <v>1335</v>
      </c>
      <c r="C234" t="s">
        <v>121</v>
      </c>
      <c r="D234">
        <v>3.85</v>
      </c>
    </row>
    <row r="235" spans="1:4" x14ac:dyDescent="0.25">
      <c r="A235" t="s">
        <v>1916</v>
      </c>
      <c r="B235" t="s">
        <v>1335</v>
      </c>
      <c r="C235" t="s">
        <v>121</v>
      </c>
      <c r="D235">
        <v>3</v>
      </c>
    </row>
    <row r="236" spans="1:4" x14ac:dyDescent="0.25">
      <c r="A236" t="s">
        <v>1935</v>
      </c>
      <c r="B236" t="s">
        <v>1331</v>
      </c>
      <c r="C236" t="s">
        <v>121</v>
      </c>
      <c r="D236">
        <v>58.5</v>
      </c>
    </row>
    <row r="237" spans="1:4" x14ac:dyDescent="0.25">
      <c r="A237" t="s">
        <v>1927</v>
      </c>
      <c r="B237" t="s">
        <v>1331</v>
      </c>
      <c r="C237" t="s">
        <v>121</v>
      </c>
      <c r="D237">
        <v>22.1</v>
      </c>
    </row>
    <row r="238" spans="1:4" x14ac:dyDescent="0.25">
      <c r="A238" t="s">
        <v>1969</v>
      </c>
      <c r="B238" t="s">
        <v>1331</v>
      </c>
      <c r="C238" t="s">
        <v>121</v>
      </c>
      <c r="D238">
        <v>27.8</v>
      </c>
    </row>
    <row r="239" spans="1:4" x14ac:dyDescent="0.25">
      <c r="A239" t="s">
        <v>1953</v>
      </c>
      <c r="B239" t="s">
        <v>1335</v>
      </c>
      <c r="C239" t="s">
        <v>121</v>
      </c>
      <c r="D239">
        <v>84.7</v>
      </c>
    </row>
    <row r="240" spans="1:4" x14ac:dyDescent="0.25">
      <c r="A240" t="s">
        <v>1950</v>
      </c>
      <c r="B240" t="s">
        <v>1334</v>
      </c>
      <c r="C240" t="s">
        <v>121</v>
      </c>
      <c r="D240">
        <v>29.5</v>
      </c>
    </row>
    <row r="241" spans="1:4" x14ac:dyDescent="0.25">
      <c r="A241" t="s">
        <v>1970</v>
      </c>
      <c r="B241" t="s">
        <v>1335</v>
      </c>
      <c r="C241" t="s">
        <v>121</v>
      </c>
      <c r="D241">
        <v>5.7</v>
      </c>
    </row>
    <row r="242" spans="1:4" x14ac:dyDescent="0.25">
      <c r="A242" t="s">
        <v>1933</v>
      </c>
      <c r="B242" t="s">
        <v>1330</v>
      </c>
      <c r="C242" t="s">
        <v>121</v>
      </c>
      <c r="D242">
        <v>88.7</v>
      </c>
    </row>
    <row r="243" spans="1:4" x14ac:dyDescent="0.25">
      <c r="A243" t="s">
        <v>1904</v>
      </c>
      <c r="B243" t="s">
        <v>1331</v>
      </c>
      <c r="C243" t="s">
        <v>121</v>
      </c>
      <c r="D243">
        <v>31</v>
      </c>
    </row>
    <row r="244" spans="1:4" x14ac:dyDescent="0.25">
      <c r="A244" t="s">
        <v>1904</v>
      </c>
      <c r="B244" t="s">
        <v>1333</v>
      </c>
      <c r="C244" t="s">
        <v>121</v>
      </c>
      <c r="D244">
        <v>2</v>
      </c>
    </row>
    <row r="245" spans="1:4" x14ac:dyDescent="0.25">
      <c r="A245" t="s">
        <v>1920</v>
      </c>
      <c r="B245" t="s">
        <v>1331</v>
      </c>
      <c r="C245" t="s">
        <v>125</v>
      </c>
      <c r="D245">
        <v>18.5</v>
      </c>
    </row>
    <row r="246" spans="1:4" x14ac:dyDescent="0.25">
      <c r="A246" t="s">
        <v>1933</v>
      </c>
      <c r="B246" t="s">
        <v>1330</v>
      </c>
      <c r="C246" t="s">
        <v>125</v>
      </c>
      <c r="D246">
        <v>36.299999999999997</v>
      </c>
    </row>
    <row r="247" spans="1:4" x14ac:dyDescent="0.25">
      <c r="A247" t="s">
        <v>1970</v>
      </c>
      <c r="B247" t="s">
        <v>1335</v>
      </c>
      <c r="C247" t="s">
        <v>125</v>
      </c>
      <c r="D247">
        <v>10.4</v>
      </c>
    </row>
    <row r="248" spans="1:4" x14ac:dyDescent="0.25">
      <c r="A248" t="s">
        <v>1933</v>
      </c>
      <c r="B248" t="s">
        <v>1335</v>
      </c>
      <c r="C248" t="s">
        <v>125</v>
      </c>
      <c r="D248">
        <v>6.1</v>
      </c>
    </row>
    <row r="249" spans="1:4" x14ac:dyDescent="0.25">
      <c r="A249" t="s">
        <v>1950</v>
      </c>
      <c r="B249" t="s">
        <v>1334</v>
      </c>
      <c r="C249" t="s">
        <v>125</v>
      </c>
      <c r="D249">
        <v>10</v>
      </c>
    </row>
    <row r="250" spans="1:4" x14ac:dyDescent="0.25">
      <c r="A250" t="s">
        <v>1902</v>
      </c>
      <c r="B250" t="s">
        <v>1335</v>
      </c>
      <c r="C250" t="s">
        <v>125</v>
      </c>
      <c r="D250">
        <v>9.5500000000000007</v>
      </c>
    </row>
    <row r="251" spans="1:4" x14ac:dyDescent="0.25">
      <c r="A251" t="s">
        <v>1933</v>
      </c>
      <c r="B251" t="s">
        <v>1330</v>
      </c>
      <c r="C251" t="s">
        <v>131</v>
      </c>
      <c r="D251">
        <v>13.6</v>
      </c>
    </row>
    <row r="252" spans="1:4" x14ac:dyDescent="0.25">
      <c r="A252" t="s">
        <v>1950</v>
      </c>
      <c r="B252" t="s">
        <v>1334</v>
      </c>
      <c r="C252" t="s">
        <v>131</v>
      </c>
      <c r="D252">
        <v>14.4</v>
      </c>
    </row>
    <row r="253" spans="1:4" x14ac:dyDescent="0.25">
      <c r="A253" t="s">
        <v>1920</v>
      </c>
      <c r="B253" t="s">
        <v>1331</v>
      </c>
      <c r="C253" t="s">
        <v>131</v>
      </c>
      <c r="D253">
        <v>14</v>
      </c>
    </row>
    <row r="254" spans="1:4" x14ac:dyDescent="0.25">
      <c r="A254" t="s">
        <v>1902</v>
      </c>
      <c r="B254" t="s">
        <v>1335</v>
      </c>
      <c r="C254" t="s">
        <v>131</v>
      </c>
      <c r="D254">
        <v>15.1</v>
      </c>
    </row>
    <row r="255" spans="1:4" x14ac:dyDescent="0.25">
      <c r="A255" t="s">
        <v>1969</v>
      </c>
      <c r="B255" t="s">
        <v>1331</v>
      </c>
      <c r="C255" t="s">
        <v>1433</v>
      </c>
      <c r="D255">
        <v>23.1</v>
      </c>
    </row>
    <row r="256" spans="1:4" x14ac:dyDescent="0.25">
      <c r="A256" t="s">
        <v>1949</v>
      </c>
      <c r="B256" t="s">
        <v>1331</v>
      </c>
      <c r="C256" t="s">
        <v>1433</v>
      </c>
      <c r="D256">
        <v>130.19999999999999</v>
      </c>
    </row>
    <row r="257" spans="1:4" x14ac:dyDescent="0.25">
      <c r="A257" t="s">
        <v>1949</v>
      </c>
      <c r="B257" t="s">
        <v>1333</v>
      </c>
      <c r="C257" t="s">
        <v>1433</v>
      </c>
      <c r="D257">
        <v>3</v>
      </c>
    </row>
    <row r="258" spans="1:4" x14ac:dyDescent="0.25">
      <c r="A258" t="s">
        <v>1929</v>
      </c>
      <c r="B258" t="s">
        <v>1331</v>
      </c>
      <c r="C258" t="s">
        <v>1433</v>
      </c>
      <c r="D258">
        <v>1</v>
      </c>
    </row>
    <row r="259" spans="1:4" x14ac:dyDescent="0.25">
      <c r="A259" t="s">
        <v>1921</v>
      </c>
      <c r="B259" t="s">
        <v>1330</v>
      </c>
      <c r="C259" t="s">
        <v>1433</v>
      </c>
      <c r="D259">
        <v>121.6</v>
      </c>
    </row>
    <row r="260" spans="1:4" x14ac:dyDescent="0.25">
      <c r="A260" t="s">
        <v>1923</v>
      </c>
      <c r="B260" t="s">
        <v>1331</v>
      </c>
      <c r="C260" t="s">
        <v>1433</v>
      </c>
      <c r="D260">
        <v>78.7</v>
      </c>
    </row>
    <row r="261" spans="1:4" x14ac:dyDescent="0.25">
      <c r="A261" t="s">
        <v>1971</v>
      </c>
      <c r="B261" t="s">
        <v>1330</v>
      </c>
      <c r="C261" t="s">
        <v>135</v>
      </c>
      <c r="D261">
        <v>3.1</v>
      </c>
    </row>
    <row r="262" spans="1:4" x14ac:dyDescent="0.25">
      <c r="A262" t="s">
        <v>1950</v>
      </c>
      <c r="B262" t="s">
        <v>1334</v>
      </c>
      <c r="C262" t="s">
        <v>135</v>
      </c>
      <c r="D262">
        <v>62.3</v>
      </c>
    </row>
    <row r="263" spans="1:4" x14ac:dyDescent="0.25">
      <c r="A263" t="s">
        <v>1921</v>
      </c>
      <c r="B263" t="s">
        <v>1330</v>
      </c>
      <c r="C263" t="s">
        <v>135</v>
      </c>
      <c r="D263">
        <v>36</v>
      </c>
    </row>
    <row r="264" spans="1:4" x14ac:dyDescent="0.25">
      <c r="A264" t="s">
        <v>1959</v>
      </c>
      <c r="B264" t="s">
        <v>1335</v>
      </c>
      <c r="C264" t="s">
        <v>135</v>
      </c>
      <c r="D264">
        <v>0</v>
      </c>
    </row>
    <row r="265" spans="1:4" x14ac:dyDescent="0.25">
      <c r="A265" t="s">
        <v>1904</v>
      </c>
      <c r="B265" t="s">
        <v>1335</v>
      </c>
      <c r="C265" t="s">
        <v>135</v>
      </c>
      <c r="D265">
        <v>122</v>
      </c>
    </row>
    <row r="266" spans="1:4" x14ac:dyDescent="0.25">
      <c r="A266" t="s">
        <v>1904</v>
      </c>
      <c r="B266" t="s">
        <v>1331</v>
      </c>
      <c r="C266" t="s">
        <v>135</v>
      </c>
      <c r="D266">
        <v>625.70000000000005</v>
      </c>
    </row>
    <row r="267" spans="1:4" x14ac:dyDescent="0.25">
      <c r="A267" t="s">
        <v>1950</v>
      </c>
      <c r="B267" t="s">
        <v>1331</v>
      </c>
      <c r="C267" t="s">
        <v>135</v>
      </c>
      <c r="D267">
        <v>3</v>
      </c>
    </row>
    <row r="268" spans="1:4" x14ac:dyDescent="0.25">
      <c r="A268" t="s">
        <v>1972</v>
      </c>
      <c r="B268" t="s">
        <v>1334</v>
      </c>
      <c r="C268" t="s">
        <v>135</v>
      </c>
      <c r="D268">
        <v>3.7</v>
      </c>
    </row>
    <row r="269" spans="1:4" x14ac:dyDescent="0.25">
      <c r="A269" t="s">
        <v>1911</v>
      </c>
      <c r="B269" t="s">
        <v>1335</v>
      </c>
      <c r="C269" t="s">
        <v>135</v>
      </c>
      <c r="D269">
        <v>7.55</v>
      </c>
    </row>
    <row r="270" spans="1:4" x14ac:dyDescent="0.25">
      <c r="A270" t="s">
        <v>1933</v>
      </c>
      <c r="B270" t="s">
        <v>1330</v>
      </c>
      <c r="C270" t="s">
        <v>135</v>
      </c>
      <c r="D270">
        <v>15</v>
      </c>
    </row>
    <row r="271" spans="1:4" x14ac:dyDescent="0.25">
      <c r="A271" t="s">
        <v>1931</v>
      </c>
      <c r="B271" t="s">
        <v>1335</v>
      </c>
      <c r="C271" t="s">
        <v>135</v>
      </c>
      <c r="D271">
        <v>46.2</v>
      </c>
    </row>
    <row r="272" spans="1:4" x14ac:dyDescent="0.25">
      <c r="A272" t="s">
        <v>1902</v>
      </c>
      <c r="B272" t="s">
        <v>1335</v>
      </c>
      <c r="C272" t="s">
        <v>135</v>
      </c>
      <c r="D272">
        <v>46.35</v>
      </c>
    </row>
    <row r="273" spans="1:4" x14ac:dyDescent="0.25">
      <c r="A273" t="s">
        <v>1907</v>
      </c>
      <c r="B273" t="s">
        <v>1335</v>
      </c>
      <c r="C273" t="s">
        <v>135</v>
      </c>
      <c r="D273">
        <v>0</v>
      </c>
    </row>
    <row r="274" spans="1:4" x14ac:dyDescent="0.25">
      <c r="A274" t="s">
        <v>1913</v>
      </c>
      <c r="B274" t="s">
        <v>1335</v>
      </c>
      <c r="C274" t="s">
        <v>135</v>
      </c>
      <c r="D274">
        <v>9.6999999999999993</v>
      </c>
    </row>
    <row r="275" spans="1:4" x14ac:dyDescent="0.25">
      <c r="A275" t="s">
        <v>1973</v>
      </c>
      <c r="B275" t="s">
        <v>1331</v>
      </c>
      <c r="C275" t="s">
        <v>135</v>
      </c>
      <c r="D275">
        <v>20.100000000000001</v>
      </c>
    </row>
    <row r="276" spans="1:4" x14ac:dyDescent="0.25">
      <c r="A276" t="s">
        <v>1958</v>
      </c>
      <c r="B276" t="s">
        <v>1335</v>
      </c>
      <c r="C276" t="s">
        <v>135</v>
      </c>
      <c r="D276">
        <v>4.2</v>
      </c>
    </row>
    <row r="277" spans="1:4" x14ac:dyDescent="0.25">
      <c r="A277" t="s">
        <v>1923</v>
      </c>
      <c r="B277" t="s">
        <v>1331</v>
      </c>
      <c r="C277" t="s">
        <v>135</v>
      </c>
      <c r="D277">
        <v>0</v>
      </c>
    </row>
    <row r="278" spans="1:4" x14ac:dyDescent="0.25">
      <c r="A278" t="s">
        <v>1904</v>
      </c>
      <c r="B278" t="s">
        <v>1334</v>
      </c>
      <c r="C278" t="s">
        <v>135</v>
      </c>
      <c r="D278">
        <v>20</v>
      </c>
    </row>
    <row r="279" spans="1:4" x14ac:dyDescent="0.25">
      <c r="A279" t="s">
        <v>1974</v>
      </c>
      <c r="B279" t="s">
        <v>1330</v>
      </c>
      <c r="C279" t="s">
        <v>135</v>
      </c>
      <c r="D279">
        <v>98.6</v>
      </c>
    </row>
    <row r="280" spans="1:4" x14ac:dyDescent="0.25">
      <c r="A280" t="s">
        <v>1949</v>
      </c>
      <c r="B280" t="s">
        <v>1331</v>
      </c>
      <c r="C280" t="s">
        <v>1410</v>
      </c>
      <c r="D280">
        <v>111.4</v>
      </c>
    </row>
    <row r="281" spans="1:4" x14ac:dyDescent="0.25">
      <c r="A281" t="s">
        <v>1933</v>
      </c>
      <c r="B281" t="s">
        <v>1330</v>
      </c>
      <c r="C281" t="s">
        <v>1410</v>
      </c>
      <c r="D281">
        <v>15.4</v>
      </c>
    </row>
    <row r="282" spans="1:4" x14ac:dyDescent="0.25">
      <c r="A282" t="s">
        <v>1975</v>
      </c>
      <c r="B282" t="s">
        <v>1333</v>
      </c>
      <c r="C282" t="s">
        <v>1410</v>
      </c>
      <c r="D282">
        <v>15.4</v>
      </c>
    </row>
    <row r="283" spans="1:4" x14ac:dyDescent="0.25">
      <c r="A283" t="s">
        <v>1969</v>
      </c>
      <c r="B283" t="s">
        <v>1333</v>
      </c>
      <c r="C283" t="s">
        <v>1410</v>
      </c>
      <c r="D283">
        <v>1</v>
      </c>
    </row>
    <row r="284" spans="1:4" x14ac:dyDescent="0.25">
      <c r="A284" t="s">
        <v>1965</v>
      </c>
      <c r="B284" t="s">
        <v>1331</v>
      </c>
      <c r="C284" t="s">
        <v>1410</v>
      </c>
      <c r="D284">
        <v>204.9</v>
      </c>
    </row>
    <row r="285" spans="1:4" x14ac:dyDescent="0.25">
      <c r="A285" t="s">
        <v>1920</v>
      </c>
      <c r="B285" t="s">
        <v>1331</v>
      </c>
      <c r="C285" t="s">
        <v>1410</v>
      </c>
      <c r="D285">
        <v>155</v>
      </c>
    </row>
    <row r="286" spans="1:4" x14ac:dyDescent="0.25">
      <c r="A286" t="s">
        <v>1913</v>
      </c>
      <c r="B286" t="s">
        <v>1335</v>
      </c>
      <c r="C286" t="s">
        <v>1410</v>
      </c>
      <c r="D286">
        <v>3.85</v>
      </c>
    </row>
    <row r="287" spans="1:4" x14ac:dyDescent="0.25">
      <c r="A287" t="s">
        <v>1921</v>
      </c>
      <c r="B287" t="s">
        <v>1330</v>
      </c>
      <c r="C287" t="s">
        <v>1410</v>
      </c>
      <c r="D287">
        <v>1</v>
      </c>
    </row>
    <row r="288" spans="1:4" x14ac:dyDescent="0.25">
      <c r="A288" t="s">
        <v>1963</v>
      </c>
      <c r="B288" t="s">
        <v>1333</v>
      </c>
      <c r="C288" t="s">
        <v>1410</v>
      </c>
      <c r="D288">
        <v>2</v>
      </c>
    </row>
    <row r="289" spans="1:4" x14ac:dyDescent="0.25">
      <c r="A289" t="s">
        <v>1950</v>
      </c>
      <c r="B289" t="s">
        <v>1334</v>
      </c>
      <c r="C289" t="s">
        <v>1410</v>
      </c>
      <c r="D289">
        <v>33.1</v>
      </c>
    </row>
    <row r="290" spans="1:4" x14ac:dyDescent="0.25">
      <c r="A290" t="s">
        <v>1902</v>
      </c>
      <c r="B290" t="s">
        <v>1335</v>
      </c>
      <c r="C290" t="s">
        <v>1410</v>
      </c>
      <c r="D290">
        <v>16.399999999999999</v>
      </c>
    </row>
    <row r="291" spans="1:4" x14ac:dyDescent="0.25">
      <c r="A291" t="s">
        <v>1965</v>
      </c>
      <c r="B291" t="s">
        <v>1333</v>
      </c>
      <c r="C291" t="s">
        <v>1410</v>
      </c>
      <c r="D291">
        <v>4</v>
      </c>
    </row>
    <row r="292" spans="1:4" x14ac:dyDescent="0.25">
      <c r="A292" t="s">
        <v>1949</v>
      </c>
      <c r="B292" t="s">
        <v>1331</v>
      </c>
      <c r="C292" t="s">
        <v>1420</v>
      </c>
      <c r="D292">
        <v>5</v>
      </c>
    </row>
    <row r="293" spans="1:4" x14ac:dyDescent="0.25">
      <c r="A293" t="s">
        <v>1920</v>
      </c>
      <c r="B293" t="s">
        <v>1331</v>
      </c>
      <c r="C293" t="s">
        <v>1420</v>
      </c>
      <c r="D293">
        <v>126</v>
      </c>
    </row>
    <row r="294" spans="1:4" x14ac:dyDescent="0.25">
      <c r="A294" t="s">
        <v>1965</v>
      </c>
      <c r="B294" t="s">
        <v>1331</v>
      </c>
      <c r="C294" t="s">
        <v>1420</v>
      </c>
      <c r="D294">
        <v>294.3</v>
      </c>
    </row>
    <row r="295" spans="1:4" x14ac:dyDescent="0.25">
      <c r="A295" t="s">
        <v>1950</v>
      </c>
      <c r="B295" t="s">
        <v>1334</v>
      </c>
      <c r="C295" t="s">
        <v>1420</v>
      </c>
      <c r="D295">
        <v>32.200000000000003</v>
      </c>
    </row>
    <row r="296" spans="1:4" x14ac:dyDescent="0.25">
      <c r="A296" t="s">
        <v>1921</v>
      </c>
      <c r="B296" t="s">
        <v>1330</v>
      </c>
      <c r="C296" t="s">
        <v>1420</v>
      </c>
      <c r="D296">
        <v>3</v>
      </c>
    </row>
    <row r="297" spans="1:4" x14ac:dyDescent="0.25">
      <c r="A297" t="s">
        <v>1902</v>
      </c>
      <c r="B297" t="s">
        <v>1335</v>
      </c>
      <c r="C297" t="s">
        <v>643</v>
      </c>
      <c r="D297">
        <v>60.3</v>
      </c>
    </row>
    <row r="298" spans="1:4" x14ac:dyDescent="0.25">
      <c r="A298" t="s">
        <v>1929</v>
      </c>
      <c r="B298" t="s">
        <v>1331</v>
      </c>
      <c r="C298" t="s">
        <v>643</v>
      </c>
      <c r="D298">
        <v>87.7</v>
      </c>
    </row>
    <row r="299" spans="1:4" x14ac:dyDescent="0.25">
      <c r="A299" t="s">
        <v>1920</v>
      </c>
      <c r="B299" t="s">
        <v>1331</v>
      </c>
      <c r="C299" t="s">
        <v>643</v>
      </c>
      <c r="D299">
        <v>6</v>
      </c>
    </row>
    <row r="300" spans="1:4" x14ac:dyDescent="0.25">
      <c r="A300" t="s">
        <v>1929</v>
      </c>
      <c r="B300" t="s">
        <v>1333</v>
      </c>
      <c r="C300" t="s">
        <v>643</v>
      </c>
      <c r="D300">
        <v>3</v>
      </c>
    </row>
    <row r="301" spans="1:4" x14ac:dyDescent="0.25">
      <c r="A301" t="s">
        <v>1913</v>
      </c>
      <c r="B301" t="s">
        <v>1335</v>
      </c>
      <c r="C301" t="s">
        <v>643</v>
      </c>
      <c r="D301">
        <v>26.95</v>
      </c>
    </row>
    <row r="302" spans="1:4" x14ac:dyDescent="0.25">
      <c r="A302" t="s">
        <v>1949</v>
      </c>
      <c r="B302" t="s">
        <v>1331</v>
      </c>
      <c r="C302" t="s">
        <v>643</v>
      </c>
      <c r="D302">
        <v>260</v>
      </c>
    </row>
    <row r="303" spans="1:4" x14ac:dyDescent="0.25">
      <c r="A303" t="s">
        <v>1965</v>
      </c>
      <c r="B303" t="s">
        <v>1331</v>
      </c>
      <c r="C303" t="s">
        <v>643</v>
      </c>
      <c r="D303">
        <v>163.6</v>
      </c>
    </row>
    <row r="304" spans="1:4" x14ac:dyDescent="0.25">
      <c r="A304" t="s">
        <v>1976</v>
      </c>
      <c r="B304" t="s">
        <v>1331</v>
      </c>
      <c r="C304" t="s">
        <v>643</v>
      </c>
      <c r="D304">
        <v>14.1</v>
      </c>
    </row>
    <row r="305" spans="1:4" x14ac:dyDescent="0.25">
      <c r="A305" t="s">
        <v>1921</v>
      </c>
      <c r="B305" t="s">
        <v>1330</v>
      </c>
      <c r="C305" t="s">
        <v>643</v>
      </c>
      <c r="D305">
        <v>77.7</v>
      </c>
    </row>
    <row r="306" spans="1:4" x14ac:dyDescent="0.25">
      <c r="A306" t="s">
        <v>1923</v>
      </c>
      <c r="B306" t="s">
        <v>1331</v>
      </c>
      <c r="C306" t="s">
        <v>643</v>
      </c>
      <c r="D306">
        <v>327.5</v>
      </c>
    </row>
    <row r="307" spans="1:4" x14ac:dyDescent="0.25">
      <c r="A307" t="s">
        <v>1939</v>
      </c>
      <c r="B307" t="s">
        <v>1331</v>
      </c>
      <c r="C307" t="s">
        <v>643</v>
      </c>
      <c r="D307">
        <v>0.5</v>
      </c>
    </row>
    <row r="308" spans="1:4" x14ac:dyDescent="0.25">
      <c r="A308" t="s">
        <v>1959</v>
      </c>
      <c r="B308" t="s">
        <v>1330</v>
      </c>
      <c r="C308" t="s">
        <v>643</v>
      </c>
      <c r="D308">
        <v>3</v>
      </c>
    </row>
    <row r="309" spans="1:4" x14ac:dyDescent="0.25">
      <c r="A309" t="s">
        <v>1923</v>
      </c>
      <c r="B309" t="s">
        <v>1331</v>
      </c>
      <c r="C309" t="s">
        <v>379</v>
      </c>
      <c r="D309">
        <v>49.2</v>
      </c>
    </row>
    <row r="310" spans="1:4" x14ac:dyDescent="0.25">
      <c r="A310" t="s">
        <v>1921</v>
      </c>
      <c r="B310" t="s">
        <v>1330</v>
      </c>
      <c r="C310" t="s">
        <v>379</v>
      </c>
      <c r="D310">
        <v>79.900000000000006</v>
      </c>
    </row>
    <row r="311" spans="1:4" x14ac:dyDescent="0.25">
      <c r="A311" t="s">
        <v>1950</v>
      </c>
      <c r="B311" t="s">
        <v>1334</v>
      </c>
      <c r="C311" t="s">
        <v>379</v>
      </c>
      <c r="D311">
        <v>22.1</v>
      </c>
    </row>
    <row r="312" spans="1:4" x14ac:dyDescent="0.25">
      <c r="A312" t="s">
        <v>1902</v>
      </c>
      <c r="B312" t="s">
        <v>1335</v>
      </c>
      <c r="C312" t="s">
        <v>379</v>
      </c>
      <c r="D312">
        <v>23.95</v>
      </c>
    </row>
    <row r="313" spans="1:4" x14ac:dyDescent="0.25">
      <c r="A313" t="s">
        <v>1949</v>
      </c>
      <c r="B313" t="s">
        <v>1331</v>
      </c>
      <c r="C313" t="s">
        <v>379</v>
      </c>
      <c r="D313">
        <v>34.5</v>
      </c>
    </row>
    <row r="314" spans="1:4" x14ac:dyDescent="0.25">
      <c r="A314" t="s">
        <v>1931</v>
      </c>
      <c r="B314" t="s">
        <v>1335</v>
      </c>
      <c r="C314" t="s">
        <v>379</v>
      </c>
      <c r="D314">
        <v>24.95</v>
      </c>
    </row>
    <row r="315" spans="1:4" x14ac:dyDescent="0.25">
      <c r="A315" t="s">
        <v>1920</v>
      </c>
      <c r="B315" t="s">
        <v>1331</v>
      </c>
      <c r="C315" t="s">
        <v>379</v>
      </c>
      <c r="D315">
        <v>30</v>
      </c>
    </row>
    <row r="316" spans="1:4" x14ac:dyDescent="0.25">
      <c r="A316" t="s">
        <v>1965</v>
      </c>
      <c r="B316" t="s">
        <v>1333</v>
      </c>
      <c r="C316" t="s">
        <v>379</v>
      </c>
      <c r="D316">
        <v>10.4</v>
      </c>
    </row>
    <row r="317" spans="1:4" x14ac:dyDescent="0.25">
      <c r="A317" t="s">
        <v>1965</v>
      </c>
      <c r="B317" t="s">
        <v>1331</v>
      </c>
      <c r="C317" t="s">
        <v>379</v>
      </c>
      <c r="D317">
        <v>362.9</v>
      </c>
    </row>
    <row r="318" spans="1:4" x14ac:dyDescent="0.25">
      <c r="A318" t="s">
        <v>1966</v>
      </c>
      <c r="B318" t="s">
        <v>1331</v>
      </c>
      <c r="C318" t="s">
        <v>379</v>
      </c>
      <c r="D318">
        <v>2</v>
      </c>
    </row>
    <row r="319" spans="1:4" x14ac:dyDescent="0.25">
      <c r="A319" t="s">
        <v>1968</v>
      </c>
      <c r="B319" t="s">
        <v>1331</v>
      </c>
      <c r="C319" t="s">
        <v>1417</v>
      </c>
      <c r="D319">
        <v>46.2</v>
      </c>
    </row>
    <row r="320" spans="1:4" x14ac:dyDescent="0.25">
      <c r="A320" t="s">
        <v>1949</v>
      </c>
      <c r="B320" t="s">
        <v>1331</v>
      </c>
      <c r="C320" t="s">
        <v>1417</v>
      </c>
      <c r="D320">
        <v>88.4</v>
      </c>
    </row>
    <row r="321" spans="1:4" x14ac:dyDescent="0.25">
      <c r="A321" t="s">
        <v>1961</v>
      </c>
      <c r="B321" t="s">
        <v>1331</v>
      </c>
      <c r="C321" t="s">
        <v>1417</v>
      </c>
      <c r="D321">
        <v>35.9</v>
      </c>
    </row>
    <row r="322" spans="1:4" x14ac:dyDescent="0.25">
      <c r="A322" t="s">
        <v>1923</v>
      </c>
      <c r="B322" t="s">
        <v>1331</v>
      </c>
      <c r="C322" t="s">
        <v>1417</v>
      </c>
      <c r="D322">
        <v>154.75</v>
      </c>
    </row>
    <row r="323" spans="1:4" x14ac:dyDescent="0.25">
      <c r="A323" t="s">
        <v>1929</v>
      </c>
      <c r="B323" t="s">
        <v>1331</v>
      </c>
      <c r="C323" t="s">
        <v>1417</v>
      </c>
      <c r="D323">
        <v>109</v>
      </c>
    </row>
    <row r="324" spans="1:4" x14ac:dyDescent="0.25">
      <c r="A324" t="s">
        <v>1969</v>
      </c>
      <c r="B324" t="s">
        <v>1331</v>
      </c>
      <c r="C324" t="s">
        <v>1417</v>
      </c>
      <c r="D324">
        <v>52.6</v>
      </c>
    </row>
    <row r="325" spans="1:4" x14ac:dyDescent="0.25">
      <c r="A325" t="s">
        <v>1935</v>
      </c>
      <c r="B325" t="s">
        <v>1331</v>
      </c>
      <c r="C325" t="s">
        <v>1350</v>
      </c>
      <c r="D325">
        <v>189</v>
      </c>
    </row>
    <row r="326" spans="1:4" x14ac:dyDescent="0.25">
      <c r="A326" t="s">
        <v>1965</v>
      </c>
      <c r="B326" t="s">
        <v>1331</v>
      </c>
      <c r="C326" t="s">
        <v>1350</v>
      </c>
      <c r="D326">
        <v>194.75</v>
      </c>
    </row>
    <row r="327" spans="1:4" x14ac:dyDescent="0.25">
      <c r="A327" t="s">
        <v>1949</v>
      </c>
      <c r="B327" t="s">
        <v>1331</v>
      </c>
      <c r="C327" t="s">
        <v>1350</v>
      </c>
      <c r="D327">
        <v>296</v>
      </c>
    </row>
    <row r="328" spans="1:4" x14ac:dyDescent="0.25">
      <c r="A328" t="s">
        <v>1939</v>
      </c>
      <c r="B328" t="s">
        <v>1331</v>
      </c>
      <c r="C328" t="s">
        <v>1350</v>
      </c>
      <c r="D328">
        <v>190.75</v>
      </c>
    </row>
    <row r="329" spans="1:4" x14ac:dyDescent="0.25">
      <c r="A329" t="s">
        <v>1969</v>
      </c>
      <c r="B329" t="s">
        <v>1331</v>
      </c>
      <c r="C329" t="s">
        <v>1350</v>
      </c>
      <c r="D329">
        <v>150.80000000000001</v>
      </c>
    </row>
    <row r="330" spans="1:4" x14ac:dyDescent="0.25">
      <c r="A330" t="s">
        <v>1920</v>
      </c>
      <c r="B330" t="s">
        <v>1331</v>
      </c>
      <c r="C330" t="s">
        <v>1350</v>
      </c>
      <c r="D330">
        <v>10</v>
      </c>
    </row>
    <row r="331" spans="1:4" x14ac:dyDescent="0.25">
      <c r="A331" t="s">
        <v>1927</v>
      </c>
      <c r="B331" t="s">
        <v>1331</v>
      </c>
      <c r="C331" t="s">
        <v>1350</v>
      </c>
      <c r="D331">
        <v>7.7</v>
      </c>
    </row>
    <row r="332" spans="1:4" x14ac:dyDescent="0.25">
      <c r="A332" t="s">
        <v>1966</v>
      </c>
      <c r="B332" t="s">
        <v>1331</v>
      </c>
      <c r="C332" t="s">
        <v>1350</v>
      </c>
      <c r="D332">
        <v>397.85</v>
      </c>
    </row>
    <row r="333" spans="1:4" x14ac:dyDescent="0.25">
      <c r="A333" t="s">
        <v>1902</v>
      </c>
      <c r="B333" t="s">
        <v>1335</v>
      </c>
      <c r="C333" t="s">
        <v>1350</v>
      </c>
      <c r="D333">
        <v>204.5</v>
      </c>
    </row>
    <row r="334" spans="1:4" x14ac:dyDescent="0.25">
      <c r="A334" t="s">
        <v>1929</v>
      </c>
      <c r="B334" t="s">
        <v>1331</v>
      </c>
      <c r="C334" t="s">
        <v>1350</v>
      </c>
      <c r="D334">
        <v>390.7</v>
      </c>
    </row>
    <row r="335" spans="1:4" x14ac:dyDescent="0.25">
      <c r="A335" t="s">
        <v>1923</v>
      </c>
      <c r="B335" t="s">
        <v>1331</v>
      </c>
      <c r="C335" t="s">
        <v>1350</v>
      </c>
      <c r="D335">
        <v>1653.24</v>
      </c>
    </row>
    <row r="336" spans="1:4" x14ac:dyDescent="0.25">
      <c r="A336" t="s">
        <v>1921</v>
      </c>
      <c r="B336" t="s">
        <v>1330</v>
      </c>
      <c r="C336" t="s">
        <v>1350</v>
      </c>
      <c r="D336">
        <v>232.8</v>
      </c>
    </row>
    <row r="337" spans="1:4" x14ac:dyDescent="0.25">
      <c r="A337" t="s">
        <v>1920</v>
      </c>
      <c r="B337" t="s">
        <v>1331</v>
      </c>
      <c r="C337" t="s">
        <v>138</v>
      </c>
      <c r="D337">
        <v>27</v>
      </c>
    </row>
    <row r="338" spans="1:4" x14ac:dyDescent="0.25">
      <c r="A338" t="s">
        <v>1929</v>
      </c>
      <c r="B338" t="s">
        <v>1331</v>
      </c>
      <c r="C338" t="s">
        <v>138</v>
      </c>
      <c r="D338">
        <v>4</v>
      </c>
    </row>
    <row r="339" spans="1:4" x14ac:dyDescent="0.25">
      <c r="A339" t="s">
        <v>1923</v>
      </c>
      <c r="B339" t="s">
        <v>1331</v>
      </c>
      <c r="C339" t="s">
        <v>138</v>
      </c>
      <c r="D339">
        <v>319.55</v>
      </c>
    </row>
    <row r="340" spans="1:4" x14ac:dyDescent="0.25">
      <c r="A340" t="s">
        <v>1904</v>
      </c>
      <c r="B340" t="s">
        <v>1331</v>
      </c>
      <c r="C340" t="s">
        <v>138</v>
      </c>
      <c r="D340">
        <v>204</v>
      </c>
    </row>
    <row r="341" spans="1:4" x14ac:dyDescent="0.25">
      <c r="A341" t="s">
        <v>1900</v>
      </c>
      <c r="B341" t="s">
        <v>1335</v>
      </c>
      <c r="C341" t="s">
        <v>138</v>
      </c>
      <c r="D341">
        <v>6</v>
      </c>
    </row>
    <row r="342" spans="1:4" x14ac:dyDescent="0.25">
      <c r="A342" t="s">
        <v>1935</v>
      </c>
      <c r="B342" t="s">
        <v>1331</v>
      </c>
      <c r="C342" t="s">
        <v>138</v>
      </c>
      <c r="D342">
        <v>167.6</v>
      </c>
    </row>
    <row r="343" spans="1:4" x14ac:dyDescent="0.25">
      <c r="A343" t="s">
        <v>1927</v>
      </c>
      <c r="B343" t="s">
        <v>1331</v>
      </c>
      <c r="C343" t="s">
        <v>138</v>
      </c>
      <c r="D343">
        <v>65.45</v>
      </c>
    </row>
    <row r="344" spans="1:4" x14ac:dyDescent="0.25">
      <c r="A344" t="s">
        <v>1902</v>
      </c>
      <c r="B344" t="s">
        <v>1335</v>
      </c>
      <c r="C344" t="s">
        <v>138</v>
      </c>
      <c r="D344">
        <v>12.55</v>
      </c>
    </row>
    <row r="345" spans="1:4" x14ac:dyDescent="0.25">
      <c r="A345" t="s">
        <v>1969</v>
      </c>
      <c r="B345" t="s">
        <v>1331</v>
      </c>
      <c r="C345" t="s">
        <v>138</v>
      </c>
      <c r="D345">
        <v>34.200000000000003</v>
      </c>
    </row>
    <row r="346" spans="1:4" x14ac:dyDescent="0.25">
      <c r="A346" t="s">
        <v>1949</v>
      </c>
      <c r="B346" t="s">
        <v>1331</v>
      </c>
      <c r="C346" t="s">
        <v>138</v>
      </c>
      <c r="D346">
        <v>1</v>
      </c>
    </row>
    <row r="347" spans="1:4" x14ac:dyDescent="0.25">
      <c r="A347" t="s">
        <v>1921</v>
      </c>
      <c r="B347" t="s">
        <v>1330</v>
      </c>
      <c r="C347" t="s">
        <v>138</v>
      </c>
      <c r="D347">
        <v>67.3</v>
      </c>
    </row>
    <row r="348" spans="1:4" x14ac:dyDescent="0.25">
      <c r="A348" t="s">
        <v>1933</v>
      </c>
      <c r="B348" t="s">
        <v>1330</v>
      </c>
      <c r="C348" t="s">
        <v>143</v>
      </c>
      <c r="D348">
        <v>11.7</v>
      </c>
    </row>
    <row r="349" spans="1:4" x14ac:dyDescent="0.25">
      <c r="A349" t="s">
        <v>1950</v>
      </c>
      <c r="B349" t="s">
        <v>1334</v>
      </c>
      <c r="C349" t="s">
        <v>143</v>
      </c>
      <c r="D349">
        <v>16</v>
      </c>
    </row>
    <row r="350" spans="1:4" x14ac:dyDescent="0.25">
      <c r="A350" t="s">
        <v>1902</v>
      </c>
      <c r="B350" t="s">
        <v>1335</v>
      </c>
      <c r="C350" t="s">
        <v>143</v>
      </c>
      <c r="D350">
        <v>3.85</v>
      </c>
    </row>
    <row r="351" spans="1:4" x14ac:dyDescent="0.25">
      <c r="A351" t="s">
        <v>1916</v>
      </c>
      <c r="B351" t="s">
        <v>1335</v>
      </c>
      <c r="C351" t="s">
        <v>143</v>
      </c>
      <c r="D351">
        <v>149.44999999999999</v>
      </c>
    </row>
    <row r="352" spans="1:4" x14ac:dyDescent="0.25">
      <c r="A352" t="s">
        <v>1977</v>
      </c>
      <c r="B352" t="s">
        <v>1335</v>
      </c>
      <c r="C352" t="s">
        <v>152</v>
      </c>
      <c r="D352">
        <v>128.6</v>
      </c>
    </row>
    <row r="353" spans="1:4" x14ac:dyDescent="0.25">
      <c r="A353" t="s">
        <v>1933</v>
      </c>
      <c r="B353" t="s">
        <v>1330</v>
      </c>
      <c r="C353" t="s">
        <v>152</v>
      </c>
      <c r="D353">
        <v>23.8</v>
      </c>
    </row>
    <row r="354" spans="1:4" x14ac:dyDescent="0.25">
      <c r="A354" t="s">
        <v>1956</v>
      </c>
      <c r="B354" t="s">
        <v>1335</v>
      </c>
      <c r="C354" t="s">
        <v>152</v>
      </c>
      <c r="D354">
        <v>15.4</v>
      </c>
    </row>
    <row r="355" spans="1:4" x14ac:dyDescent="0.25">
      <c r="A355" t="s">
        <v>1978</v>
      </c>
      <c r="B355" t="s">
        <v>1335</v>
      </c>
      <c r="C355" t="s">
        <v>152</v>
      </c>
      <c r="D355">
        <v>24</v>
      </c>
    </row>
    <row r="356" spans="1:4" x14ac:dyDescent="0.25">
      <c r="A356" t="s">
        <v>1950</v>
      </c>
      <c r="B356" t="s">
        <v>1334</v>
      </c>
      <c r="C356" t="s">
        <v>152</v>
      </c>
      <c r="D356">
        <v>7</v>
      </c>
    </row>
    <row r="357" spans="1:4" x14ac:dyDescent="0.25">
      <c r="A357" t="s">
        <v>1916</v>
      </c>
      <c r="B357" t="s">
        <v>1335</v>
      </c>
      <c r="C357" t="s">
        <v>152</v>
      </c>
      <c r="D357">
        <v>67</v>
      </c>
    </row>
    <row r="358" spans="1:4" x14ac:dyDescent="0.25">
      <c r="A358" t="s">
        <v>1953</v>
      </c>
      <c r="B358" t="s">
        <v>1335</v>
      </c>
      <c r="C358" t="s">
        <v>152</v>
      </c>
      <c r="D358">
        <v>19.100000000000001</v>
      </c>
    </row>
    <row r="359" spans="1:4" x14ac:dyDescent="0.25">
      <c r="A359" t="s">
        <v>1958</v>
      </c>
      <c r="B359" t="s">
        <v>1330</v>
      </c>
      <c r="C359" t="s">
        <v>157</v>
      </c>
      <c r="D359">
        <v>3.7</v>
      </c>
    </row>
    <row r="360" spans="1:4" x14ac:dyDescent="0.25">
      <c r="A360" t="s">
        <v>1979</v>
      </c>
      <c r="B360" t="s">
        <v>1333</v>
      </c>
      <c r="C360" t="s">
        <v>157</v>
      </c>
      <c r="D360">
        <v>51</v>
      </c>
    </row>
    <row r="361" spans="1:4" x14ac:dyDescent="0.25">
      <c r="A361" t="s">
        <v>1979</v>
      </c>
      <c r="B361" t="s">
        <v>1331</v>
      </c>
      <c r="C361" t="s">
        <v>157</v>
      </c>
      <c r="D361">
        <v>269</v>
      </c>
    </row>
    <row r="362" spans="1:4" x14ac:dyDescent="0.25">
      <c r="A362" t="s">
        <v>1933</v>
      </c>
      <c r="B362" t="s">
        <v>1330</v>
      </c>
      <c r="C362" t="s">
        <v>157</v>
      </c>
      <c r="D362">
        <v>20.100000000000001</v>
      </c>
    </row>
    <row r="363" spans="1:4" x14ac:dyDescent="0.25">
      <c r="A363" t="s">
        <v>1950</v>
      </c>
      <c r="B363" t="s">
        <v>1334</v>
      </c>
      <c r="C363" t="s">
        <v>157</v>
      </c>
      <c r="D363">
        <v>10.55</v>
      </c>
    </row>
    <row r="364" spans="1:4" x14ac:dyDescent="0.25">
      <c r="A364" t="s">
        <v>1979</v>
      </c>
      <c r="B364" t="s">
        <v>1330</v>
      </c>
      <c r="C364" t="s">
        <v>157</v>
      </c>
      <c r="D364">
        <v>15</v>
      </c>
    </row>
    <row r="365" spans="1:4" x14ac:dyDescent="0.25">
      <c r="A365" t="s">
        <v>1933</v>
      </c>
      <c r="B365" t="s">
        <v>1331</v>
      </c>
      <c r="C365" t="s">
        <v>157</v>
      </c>
      <c r="D365">
        <v>5.7</v>
      </c>
    </row>
    <row r="366" spans="1:4" x14ac:dyDescent="0.25">
      <c r="A366" t="s">
        <v>1921</v>
      </c>
      <c r="B366" t="s">
        <v>1330</v>
      </c>
      <c r="C366" t="s">
        <v>1575</v>
      </c>
      <c r="D366">
        <v>3</v>
      </c>
    </row>
    <row r="367" spans="1:4" x14ac:dyDescent="0.25">
      <c r="A367" t="s">
        <v>1933</v>
      </c>
      <c r="B367" t="s">
        <v>1330</v>
      </c>
      <c r="C367" t="s">
        <v>1575</v>
      </c>
      <c r="D367">
        <v>8</v>
      </c>
    </row>
    <row r="368" spans="1:4" x14ac:dyDescent="0.25">
      <c r="A368" t="s">
        <v>1965</v>
      </c>
      <c r="B368" t="s">
        <v>1331</v>
      </c>
      <c r="C368" t="s">
        <v>1575</v>
      </c>
      <c r="D368">
        <v>55.2</v>
      </c>
    </row>
    <row r="369" spans="1:4" x14ac:dyDescent="0.25">
      <c r="A369" t="s">
        <v>1929</v>
      </c>
      <c r="B369" t="s">
        <v>1331</v>
      </c>
      <c r="C369" t="s">
        <v>161</v>
      </c>
      <c r="D369">
        <v>6</v>
      </c>
    </row>
    <row r="370" spans="1:4" x14ac:dyDescent="0.25">
      <c r="A370" t="s">
        <v>1939</v>
      </c>
      <c r="B370" t="s">
        <v>1331</v>
      </c>
      <c r="C370" t="s">
        <v>161</v>
      </c>
      <c r="D370">
        <v>76.7</v>
      </c>
    </row>
    <row r="371" spans="1:4" x14ac:dyDescent="0.25">
      <c r="A371" t="s">
        <v>1902</v>
      </c>
      <c r="B371" t="s">
        <v>1335</v>
      </c>
      <c r="C371" t="s">
        <v>161</v>
      </c>
      <c r="D371">
        <v>3</v>
      </c>
    </row>
    <row r="372" spans="1:4" x14ac:dyDescent="0.25">
      <c r="A372" t="s">
        <v>1945</v>
      </c>
      <c r="B372" t="s">
        <v>1331</v>
      </c>
      <c r="C372" t="s">
        <v>167</v>
      </c>
      <c r="D372">
        <v>1</v>
      </c>
    </row>
    <row r="373" spans="1:4" x14ac:dyDescent="0.25">
      <c r="A373" t="s">
        <v>1929</v>
      </c>
      <c r="B373" t="s">
        <v>1331</v>
      </c>
      <c r="C373" t="s">
        <v>167</v>
      </c>
      <c r="D373">
        <v>10</v>
      </c>
    </row>
    <row r="374" spans="1:4" x14ac:dyDescent="0.25">
      <c r="A374" t="s">
        <v>1902</v>
      </c>
      <c r="B374" t="s">
        <v>1335</v>
      </c>
      <c r="C374" t="s">
        <v>167</v>
      </c>
      <c r="D374">
        <v>5.85</v>
      </c>
    </row>
    <row r="375" spans="1:4" x14ac:dyDescent="0.25">
      <c r="A375" t="s">
        <v>1923</v>
      </c>
      <c r="B375" t="s">
        <v>1331</v>
      </c>
      <c r="C375" t="s">
        <v>167</v>
      </c>
      <c r="D375">
        <v>18.7</v>
      </c>
    </row>
    <row r="376" spans="1:4" x14ac:dyDescent="0.25">
      <c r="A376" t="s">
        <v>1939</v>
      </c>
      <c r="B376" t="s">
        <v>1331</v>
      </c>
      <c r="C376" t="s">
        <v>167</v>
      </c>
      <c r="D376">
        <v>32.25</v>
      </c>
    </row>
    <row r="377" spans="1:4" x14ac:dyDescent="0.25">
      <c r="A377" t="s">
        <v>1935</v>
      </c>
      <c r="B377" t="s">
        <v>1331</v>
      </c>
      <c r="C377" t="s">
        <v>172</v>
      </c>
      <c r="D377">
        <v>2</v>
      </c>
    </row>
    <row r="378" spans="1:4" x14ac:dyDescent="0.25">
      <c r="A378" t="s">
        <v>1961</v>
      </c>
      <c r="B378" t="s">
        <v>1331</v>
      </c>
      <c r="C378" t="s">
        <v>172</v>
      </c>
      <c r="D378">
        <v>513.65</v>
      </c>
    </row>
    <row r="379" spans="1:4" x14ac:dyDescent="0.25">
      <c r="A379" t="s">
        <v>1967</v>
      </c>
      <c r="B379" t="s">
        <v>1331</v>
      </c>
      <c r="C379" t="s">
        <v>172</v>
      </c>
      <c r="D379">
        <v>2</v>
      </c>
    </row>
    <row r="380" spans="1:4" x14ac:dyDescent="0.25">
      <c r="A380" t="s">
        <v>1950</v>
      </c>
      <c r="B380" t="s">
        <v>1334</v>
      </c>
      <c r="C380" t="s">
        <v>172</v>
      </c>
      <c r="D380">
        <v>2</v>
      </c>
    </row>
    <row r="381" spans="1:4" x14ac:dyDescent="0.25">
      <c r="A381" t="s">
        <v>1956</v>
      </c>
      <c r="B381" t="s">
        <v>1335</v>
      </c>
      <c r="C381" t="s">
        <v>172</v>
      </c>
      <c r="D381">
        <v>2</v>
      </c>
    </row>
    <row r="382" spans="1:4" x14ac:dyDescent="0.25">
      <c r="A382" t="s">
        <v>1933</v>
      </c>
      <c r="B382" t="s">
        <v>1330</v>
      </c>
      <c r="C382" t="s">
        <v>172</v>
      </c>
      <c r="D382">
        <v>64.099999999999994</v>
      </c>
    </row>
    <row r="383" spans="1:4" x14ac:dyDescent="0.25">
      <c r="A383" t="s">
        <v>1933</v>
      </c>
      <c r="B383" t="s">
        <v>1331</v>
      </c>
      <c r="C383" t="s">
        <v>172</v>
      </c>
      <c r="D383">
        <v>79.900000000000006</v>
      </c>
    </row>
    <row r="384" spans="1:4" x14ac:dyDescent="0.25">
      <c r="A384" t="s">
        <v>1929</v>
      </c>
      <c r="B384" t="s">
        <v>1331</v>
      </c>
      <c r="C384" t="s">
        <v>172</v>
      </c>
      <c r="D384">
        <v>2</v>
      </c>
    </row>
    <row r="385" spans="1:4" x14ac:dyDescent="0.25">
      <c r="A385" t="s">
        <v>1945</v>
      </c>
      <c r="B385" t="s">
        <v>1331</v>
      </c>
      <c r="C385" t="s">
        <v>177</v>
      </c>
      <c r="D385">
        <v>1.7</v>
      </c>
    </row>
    <row r="386" spans="1:4" x14ac:dyDescent="0.25">
      <c r="A386" t="s">
        <v>1929</v>
      </c>
      <c r="B386" t="s">
        <v>1331</v>
      </c>
      <c r="C386" t="s">
        <v>177</v>
      </c>
      <c r="D386">
        <v>534.4</v>
      </c>
    </row>
    <row r="387" spans="1:4" x14ac:dyDescent="0.25">
      <c r="A387" t="s">
        <v>1923</v>
      </c>
      <c r="B387" t="s">
        <v>1331</v>
      </c>
      <c r="C387" t="s">
        <v>177</v>
      </c>
      <c r="D387">
        <v>149.35</v>
      </c>
    </row>
    <row r="388" spans="1:4" x14ac:dyDescent="0.25">
      <c r="A388" t="s">
        <v>1979</v>
      </c>
      <c r="B388" t="s">
        <v>1331</v>
      </c>
      <c r="C388" t="s">
        <v>177</v>
      </c>
      <c r="D388">
        <v>177.3</v>
      </c>
    </row>
    <row r="389" spans="1:4" x14ac:dyDescent="0.25">
      <c r="A389" t="s">
        <v>1902</v>
      </c>
      <c r="B389" t="s">
        <v>1335</v>
      </c>
      <c r="C389" t="s">
        <v>177</v>
      </c>
      <c r="D389">
        <v>12.55</v>
      </c>
    </row>
    <row r="390" spans="1:4" x14ac:dyDescent="0.25">
      <c r="A390" t="s">
        <v>1933</v>
      </c>
      <c r="B390" t="s">
        <v>1331</v>
      </c>
      <c r="C390" t="s">
        <v>177</v>
      </c>
      <c r="D390">
        <v>97.05</v>
      </c>
    </row>
    <row r="391" spans="1:4" x14ac:dyDescent="0.25">
      <c r="A391" t="s">
        <v>1969</v>
      </c>
      <c r="B391" t="s">
        <v>1331</v>
      </c>
      <c r="C391" t="s">
        <v>177</v>
      </c>
      <c r="D391">
        <v>610.65</v>
      </c>
    </row>
    <row r="392" spans="1:4" x14ac:dyDescent="0.25">
      <c r="A392" t="s">
        <v>1933</v>
      </c>
      <c r="B392" t="s">
        <v>1330</v>
      </c>
      <c r="C392" t="s">
        <v>177</v>
      </c>
      <c r="D392">
        <v>127.55</v>
      </c>
    </row>
    <row r="393" spans="1:4" x14ac:dyDescent="0.25">
      <c r="A393" t="s">
        <v>1921</v>
      </c>
      <c r="B393" t="s">
        <v>1330</v>
      </c>
      <c r="C393" t="s">
        <v>177</v>
      </c>
      <c r="D393">
        <v>21.1</v>
      </c>
    </row>
    <row r="394" spans="1:4" x14ac:dyDescent="0.25">
      <c r="A394" t="s">
        <v>1939</v>
      </c>
      <c r="B394" t="s">
        <v>1331</v>
      </c>
      <c r="C394" t="s">
        <v>177</v>
      </c>
      <c r="D394">
        <v>5.5</v>
      </c>
    </row>
    <row r="395" spans="1:4" x14ac:dyDescent="0.25">
      <c r="A395" t="s">
        <v>1945</v>
      </c>
      <c r="B395" t="s">
        <v>1331</v>
      </c>
      <c r="C395" t="s">
        <v>181</v>
      </c>
      <c r="D395">
        <v>11.7</v>
      </c>
    </row>
    <row r="396" spans="1:4" x14ac:dyDescent="0.25">
      <c r="A396" t="s">
        <v>1920</v>
      </c>
      <c r="B396" t="s">
        <v>1331</v>
      </c>
      <c r="C396" t="s">
        <v>181</v>
      </c>
      <c r="D396">
        <v>3.85</v>
      </c>
    </row>
    <row r="397" spans="1:4" x14ac:dyDescent="0.25">
      <c r="A397" t="s">
        <v>1900</v>
      </c>
      <c r="B397" t="s">
        <v>1335</v>
      </c>
      <c r="C397" t="s">
        <v>181</v>
      </c>
      <c r="D397">
        <v>6</v>
      </c>
    </row>
    <row r="398" spans="1:4" x14ac:dyDescent="0.25">
      <c r="A398" t="s">
        <v>1929</v>
      </c>
      <c r="B398" t="s">
        <v>1331</v>
      </c>
      <c r="C398" t="s">
        <v>181</v>
      </c>
      <c r="D398">
        <v>69.7</v>
      </c>
    </row>
    <row r="399" spans="1:4" x14ac:dyDescent="0.25">
      <c r="A399" t="s">
        <v>1923</v>
      </c>
      <c r="B399" t="s">
        <v>1331</v>
      </c>
      <c r="C399" t="s">
        <v>181</v>
      </c>
      <c r="D399">
        <v>14.4</v>
      </c>
    </row>
    <row r="400" spans="1:4" x14ac:dyDescent="0.25">
      <c r="A400" t="s">
        <v>1979</v>
      </c>
      <c r="B400" t="s">
        <v>1335</v>
      </c>
      <c r="C400" t="s">
        <v>185</v>
      </c>
      <c r="D400">
        <v>24</v>
      </c>
    </row>
    <row r="401" spans="1:4" x14ac:dyDescent="0.25">
      <c r="A401" t="s">
        <v>1933</v>
      </c>
      <c r="B401" t="s">
        <v>1330</v>
      </c>
      <c r="C401" t="s">
        <v>185</v>
      </c>
      <c r="D401">
        <v>108.3</v>
      </c>
    </row>
    <row r="402" spans="1:4" x14ac:dyDescent="0.25">
      <c r="A402" t="s">
        <v>1927</v>
      </c>
      <c r="B402" t="s">
        <v>1331</v>
      </c>
      <c r="C402" t="s">
        <v>185</v>
      </c>
      <c r="D402">
        <v>138.6</v>
      </c>
    </row>
    <row r="403" spans="1:4" x14ac:dyDescent="0.25">
      <c r="A403" t="s">
        <v>1977</v>
      </c>
      <c r="B403" t="s">
        <v>1331</v>
      </c>
      <c r="C403" t="s">
        <v>185</v>
      </c>
      <c r="D403">
        <v>7.7</v>
      </c>
    </row>
    <row r="404" spans="1:4" x14ac:dyDescent="0.25">
      <c r="A404" t="s">
        <v>1973</v>
      </c>
      <c r="B404" t="s">
        <v>1331</v>
      </c>
      <c r="C404" t="s">
        <v>185</v>
      </c>
      <c r="D404">
        <v>32.25</v>
      </c>
    </row>
    <row r="405" spans="1:4" x14ac:dyDescent="0.25">
      <c r="A405" t="s">
        <v>1977</v>
      </c>
      <c r="B405" t="s">
        <v>1335</v>
      </c>
      <c r="C405" t="s">
        <v>185</v>
      </c>
      <c r="D405">
        <v>39.5</v>
      </c>
    </row>
    <row r="406" spans="1:4" x14ac:dyDescent="0.25">
      <c r="A406" t="s">
        <v>1972</v>
      </c>
      <c r="B406" t="s">
        <v>1334</v>
      </c>
      <c r="C406" t="s">
        <v>185</v>
      </c>
      <c r="D406">
        <v>3.7</v>
      </c>
    </row>
    <row r="407" spans="1:4" x14ac:dyDescent="0.25">
      <c r="A407" t="s">
        <v>1980</v>
      </c>
      <c r="B407" t="s">
        <v>1331</v>
      </c>
      <c r="C407" t="s">
        <v>185</v>
      </c>
      <c r="D407">
        <v>53.75</v>
      </c>
    </row>
    <row r="408" spans="1:4" x14ac:dyDescent="0.25">
      <c r="A408" t="s">
        <v>1958</v>
      </c>
      <c r="B408" t="s">
        <v>1335</v>
      </c>
      <c r="C408" t="s">
        <v>185</v>
      </c>
      <c r="D408">
        <v>1.7</v>
      </c>
    </row>
    <row r="409" spans="1:4" x14ac:dyDescent="0.25">
      <c r="A409" t="s">
        <v>1911</v>
      </c>
      <c r="B409" t="s">
        <v>1335</v>
      </c>
      <c r="C409" t="s">
        <v>185</v>
      </c>
      <c r="D409">
        <v>4</v>
      </c>
    </row>
    <row r="410" spans="1:4" x14ac:dyDescent="0.25">
      <c r="A410" t="s">
        <v>1981</v>
      </c>
      <c r="B410" t="s">
        <v>1331</v>
      </c>
      <c r="C410" t="s">
        <v>185</v>
      </c>
      <c r="D410">
        <v>81.849999999999994</v>
      </c>
    </row>
    <row r="411" spans="1:4" x14ac:dyDescent="0.25">
      <c r="A411" t="s">
        <v>1939</v>
      </c>
      <c r="B411" t="s">
        <v>1331</v>
      </c>
      <c r="C411" t="s">
        <v>185</v>
      </c>
      <c r="D411">
        <v>1</v>
      </c>
    </row>
    <row r="412" spans="1:4" x14ac:dyDescent="0.25">
      <c r="A412" t="s">
        <v>1902</v>
      </c>
      <c r="B412" t="s">
        <v>1335</v>
      </c>
      <c r="C412" t="s">
        <v>185</v>
      </c>
      <c r="D412">
        <v>5.85</v>
      </c>
    </row>
    <row r="413" spans="1:4" x14ac:dyDescent="0.25">
      <c r="A413" t="s">
        <v>1981</v>
      </c>
      <c r="B413" t="s">
        <v>1334</v>
      </c>
      <c r="C413" t="s">
        <v>185</v>
      </c>
      <c r="D413">
        <v>26.95</v>
      </c>
    </row>
    <row r="414" spans="1:4" x14ac:dyDescent="0.25">
      <c r="A414" t="s">
        <v>1969</v>
      </c>
      <c r="B414" t="s">
        <v>1331</v>
      </c>
      <c r="C414" t="s">
        <v>185</v>
      </c>
      <c r="D414">
        <v>837.05</v>
      </c>
    </row>
    <row r="415" spans="1:4" x14ac:dyDescent="0.25">
      <c r="A415" t="s">
        <v>1974</v>
      </c>
      <c r="B415" t="s">
        <v>1330</v>
      </c>
      <c r="C415" t="s">
        <v>185</v>
      </c>
      <c r="D415">
        <v>1</v>
      </c>
    </row>
    <row r="416" spans="1:4" x14ac:dyDescent="0.25">
      <c r="A416" t="s">
        <v>1945</v>
      </c>
      <c r="B416" t="s">
        <v>1331</v>
      </c>
      <c r="C416" t="s">
        <v>185</v>
      </c>
      <c r="D416">
        <v>2</v>
      </c>
    </row>
    <row r="417" spans="1:4" x14ac:dyDescent="0.25">
      <c r="A417" t="s">
        <v>1967</v>
      </c>
      <c r="B417" t="s">
        <v>1331</v>
      </c>
      <c r="C417" t="s">
        <v>185</v>
      </c>
      <c r="D417">
        <v>6.7</v>
      </c>
    </row>
    <row r="418" spans="1:4" x14ac:dyDescent="0.25">
      <c r="A418" t="s">
        <v>1950</v>
      </c>
      <c r="B418" t="s">
        <v>1334</v>
      </c>
      <c r="C418" t="s">
        <v>185</v>
      </c>
      <c r="D418">
        <v>7.55</v>
      </c>
    </row>
    <row r="419" spans="1:4" x14ac:dyDescent="0.25">
      <c r="A419" t="s">
        <v>1923</v>
      </c>
      <c r="B419" t="s">
        <v>1333</v>
      </c>
      <c r="C419" t="s">
        <v>185</v>
      </c>
      <c r="D419">
        <v>8</v>
      </c>
    </row>
    <row r="420" spans="1:4" x14ac:dyDescent="0.25">
      <c r="A420" t="s">
        <v>1979</v>
      </c>
      <c r="B420" t="s">
        <v>1331</v>
      </c>
      <c r="C420" t="s">
        <v>185</v>
      </c>
      <c r="D420">
        <v>389</v>
      </c>
    </row>
    <row r="421" spans="1:4" x14ac:dyDescent="0.25">
      <c r="A421" t="s">
        <v>1956</v>
      </c>
      <c r="B421" t="s">
        <v>1335</v>
      </c>
      <c r="C421" t="s">
        <v>185</v>
      </c>
      <c r="D421">
        <v>44.5</v>
      </c>
    </row>
    <row r="422" spans="1:4" x14ac:dyDescent="0.25">
      <c r="A422" t="s">
        <v>1939</v>
      </c>
      <c r="B422" t="s">
        <v>1331</v>
      </c>
      <c r="C422" t="s">
        <v>193</v>
      </c>
      <c r="D422">
        <v>206.3</v>
      </c>
    </row>
    <row r="423" spans="1:4" x14ac:dyDescent="0.25">
      <c r="A423" t="s">
        <v>1933</v>
      </c>
      <c r="B423" t="s">
        <v>1330</v>
      </c>
      <c r="C423" t="s">
        <v>193</v>
      </c>
      <c r="D423">
        <v>4.3499999999999996</v>
      </c>
    </row>
    <row r="424" spans="1:4" x14ac:dyDescent="0.25">
      <c r="A424" t="s">
        <v>1956</v>
      </c>
      <c r="B424" t="s">
        <v>1335</v>
      </c>
      <c r="C424" t="s">
        <v>193</v>
      </c>
      <c r="D424">
        <v>7.7</v>
      </c>
    </row>
    <row r="425" spans="1:4" x14ac:dyDescent="0.25">
      <c r="A425" t="s">
        <v>1961</v>
      </c>
      <c r="B425" t="s">
        <v>1331</v>
      </c>
      <c r="C425" t="s">
        <v>193</v>
      </c>
      <c r="D425">
        <v>4.2</v>
      </c>
    </row>
    <row r="426" spans="1:4" x14ac:dyDescent="0.25">
      <c r="A426" t="s">
        <v>1982</v>
      </c>
      <c r="B426" t="s">
        <v>1334</v>
      </c>
      <c r="C426" t="s">
        <v>193</v>
      </c>
      <c r="D426">
        <v>48.7</v>
      </c>
    </row>
    <row r="427" spans="1:4" x14ac:dyDescent="0.25">
      <c r="A427" t="s">
        <v>1962</v>
      </c>
      <c r="B427" t="s">
        <v>1331</v>
      </c>
      <c r="C427" t="s">
        <v>193</v>
      </c>
      <c r="D427">
        <v>3</v>
      </c>
    </row>
    <row r="428" spans="1:4" x14ac:dyDescent="0.25">
      <c r="A428" t="s">
        <v>1927</v>
      </c>
      <c r="B428" t="s">
        <v>1331</v>
      </c>
      <c r="C428" t="s">
        <v>193</v>
      </c>
      <c r="D428">
        <v>53.9</v>
      </c>
    </row>
    <row r="429" spans="1:4" x14ac:dyDescent="0.25">
      <c r="A429" t="s">
        <v>1933</v>
      </c>
      <c r="B429" t="s">
        <v>1331</v>
      </c>
      <c r="C429" t="s">
        <v>198</v>
      </c>
      <c r="D429">
        <v>4</v>
      </c>
    </row>
    <row r="430" spans="1:4" x14ac:dyDescent="0.25">
      <c r="A430" t="s">
        <v>1929</v>
      </c>
      <c r="B430" t="s">
        <v>1331</v>
      </c>
      <c r="C430" t="s">
        <v>198</v>
      </c>
      <c r="D430">
        <v>2</v>
      </c>
    </row>
    <row r="431" spans="1:4" x14ac:dyDescent="0.25">
      <c r="A431" t="s">
        <v>1933</v>
      </c>
      <c r="B431" t="s">
        <v>1330</v>
      </c>
      <c r="C431" t="s">
        <v>201</v>
      </c>
      <c r="D431">
        <v>23.45</v>
      </c>
    </row>
    <row r="432" spans="1:4" x14ac:dyDescent="0.25">
      <c r="A432" t="s">
        <v>1933</v>
      </c>
      <c r="B432" t="s">
        <v>1331</v>
      </c>
      <c r="C432" t="s">
        <v>201</v>
      </c>
      <c r="D432">
        <v>28.1</v>
      </c>
    </row>
    <row r="433" spans="1:4" x14ac:dyDescent="0.25">
      <c r="A433" t="s">
        <v>1958</v>
      </c>
      <c r="B433" t="s">
        <v>1331</v>
      </c>
      <c r="C433" t="s">
        <v>201</v>
      </c>
      <c r="D433">
        <v>2</v>
      </c>
    </row>
    <row r="434" spans="1:4" x14ac:dyDescent="0.25">
      <c r="A434" t="s">
        <v>1979</v>
      </c>
      <c r="B434" t="s">
        <v>1331</v>
      </c>
      <c r="C434" t="s">
        <v>201</v>
      </c>
      <c r="D434">
        <v>428</v>
      </c>
    </row>
    <row r="435" spans="1:4" x14ac:dyDescent="0.25">
      <c r="A435" t="s">
        <v>1933</v>
      </c>
      <c r="B435" t="s">
        <v>1330</v>
      </c>
      <c r="C435" t="s">
        <v>206</v>
      </c>
      <c r="D435">
        <v>41.1</v>
      </c>
    </row>
    <row r="436" spans="1:4" x14ac:dyDescent="0.25">
      <c r="A436" t="s">
        <v>1950</v>
      </c>
      <c r="B436" t="s">
        <v>1334</v>
      </c>
      <c r="C436" t="s">
        <v>206</v>
      </c>
      <c r="D436">
        <v>14.1</v>
      </c>
    </row>
    <row r="437" spans="1:4" x14ac:dyDescent="0.25">
      <c r="A437" t="s">
        <v>1920</v>
      </c>
      <c r="B437" t="s">
        <v>1330</v>
      </c>
      <c r="C437" t="s">
        <v>206</v>
      </c>
      <c r="D437">
        <v>2</v>
      </c>
    </row>
    <row r="438" spans="1:4" x14ac:dyDescent="0.25">
      <c r="A438" t="s">
        <v>1916</v>
      </c>
      <c r="B438" t="s">
        <v>1335</v>
      </c>
      <c r="C438" t="s">
        <v>206</v>
      </c>
      <c r="D438">
        <v>203.95</v>
      </c>
    </row>
    <row r="439" spans="1:4" x14ac:dyDescent="0.25">
      <c r="A439" t="s">
        <v>1983</v>
      </c>
      <c r="B439" t="s">
        <v>1335</v>
      </c>
      <c r="C439" t="s">
        <v>206</v>
      </c>
      <c r="D439">
        <v>4</v>
      </c>
    </row>
    <row r="440" spans="1:4" x14ac:dyDescent="0.25">
      <c r="A440" t="s">
        <v>1920</v>
      </c>
      <c r="B440" t="s">
        <v>1331</v>
      </c>
      <c r="C440" t="s">
        <v>206</v>
      </c>
      <c r="D440">
        <v>8.85</v>
      </c>
    </row>
    <row r="441" spans="1:4" x14ac:dyDescent="0.25">
      <c r="A441" t="s">
        <v>1933</v>
      </c>
      <c r="B441" t="s">
        <v>1331</v>
      </c>
      <c r="C441" t="s">
        <v>206</v>
      </c>
      <c r="D441">
        <v>8.1999999999999993</v>
      </c>
    </row>
    <row r="442" spans="1:4" x14ac:dyDescent="0.25">
      <c r="A442" t="s">
        <v>1958</v>
      </c>
      <c r="B442" t="s">
        <v>1330</v>
      </c>
      <c r="C442" t="s">
        <v>206</v>
      </c>
      <c r="D442">
        <v>7.5</v>
      </c>
    </row>
    <row r="443" spans="1:4" x14ac:dyDescent="0.25">
      <c r="A443" t="s">
        <v>1977</v>
      </c>
      <c r="B443" t="s">
        <v>1335</v>
      </c>
      <c r="C443" t="s">
        <v>206</v>
      </c>
      <c r="D443">
        <v>7.7</v>
      </c>
    </row>
    <row r="444" spans="1:4" x14ac:dyDescent="0.25">
      <c r="A444" t="s">
        <v>1984</v>
      </c>
      <c r="B444" t="s">
        <v>1333</v>
      </c>
      <c r="C444" t="s">
        <v>213</v>
      </c>
      <c r="D444">
        <v>55.71</v>
      </c>
    </row>
    <row r="445" spans="1:4" x14ac:dyDescent="0.25">
      <c r="A445" t="s">
        <v>1913</v>
      </c>
      <c r="B445" t="s">
        <v>1335</v>
      </c>
      <c r="C445" t="s">
        <v>213</v>
      </c>
      <c r="D445">
        <v>35.15</v>
      </c>
    </row>
    <row r="446" spans="1:4" x14ac:dyDescent="0.25">
      <c r="A446" t="s">
        <v>1959</v>
      </c>
      <c r="B446" t="s">
        <v>1335</v>
      </c>
      <c r="C446" t="s">
        <v>213</v>
      </c>
      <c r="D446">
        <v>4</v>
      </c>
    </row>
    <row r="447" spans="1:4" x14ac:dyDescent="0.25">
      <c r="A447" t="s">
        <v>1985</v>
      </c>
      <c r="B447" t="s">
        <v>1331</v>
      </c>
      <c r="C447" t="s">
        <v>213</v>
      </c>
      <c r="D447">
        <v>4</v>
      </c>
    </row>
    <row r="448" spans="1:4" x14ac:dyDescent="0.25">
      <c r="A448" t="s">
        <v>1916</v>
      </c>
      <c r="B448" t="s">
        <v>1335</v>
      </c>
      <c r="C448" t="s">
        <v>213</v>
      </c>
      <c r="D448">
        <v>35.5</v>
      </c>
    </row>
    <row r="449" spans="1:4" x14ac:dyDescent="0.25">
      <c r="A449" t="s">
        <v>1950</v>
      </c>
      <c r="B449" t="s">
        <v>1334</v>
      </c>
      <c r="C449" t="s">
        <v>213</v>
      </c>
      <c r="D449">
        <v>6</v>
      </c>
    </row>
    <row r="450" spans="1:4" x14ac:dyDescent="0.25">
      <c r="A450" t="s">
        <v>1945</v>
      </c>
      <c r="B450" t="s">
        <v>1331</v>
      </c>
      <c r="C450" t="s">
        <v>213</v>
      </c>
      <c r="D450">
        <v>2</v>
      </c>
    </row>
    <row r="451" spans="1:4" x14ac:dyDescent="0.25">
      <c r="A451" t="s">
        <v>1980</v>
      </c>
      <c r="B451" t="s">
        <v>1333</v>
      </c>
      <c r="C451" t="s">
        <v>213</v>
      </c>
      <c r="D451">
        <v>3.7</v>
      </c>
    </row>
    <row r="452" spans="1:4" x14ac:dyDescent="0.25">
      <c r="A452" t="s">
        <v>1911</v>
      </c>
      <c r="B452" t="s">
        <v>1335</v>
      </c>
      <c r="C452" t="s">
        <v>213</v>
      </c>
      <c r="D452">
        <v>14.7</v>
      </c>
    </row>
    <row r="453" spans="1:4" x14ac:dyDescent="0.25">
      <c r="A453" t="s">
        <v>1986</v>
      </c>
      <c r="B453" t="s">
        <v>1331</v>
      </c>
      <c r="C453" t="s">
        <v>213</v>
      </c>
      <c r="D453">
        <v>1</v>
      </c>
    </row>
    <row r="454" spans="1:4" x14ac:dyDescent="0.25">
      <c r="A454" t="s">
        <v>1987</v>
      </c>
      <c r="B454" t="s">
        <v>1331</v>
      </c>
      <c r="C454" t="s">
        <v>213</v>
      </c>
      <c r="D454">
        <v>72.45</v>
      </c>
    </row>
    <row r="455" spans="1:4" x14ac:dyDescent="0.25">
      <c r="A455" t="s">
        <v>1933</v>
      </c>
      <c r="B455" t="s">
        <v>1331</v>
      </c>
      <c r="C455" t="s">
        <v>213</v>
      </c>
      <c r="D455">
        <v>2</v>
      </c>
    </row>
    <row r="456" spans="1:4" x14ac:dyDescent="0.25">
      <c r="A456" t="s">
        <v>1933</v>
      </c>
      <c r="B456" t="s">
        <v>1330</v>
      </c>
      <c r="C456" t="s">
        <v>213</v>
      </c>
      <c r="D456">
        <v>33</v>
      </c>
    </row>
    <row r="457" spans="1:4" x14ac:dyDescent="0.25">
      <c r="A457" t="s">
        <v>1984</v>
      </c>
      <c r="B457" t="s">
        <v>1331</v>
      </c>
      <c r="C457" t="s">
        <v>213</v>
      </c>
      <c r="D457">
        <v>340</v>
      </c>
    </row>
    <row r="458" spans="1:4" x14ac:dyDescent="0.25">
      <c r="A458" t="s">
        <v>1931</v>
      </c>
      <c r="B458" t="s">
        <v>1335</v>
      </c>
      <c r="C458" t="s">
        <v>213</v>
      </c>
      <c r="D458">
        <v>65.45</v>
      </c>
    </row>
    <row r="459" spans="1:4" x14ac:dyDescent="0.25">
      <c r="A459" t="s">
        <v>1902</v>
      </c>
      <c r="B459" t="s">
        <v>1335</v>
      </c>
      <c r="C459" t="s">
        <v>213</v>
      </c>
      <c r="D459">
        <v>16.100000000000001</v>
      </c>
    </row>
    <row r="460" spans="1:4" x14ac:dyDescent="0.25">
      <c r="A460" t="s">
        <v>1973</v>
      </c>
      <c r="B460" t="s">
        <v>1331</v>
      </c>
      <c r="C460" t="s">
        <v>213</v>
      </c>
      <c r="D460">
        <v>6</v>
      </c>
    </row>
    <row r="461" spans="1:4" x14ac:dyDescent="0.25">
      <c r="A461" t="s">
        <v>1927</v>
      </c>
      <c r="B461" t="s">
        <v>1331</v>
      </c>
      <c r="C461" t="s">
        <v>213</v>
      </c>
      <c r="D461">
        <v>138.6</v>
      </c>
    </row>
    <row r="462" spans="1:4" x14ac:dyDescent="0.25">
      <c r="A462" t="s">
        <v>1979</v>
      </c>
      <c r="B462" t="s">
        <v>1331</v>
      </c>
      <c r="C462" t="s">
        <v>213</v>
      </c>
      <c r="D462">
        <v>280.85000000000002</v>
      </c>
    </row>
    <row r="463" spans="1:4" x14ac:dyDescent="0.25">
      <c r="A463" t="s">
        <v>1979</v>
      </c>
      <c r="B463" t="s">
        <v>1333</v>
      </c>
      <c r="C463" t="s">
        <v>213</v>
      </c>
      <c r="D463">
        <v>96</v>
      </c>
    </row>
    <row r="464" spans="1:4" x14ac:dyDescent="0.25">
      <c r="A464" t="s">
        <v>1909</v>
      </c>
      <c r="B464" t="s">
        <v>1335</v>
      </c>
      <c r="C464" t="s">
        <v>213</v>
      </c>
      <c r="D464">
        <v>20</v>
      </c>
    </row>
    <row r="465" spans="1:4" x14ac:dyDescent="0.25">
      <c r="A465" t="s">
        <v>1958</v>
      </c>
      <c r="B465" t="s">
        <v>1330</v>
      </c>
      <c r="C465" t="s">
        <v>218</v>
      </c>
      <c r="D465">
        <v>2</v>
      </c>
    </row>
    <row r="466" spans="1:4" x14ac:dyDescent="0.25">
      <c r="A466" t="s">
        <v>1958</v>
      </c>
      <c r="B466" t="s">
        <v>1335</v>
      </c>
      <c r="C466" t="s">
        <v>218</v>
      </c>
      <c r="D466">
        <v>0.5</v>
      </c>
    </row>
    <row r="467" spans="1:4" x14ac:dyDescent="0.25">
      <c r="A467" t="s">
        <v>1933</v>
      </c>
      <c r="B467" t="s">
        <v>1330</v>
      </c>
      <c r="C467" t="s">
        <v>218</v>
      </c>
      <c r="D467">
        <v>14.7</v>
      </c>
    </row>
    <row r="468" spans="1:4" x14ac:dyDescent="0.25">
      <c r="A468" t="s">
        <v>1965</v>
      </c>
      <c r="B468" t="s">
        <v>1331</v>
      </c>
      <c r="C468" t="s">
        <v>218</v>
      </c>
      <c r="D468">
        <v>77</v>
      </c>
    </row>
    <row r="469" spans="1:4" x14ac:dyDescent="0.25">
      <c r="A469" t="s">
        <v>1961</v>
      </c>
      <c r="B469" t="s">
        <v>1331</v>
      </c>
      <c r="C469" t="s">
        <v>218</v>
      </c>
      <c r="D469">
        <v>151.85</v>
      </c>
    </row>
    <row r="470" spans="1:4" x14ac:dyDescent="0.25">
      <c r="A470" t="s">
        <v>1950</v>
      </c>
      <c r="B470" t="s">
        <v>1334</v>
      </c>
      <c r="C470" t="s">
        <v>218</v>
      </c>
      <c r="D470">
        <v>4.55</v>
      </c>
    </row>
    <row r="471" spans="1:4" x14ac:dyDescent="0.25">
      <c r="A471" t="s">
        <v>1933</v>
      </c>
      <c r="B471" t="s">
        <v>1331</v>
      </c>
      <c r="C471" t="s">
        <v>218</v>
      </c>
      <c r="D471">
        <v>6</v>
      </c>
    </row>
    <row r="472" spans="1:4" x14ac:dyDescent="0.25">
      <c r="A472" t="s">
        <v>1902</v>
      </c>
      <c r="B472" t="s">
        <v>1335</v>
      </c>
      <c r="C472" t="s">
        <v>218</v>
      </c>
      <c r="D472">
        <v>2.85</v>
      </c>
    </row>
    <row r="473" spans="1:4" x14ac:dyDescent="0.25">
      <c r="A473" t="s">
        <v>1988</v>
      </c>
      <c r="B473" t="s">
        <v>1330</v>
      </c>
      <c r="C473" t="s">
        <v>218</v>
      </c>
      <c r="D473">
        <v>0.7</v>
      </c>
    </row>
    <row r="474" spans="1:4" x14ac:dyDescent="0.25">
      <c r="A474" t="s">
        <v>1973</v>
      </c>
      <c r="B474" t="s">
        <v>1331</v>
      </c>
      <c r="C474" t="s">
        <v>218</v>
      </c>
      <c r="D474">
        <v>2</v>
      </c>
    </row>
    <row r="475" spans="1:4" x14ac:dyDescent="0.25">
      <c r="A475" t="s">
        <v>1972</v>
      </c>
      <c r="B475" t="s">
        <v>1334</v>
      </c>
      <c r="C475" t="s">
        <v>218</v>
      </c>
      <c r="D475">
        <v>6</v>
      </c>
    </row>
    <row r="476" spans="1:4" x14ac:dyDescent="0.25">
      <c r="A476" t="s">
        <v>1927</v>
      </c>
      <c r="B476" t="s">
        <v>1331</v>
      </c>
      <c r="C476" t="s">
        <v>225</v>
      </c>
      <c r="D476">
        <v>57.75</v>
      </c>
    </row>
    <row r="477" spans="1:4" x14ac:dyDescent="0.25">
      <c r="A477" t="s">
        <v>1907</v>
      </c>
      <c r="B477" t="s">
        <v>1335</v>
      </c>
      <c r="C477" t="s">
        <v>225</v>
      </c>
      <c r="D477">
        <v>16.100000000000001</v>
      </c>
    </row>
    <row r="478" spans="1:4" x14ac:dyDescent="0.25">
      <c r="A478" t="s">
        <v>1986</v>
      </c>
      <c r="B478" t="s">
        <v>1331</v>
      </c>
      <c r="C478" t="s">
        <v>225</v>
      </c>
      <c r="D478">
        <v>2</v>
      </c>
    </row>
    <row r="479" spans="1:4" x14ac:dyDescent="0.25">
      <c r="A479" t="s">
        <v>1980</v>
      </c>
      <c r="B479" t="s">
        <v>1331</v>
      </c>
      <c r="C479" t="s">
        <v>225</v>
      </c>
      <c r="D479">
        <v>1</v>
      </c>
    </row>
    <row r="480" spans="1:4" x14ac:dyDescent="0.25">
      <c r="A480" t="s">
        <v>1956</v>
      </c>
      <c r="B480" t="s">
        <v>1335</v>
      </c>
      <c r="C480" t="s">
        <v>225</v>
      </c>
      <c r="D480">
        <v>129.25</v>
      </c>
    </row>
    <row r="481" spans="1:4" x14ac:dyDescent="0.25">
      <c r="A481" t="s">
        <v>1911</v>
      </c>
      <c r="B481" t="s">
        <v>1335</v>
      </c>
      <c r="C481" t="s">
        <v>225</v>
      </c>
      <c r="D481">
        <v>31.15</v>
      </c>
    </row>
    <row r="482" spans="1:4" x14ac:dyDescent="0.25">
      <c r="A482" t="s">
        <v>1989</v>
      </c>
      <c r="B482" t="s">
        <v>1331</v>
      </c>
      <c r="C482" t="s">
        <v>225</v>
      </c>
      <c r="D482">
        <v>86.85</v>
      </c>
    </row>
    <row r="483" spans="1:4" x14ac:dyDescent="0.25">
      <c r="A483" t="s">
        <v>1933</v>
      </c>
      <c r="B483" t="s">
        <v>1330</v>
      </c>
      <c r="C483" t="s">
        <v>225</v>
      </c>
      <c r="D483">
        <v>50.8</v>
      </c>
    </row>
    <row r="484" spans="1:4" x14ac:dyDescent="0.25">
      <c r="A484" t="s">
        <v>1902</v>
      </c>
      <c r="B484" t="s">
        <v>1335</v>
      </c>
      <c r="C484" t="s">
        <v>225</v>
      </c>
      <c r="D484">
        <v>22.95</v>
      </c>
    </row>
    <row r="485" spans="1:4" x14ac:dyDescent="0.25">
      <c r="A485" t="s">
        <v>1909</v>
      </c>
      <c r="B485" t="s">
        <v>1335</v>
      </c>
      <c r="C485" t="s">
        <v>225</v>
      </c>
      <c r="D485">
        <v>1.5</v>
      </c>
    </row>
    <row r="486" spans="1:4" x14ac:dyDescent="0.25">
      <c r="A486" t="s">
        <v>1978</v>
      </c>
      <c r="B486" t="s">
        <v>1335</v>
      </c>
      <c r="C486" t="s">
        <v>225</v>
      </c>
      <c r="D486">
        <v>25.65</v>
      </c>
    </row>
    <row r="487" spans="1:4" x14ac:dyDescent="0.25">
      <c r="A487" t="s">
        <v>1950</v>
      </c>
      <c r="B487" t="s">
        <v>1334</v>
      </c>
      <c r="C487" t="s">
        <v>225</v>
      </c>
      <c r="D487">
        <v>2.7</v>
      </c>
    </row>
    <row r="488" spans="1:4" x14ac:dyDescent="0.25">
      <c r="A488" t="s">
        <v>1945</v>
      </c>
      <c r="B488" t="s">
        <v>1331</v>
      </c>
      <c r="C488" t="s">
        <v>225</v>
      </c>
      <c r="D488">
        <v>10</v>
      </c>
    </row>
    <row r="489" spans="1:4" x14ac:dyDescent="0.25">
      <c r="A489" t="s">
        <v>1971</v>
      </c>
      <c r="B489" t="s">
        <v>1330</v>
      </c>
      <c r="C489" t="s">
        <v>225</v>
      </c>
      <c r="D489">
        <v>29.9</v>
      </c>
    </row>
    <row r="490" spans="1:4" x14ac:dyDescent="0.25">
      <c r="A490" t="s">
        <v>1913</v>
      </c>
      <c r="B490" t="s">
        <v>1335</v>
      </c>
      <c r="C490" t="s">
        <v>225</v>
      </c>
      <c r="D490">
        <v>14.75</v>
      </c>
    </row>
    <row r="491" spans="1:4" x14ac:dyDescent="0.25">
      <c r="A491" t="s">
        <v>1904</v>
      </c>
      <c r="B491" t="s">
        <v>1331</v>
      </c>
      <c r="C491" t="s">
        <v>225</v>
      </c>
      <c r="D491">
        <v>352.5</v>
      </c>
    </row>
    <row r="492" spans="1:4" x14ac:dyDescent="0.25">
      <c r="A492" t="s">
        <v>1923</v>
      </c>
      <c r="B492" t="s">
        <v>1331</v>
      </c>
      <c r="C492" t="s">
        <v>229</v>
      </c>
      <c r="D492">
        <v>26.2</v>
      </c>
    </row>
    <row r="493" spans="1:4" x14ac:dyDescent="0.25">
      <c r="A493" t="s">
        <v>1929</v>
      </c>
      <c r="B493" t="s">
        <v>1333</v>
      </c>
      <c r="C493" t="s">
        <v>229</v>
      </c>
      <c r="D493">
        <v>14</v>
      </c>
    </row>
    <row r="494" spans="1:4" x14ac:dyDescent="0.25">
      <c r="A494" t="s">
        <v>1902</v>
      </c>
      <c r="B494" t="s">
        <v>1335</v>
      </c>
      <c r="C494" t="s">
        <v>229</v>
      </c>
      <c r="D494">
        <v>32.799999999999997</v>
      </c>
    </row>
    <row r="495" spans="1:4" x14ac:dyDescent="0.25">
      <c r="A495" t="s">
        <v>1913</v>
      </c>
      <c r="B495" t="s">
        <v>1335</v>
      </c>
      <c r="C495" t="s">
        <v>229</v>
      </c>
      <c r="D495">
        <v>3.85</v>
      </c>
    </row>
    <row r="496" spans="1:4" x14ac:dyDescent="0.25">
      <c r="A496" t="s">
        <v>1929</v>
      </c>
      <c r="B496" t="s">
        <v>1330</v>
      </c>
      <c r="C496" t="s">
        <v>229</v>
      </c>
      <c r="D496">
        <v>2</v>
      </c>
    </row>
    <row r="497" spans="1:4" x14ac:dyDescent="0.25">
      <c r="A497" t="s">
        <v>1929</v>
      </c>
      <c r="B497" t="s">
        <v>1331</v>
      </c>
      <c r="C497" t="s">
        <v>229</v>
      </c>
      <c r="D497">
        <v>286</v>
      </c>
    </row>
    <row r="498" spans="1:4" x14ac:dyDescent="0.25">
      <c r="A498" t="s">
        <v>1933</v>
      </c>
      <c r="B498" t="s">
        <v>1330</v>
      </c>
      <c r="C498" t="s">
        <v>234</v>
      </c>
      <c r="D498">
        <v>25.5</v>
      </c>
    </row>
    <row r="499" spans="1:4" x14ac:dyDescent="0.25">
      <c r="A499" t="s">
        <v>1965</v>
      </c>
      <c r="B499" t="s">
        <v>1331</v>
      </c>
      <c r="C499" t="s">
        <v>234</v>
      </c>
      <c r="D499">
        <v>69.900000000000006</v>
      </c>
    </row>
    <row r="500" spans="1:4" x14ac:dyDescent="0.25">
      <c r="A500" t="s">
        <v>1935</v>
      </c>
      <c r="B500" t="s">
        <v>1331</v>
      </c>
      <c r="C500" t="s">
        <v>234</v>
      </c>
      <c r="D500">
        <v>11</v>
      </c>
    </row>
    <row r="501" spans="1:4" x14ac:dyDescent="0.25">
      <c r="A501" t="s">
        <v>1907</v>
      </c>
      <c r="B501" t="s">
        <v>1335</v>
      </c>
      <c r="C501" t="s">
        <v>239</v>
      </c>
      <c r="D501">
        <v>4</v>
      </c>
    </row>
    <row r="502" spans="1:4" x14ac:dyDescent="0.25">
      <c r="A502" t="s">
        <v>1933</v>
      </c>
      <c r="B502" t="s">
        <v>1330</v>
      </c>
      <c r="C502" t="s">
        <v>239</v>
      </c>
      <c r="D502">
        <v>22.85</v>
      </c>
    </row>
    <row r="503" spans="1:4" x14ac:dyDescent="0.25">
      <c r="A503" t="s">
        <v>1977</v>
      </c>
      <c r="B503" t="s">
        <v>1331</v>
      </c>
      <c r="C503" t="s">
        <v>239</v>
      </c>
      <c r="D503">
        <v>31.1</v>
      </c>
    </row>
    <row r="504" spans="1:4" x14ac:dyDescent="0.25">
      <c r="A504" t="s">
        <v>1902</v>
      </c>
      <c r="B504" t="s">
        <v>1335</v>
      </c>
      <c r="C504" t="s">
        <v>239</v>
      </c>
      <c r="D504">
        <v>3.85</v>
      </c>
    </row>
    <row r="505" spans="1:4" x14ac:dyDescent="0.25">
      <c r="A505" t="s">
        <v>1950</v>
      </c>
      <c r="B505" t="s">
        <v>1334</v>
      </c>
      <c r="C505" t="s">
        <v>244</v>
      </c>
      <c r="D505">
        <v>4.8499999999999996</v>
      </c>
    </row>
    <row r="506" spans="1:4" x14ac:dyDescent="0.25">
      <c r="A506" t="s">
        <v>1927</v>
      </c>
      <c r="B506" t="s">
        <v>1331</v>
      </c>
      <c r="C506" t="s">
        <v>244</v>
      </c>
      <c r="D506">
        <v>103.95</v>
      </c>
    </row>
    <row r="507" spans="1:4" x14ac:dyDescent="0.25">
      <c r="A507" t="s">
        <v>1950</v>
      </c>
      <c r="B507" t="s">
        <v>1331</v>
      </c>
      <c r="C507" t="s">
        <v>244</v>
      </c>
      <c r="D507">
        <v>4.7</v>
      </c>
    </row>
    <row r="508" spans="1:4" x14ac:dyDescent="0.25">
      <c r="A508" t="s">
        <v>1960</v>
      </c>
      <c r="B508" t="s">
        <v>1331</v>
      </c>
      <c r="C508" t="s">
        <v>244</v>
      </c>
      <c r="D508">
        <v>3.5</v>
      </c>
    </row>
    <row r="509" spans="1:4" x14ac:dyDescent="0.25">
      <c r="A509" t="s">
        <v>1968</v>
      </c>
      <c r="B509" t="s">
        <v>1331</v>
      </c>
      <c r="C509" t="s">
        <v>244</v>
      </c>
      <c r="D509">
        <v>13.4</v>
      </c>
    </row>
    <row r="510" spans="1:4" x14ac:dyDescent="0.25">
      <c r="A510" t="s">
        <v>1902</v>
      </c>
      <c r="B510" t="s">
        <v>1335</v>
      </c>
      <c r="C510" t="s">
        <v>244</v>
      </c>
      <c r="D510">
        <v>13.55</v>
      </c>
    </row>
    <row r="511" spans="1:4" x14ac:dyDescent="0.25">
      <c r="A511" t="s">
        <v>1967</v>
      </c>
      <c r="B511" t="s">
        <v>1331</v>
      </c>
      <c r="C511" t="s">
        <v>244</v>
      </c>
      <c r="D511">
        <v>611.75</v>
      </c>
    </row>
    <row r="512" spans="1:4" x14ac:dyDescent="0.25">
      <c r="A512" t="s">
        <v>1969</v>
      </c>
      <c r="B512" t="s">
        <v>1331</v>
      </c>
      <c r="C512" t="s">
        <v>244</v>
      </c>
      <c r="D512">
        <v>92.1</v>
      </c>
    </row>
    <row r="513" spans="1:4" x14ac:dyDescent="0.25">
      <c r="A513" t="s">
        <v>1933</v>
      </c>
      <c r="B513" t="s">
        <v>1330</v>
      </c>
      <c r="C513" t="s">
        <v>244</v>
      </c>
      <c r="D513">
        <v>15.1</v>
      </c>
    </row>
    <row r="514" spans="1:4" x14ac:dyDescent="0.25">
      <c r="A514" t="s">
        <v>1939</v>
      </c>
      <c r="B514" t="s">
        <v>1331</v>
      </c>
      <c r="C514" t="s">
        <v>244</v>
      </c>
      <c r="D514">
        <v>32.299999999999997</v>
      </c>
    </row>
    <row r="515" spans="1:4" x14ac:dyDescent="0.25">
      <c r="A515" t="s">
        <v>1979</v>
      </c>
      <c r="B515" t="s">
        <v>1331</v>
      </c>
      <c r="C515" t="s">
        <v>244</v>
      </c>
      <c r="D515">
        <v>14</v>
      </c>
    </row>
    <row r="516" spans="1:4" x14ac:dyDescent="0.25">
      <c r="A516" t="s">
        <v>1972</v>
      </c>
      <c r="B516" t="s">
        <v>1334</v>
      </c>
      <c r="C516" t="s">
        <v>244</v>
      </c>
      <c r="D516">
        <v>1</v>
      </c>
    </row>
    <row r="517" spans="1:4" x14ac:dyDescent="0.25">
      <c r="A517" t="s">
        <v>1920</v>
      </c>
      <c r="B517" t="s">
        <v>1331</v>
      </c>
      <c r="C517" t="s">
        <v>244</v>
      </c>
      <c r="D517">
        <v>13.5</v>
      </c>
    </row>
    <row r="518" spans="1:4" x14ac:dyDescent="0.25">
      <c r="A518" t="s">
        <v>1920</v>
      </c>
      <c r="B518" t="s">
        <v>1334</v>
      </c>
      <c r="C518" t="s">
        <v>244</v>
      </c>
      <c r="D518">
        <v>220.5</v>
      </c>
    </row>
    <row r="519" spans="1:4" x14ac:dyDescent="0.25">
      <c r="A519" t="s">
        <v>1962</v>
      </c>
      <c r="B519" t="s">
        <v>1331</v>
      </c>
      <c r="C519" t="s">
        <v>244</v>
      </c>
      <c r="D519">
        <v>13.4</v>
      </c>
    </row>
    <row r="520" spans="1:4" x14ac:dyDescent="0.25">
      <c r="A520" t="s">
        <v>1960</v>
      </c>
      <c r="B520" t="s">
        <v>1331</v>
      </c>
      <c r="C520" t="s">
        <v>247</v>
      </c>
      <c r="D520">
        <v>2</v>
      </c>
    </row>
    <row r="521" spans="1:4" x14ac:dyDescent="0.25">
      <c r="A521" t="s">
        <v>1939</v>
      </c>
      <c r="B521" t="s">
        <v>1331</v>
      </c>
      <c r="C521" t="s">
        <v>247</v>
      </c>
      <c r="D521">
        <v>1</v>
      </c>
    </row>
    <row r="522" spans="1:4" x14ac:dyDescent="0.25">
      <c r="A522" t="s">
        <v>1902</v>
      </c>
      <c r="B522" t="s">
        <v>1335</v>
      </c>
      <c r="C522" t="s">
        <v>247</v>
      </c>
      <c r="D522">
        <v>3</v>
      </c>
    </row>
    <row r="523" spans="1:4" x14ac:dyDescent="0.25">
      <c r="A523" t="s">
        <v>1929</v>
      </c>
      <c r="B523" t="s">
        <v>1331</v>
      </c>
      <c r="C523" t="s">
        <v>247</v>
      </c>
      <c r="D523">
        <v>42</v>
      </c>
    </row>
    <row r="524" spans="1:4" x14ac:dyDescent="0.25">
      <c r="A524" t="s">
        <v>1902</v>
      </c>
      <c r="B524" t="s">
        <v>1335</v>
      </c>
      <c r="C524" t="s">
        <v>249</v>
      </c>
      <c r="D524">
        <v>4.8499999999999996</v>
      </c>
    </row>
    <row r="525" spans="1:4" x14ac:dyDescent="0.25">
      <c r="A525" t="s">
        <v>1973</v>
      </c>
      <c r="B525" t="s">
        <v>1331</v>
      </c>
      <c r="C525" t="s">
        <v>249</v>
      </c>
      <c r="D525">
        <v>181.65</v>
      </c>
    </row>
    <row r="526" spans="1:4" x14ac:dyDescent="0.25">
      <c r="A526" t="s">
        <v>1939</v>
      </c>
      <c r="B526" t="s">
        <v>1331</v>
      </c>
      <c r="C526" t="s">
        <v>249</v>
      </c>
      <c r="D526">
        <v>51.4</v>
      </c>
    </row>
    <row r="527" spans="1:4" x14ac:dyDescent="0.25">
      <c r="A527" t="s">
        <v>1921</v>
      </c>
      <c r="B527" t="s">
        <v>1330</v>
      </c>
      <c r="C527" t="s">
        <v>249</v>
      </c>
      <c r="D527">
        <v>28.8</v>
      </c>
    </row>
    <row r="528" spans="1:4" x14ac:dyDescent="0.25">
      <c r="A528" t="s">
        <v>1933</v>
      </c>
      <c r="B528" t="s">
        <v>1330</v>
      </c>
      <c r="C528" t="s">
        <v>254</v>
      </c>
      <c r="D528">
        <v>11.2</v>
      </c>
    </row>
    <row r="529" spans="1:4" x14ac:dyDescent="0.25">
      <c r="A529" t="s">
        <v>1974</v>
      </c>
      <c r="B529" t="s">
        <v>1330</v>
      </c>
      <c r="C529" t="s">
        <v>254</v>
      </c>
      <c r="D529">
        <v>7.1</v>
      </c>
    </row>
    <row r="530" spans="1:4" x14ac:dyDescent="0.25">
      <c r="A530" t="s">
        <v>1939</v>
      </c>
      <c r="B530" t="s">
        <v>1331</v>
      </c>
      <c r="C530" t="s">
        <v>254</v>
      </c>
      <c r="D530">
        <v>2</v>
      </c>
    </row>
    <row r="531" spans="1:4" x14ac:dyDescent="0.25">
      <c r="A531" t="s">
        <v>1950</v>
      </c>
      <c r="B531" t="s">
        <v>1334</v>
      </c>
      <c r="C531" t="s">
        <v>254</v>
      </c>
      <c r="D531">
        <v>2</v>
      </c>
    </row>
    <row r="532" spans="1:4" x14ac:dyDescent="0.25">
      <c r="A532" t="s">
        <v>1923</v>
      </c>
      <c r="B532" t="s">
        <v>1331</v>
      </c>
      <c r="C532" t="s">
        <v>259</v>
      </c>
      <c r="D532">
        <v>134</v>
      </c>
    </row>
    <row r="533" spans="1:4" x14ac:dyDescent="0.25">
      <c r="A533" t="s">
        <v>1968</v>
      </c>
      <c r="B533" t="s">
        <v>1331</v>
      </c>
      <c r="C533" t="s">
        <v>259</v>
      </c>
      <c r="D533">
        <v>6.7</v>
      </c>
    </row>
    <row r="534" spans="1:4" x14ac:dyDescent="0.25">
      <c r="A534" t="s">
        <v>1950</v>
      </c>
      <c r="B534" t="s">
        <v>1334</v>
      </c>
      <c r="C534" t="s">
        <v>259</v>
      </c>
      <c r="D534">
        <v>1.7</v>
      </c>
    </row>
    <row r="535" spans="1:4" x14ac:dyDescent="0.25">
      <c r="A535" t="s">
        <v>1927</v>
      </c>
      <c r="B535" t="s">
        <v>1331</v>
      </c>
      <c r="C535" t="s">
        <v>259</v>
      </c>
      <c r="D535">
        <v>46.2</v>
      </c>
    </row>
    <row r="536" spans="1:4" x14ac:dyDescent="0.25">
      <c r="A536" t="s">
        <v>1974</v>
      </c>
      <c r="B536" t="s">
        <v>1330</v>
      </c>
      <c r="C536" t="s">
        <v>259</v>
      </c>
      <c r="D536">
        <v>45.3</v>
      </c>
    </row>
    <row r="537" spans="1:4" x14ac:dyDescent="0.25">
      <c r="A537" t="s">
        <v>1921</v>
      </c>
      <c r="B537" t="s">
        <v>1330</v>
      </c>
      <c r="C537" t="s">
        <v>259</v>
      </c>
      <c r="D537">
        <v>37</v>
      </c>
    </row>
    <row r="538" spans="1:4" x14ac:dyDescent="0.25">
      <c r="A538" t="s">
        <v>1969</v>
      </c>
      <c r="B538" t="s">
        <v>1331</v>
      </c>
      <c r="C538" t="s">
        <v>259</v>
      </c>
      <c r="D538">
        <v>728.95</v>
      </c>
    </row>
    <row r="539" spans="1:4" x14ac:dyDescent="0.25">
      <c r="A539" t="s">
        <v>1958</v>
      </c>
      <c r="B539" t="s">
        <v>1330</v>
      </c>
      <c r="C539" t="s">
        <v>259</v>
      </c>
      <c r="D539">
        <v>5</v>
      </c>
    </row>
    <row r="540" spans="1:4" x14ac:dyDescent="0.25">
      <c r="A540" t="s">
        <v>1974</v>
      </c>
      <c r="B540" t="s">
        <v>1330</v>
      </c>
      <c r="C540" t="s">
        <v>263</v>
      </c>
      <c r="D540">
        <v>2</v>
      </c>
    </row>
    <row r="541" spans="1:4" x14ac:dyDescent="0.25">
      <c r="A541" t="s">
        <v>1990</v>
      </c>
      <c r="B541" t="s">
        <v>1334</v>
      </c>
      <c r="C541" t="s">
        <v>275</v>
      </c>
      <c r="D541">
        <v>3.4</v>
      </c>
    </row>
    <row r="542" spans="1:4" x14ac:dyDescent="0.25">
      <c r="A542" t="s">
        <v>1974</v>
      </c>
      <c r="B542" t="s">
        <v>1330</v>
      </c>
      <c r="C542" t="s">
        <v>275</v>
      </c>
      <c r="D542">
        <v>3.55</v>
      </c>
    </row>
    <row r="543" spans="1:4" x14ac:dyDescent="0.25">
      <c r="A543" t="s">
        <v>1974</v>
      </c>
      <c r="B543" t="s">
        <v>1330</v>
      </c>
      <c r="C543" t="s">
        <v>280</v>
      </c>
      <c r="D543">
        <v>3.1</v>
      </c>
    </row>
    <row r="544" spans="1:4" x14ac:dyDescent="0.25">
      <c r="A544" t="s">
        <v>1958</v>
      </c>
      <c r="B544" t="s">
        <v>1330</v>
      </c>
      <c r="C544" t="s">
        <v>280</v>
      </c>
      <c r="D544">
        <v>8.4</v>
      </c>
    </row>
    <row r="545" spans="1:4" x14ac:dyDescent="0.25">
      <c r="A545" t="s">
        <v>1956</v>
      </c>
      <c r="B545" t="s">
        <v>1335</v>
      </c>
      <c r="C545" t="s">
        <v>280</v>
      </c>
      <c r="D545">
        <v>30.8</v>
      </c>
    </row>
    <row r="546" spans="1:4" x14ac:dyDescent="0.25">
      <c r="A546" t="s">
        <v>1907</v>
      </c>
      <c r="B546" t="s">
        <v>1335</v>
      </c>
      <c r="C546" t="s">
        <v>280</v>
      </c>
      <c r="D546">
        <v>4</v>
      </c>
    </row>
    <row r="547" spans="1:4" x14ac:dyDescent="0.25">
      <c r="A547" t="s">
        <v>1974</v>
      </c>
      <c r="B547" t="s">
        <v>1330</v>
      </c>
      <c r="C547" t="s">
        <v>285</v>
      </c>
      <c r="D547">
        <v>13.1</v>
      </c>
    </row>
    <row r="548" spans="1:4" x14ac:dyDescent="0.25">
      <c r="A548" t="s">
        <v>1968</v>
      </c>
      <c r="B548" t="s">
        <v>1330</v>
      </c>
      <c r="C548" t="s">
        <v>291</v>
      </c>
      <c r="D548">
        <v>1</v>
      </c>
    </row>
    <row r="549" spans="1:4" x14ac:dyDescent="0.25">
      <c r="A549" t="s">
        <v>1978</v>
      </c>
      <c r="B549" t="s">
        <v>1335</v>
      </c>
      <c r="C549" t="s">
        <v>291</v>
      </c>
      <c r="D549">
        <v>1</v>
      </c>
    </row>
    <row r="550" spans="1:4" x14ac:dyDescent="0.25">
      <c r="A550" t="s">
        <v>1902</v>
      </c>
      <c r="B550" t="s">
        <v>1335</v>
      </c>
      <c r="C550" t="s">
        <v>291</v>
      </c>
      <c r="D550">
        <v>14.55</v>
      </c>
    </row>
    <row r="551" spans="1:4" x14ac:dyDescent="0.25">
      <c r="A551" t="s">
        <v>1974</v>
      </c>
      <c r="B551" t="s">
        <v>1330</v>
      </c>
      <c r="C551" t="s">
        <v>291</v>
      </c>
      <c r="D551">
        <v>11.1</v>
      </c>
    </row>
    <row r="552" spans="1:4" x14ac:dyDescent="0.25">
      <c r="A552" t="s">
        <v>1935</v>
      </c>
      <c r="B552" t="s">
        <v>1331</v>
      </c>
      <c r="C552" t="s">
        <v>297</v>
      </c>
      <c r="D552">
        <v>77</v>
      </c>
    </row>
    <row r="553" spans="1:4" x14ac:dyDescent="0.25">
      <c r="A553" t="s">
        <v>1991</v>
      </c>
      <c r="B553" t="s">
        <v>1331</v>
      </c>
      <c r="C553" t="s">
        <v>297</v>
      </c>
      <c r="D553">
        <v>7.7</v>
      </c>
    </row>
    <row r="554" spans="1:4" x14ac:dyDescent="0.25">
      <c r="A554" t="s">
        <v>1965</v>
      </c>
      <c r="B554" t="s">
        <v>1331</v>
      </c>
      <c r="C554" t="s">
        <v>297</v>
      </c>
      <c r="D554">
        <v>7.7</v>
      </c>
    </row>
    <row r="555" spans="1:4" x14ac:dyDescent="0.25">
      <c r="A555" t="s">
        <v>1972</v>
      </c>
      <c r="B555" t="s">
        <v>1334</v>
      </c>
      <c r="C555" t="s">
        <v>297</v>
      </c>
      <c r="D555">
        <v>19.600000000000001</v>
      </c>
    </row>
    <row r="556" spans="1:4" x14ac:dyDescent="0.25">
      <c r="A556" t="s">
        <v>1920</v>
      </c>
      <c r="B556" t="s">
        <v>1331</v>
      </c>
      <c r="C556" t="s">
        <v>297</v>
      </c>
      <c r="D556">
        <v>63.5</v>
      </c>
    </row>
    <row r="557" spans="1:4" x14ac:dyDescent="0.25">
      <c r="A557" t="s">
        <v>1980</v>
      </c>
      <c r="B557" t="s">
        <v>1331</v>
      </c>
      <c r="C557" t="s">
        <v>297</v>
      </c>
      <c r="D557">
        <v>556.95000000000005</v>
      </c>
    </row>
    <row r="558" spans="1:4" x14ac:dyDescent="0.25">
      <c r="A558" t="s">
        <v>1969</v>
      </c>
      <c r="B558" t="s">
        <v>1331</v>
      </c>
      <c r="C558" t="s">
        <v>297</v>
      </c>
      <c r="D558">
        <v>189.6</v>
      </c>
    </row>
    <row r="559" spans="1:4" x14ac:dyDescent="0.25">
      <c r="A559" t="s">
        <v>1921</v>
      </c>
      <c r="B559" t="s">
        <v>1330</v>
      </c>
      <c r="C559" t="s">
        <v>297</v>
      </c>
      <c r="D559">
        <v>178.2</v>
      </c>
    </row>
    <row r="560" spans="1:4" x14ac:dyDescent="0.25">
      <c r="A560" t="s">
        <v>1962</v>
      </c>
      <c r="B560" t="s">
        <v>1331</v>
      </c>
      <c r="C560" t="s">
        <v>297</v>
      </c>
      <c r="D560">
        <v>20.100000000000001</v>
      </c>
    </row>
    <row r="561" spans="1:4" x14ac:dyDescent="0.25">
      <c r="A561" t="s">
        <v>1909</v>
      </c>
      <c r="B561" t="s">
        <v>1335</v>
      </c>
      <c r="C561" t="s">
        <v>297</v>
      </c>
      <c r="D561">
        <v>2</v>
      </c>
    </row>
    <row r="562" spans="1:4" x14ac:dyDescent="0.25">
      <c r="A562" t="s">
        <v>1974</v>
      </c>
      <c r="B562" t="s">
        <v>1330</v>
      </c>
      <c r="C562" t="s">
        <v>297</v>
      </c>
      <c r="D562">
        <v>30.95</v>
      </c>
    </row>
    <row r="563" spans="1:4" x14ac:dyDescent="0.25">
      <c r="A563" t="s">
        <v>1990</v>
      </c>
      <c r="B563" t="s">
        <v>1331</v>
      </c>
      <c r="C563" t="s">
        <v>297</v>
      </c>
      <c r="D563">
        <v>14.7</v>
      </c>
    </row>
    <row r="564" spans="1:4" x14ac:dyDescent="0.25">
      <c r="A564" t="s">
        <v>1913</v>
      </c>
      <c r="B564" t="s">
        <v>1335</v>
      </c>
      <c r="C564" t="s">
        <v>303</v>
      </c>
      <c r="D564">
        <v>3.85</v>
      </c>
    </row>
    <row r="565" spans="1:4" x14ac:dyDescent="0.25">
      <c r="A565" t="s">
        <v>1974</v>
      </c>
      <c r="B565" t="s">
        <v>1330</v>
      </c>
      <c r="C565" t="s">
        <v>303</v>
      </c>
      <c r="D565">
        <v>38.6</v>
      </c>
    </row>
    <row r="566" spans="1:4" x14ac:dyDescent="0.25">
      <c r="A566" t="s">
        <v>1974</v>
      </c>
      <c r="B566" t="s">
        <v>1330</v>
      </c>
      <c r="C566" t="s">
        <v>308</v>
      </c>
      <c r="D566">
        <v>10.65</v>
      </c>
    </row>
    <row r="567" spans="1:4" x14ac:dyDescent="0.25">
      <c r="A567" t="s">
        <v>1923</v>
      </c>
      <c r="B567" t="s">
        <v>1331</v>
      </c>
      <c r="C567" t="s">
        <v>312</v>
      </c>
      <c r="D567">
        <v>209</v>
      </c>
    </row>
    <row r="568" spans="1:4" x14ac:dyDescent="0.25">
      <c r="A568" t="s">
        <v>1909</v>
      </c>
      <c r="B568" t="s">
        <v>1335</v>
      </c>
      <c r="C568" t="s">
        <v>312</v>
      </c>
      <c r="D568">
        <v>18</v>
      </c>
    </row>
    <row r="569" spans="1:4" x14ac:dyDescent="0.25">
      <c r="A569" t="s">
        <v>1929</v>
      </c>
      <c r="B569" t="s">
        <v>1331</v>
      </c>
      <c r="C569" t="s">
        <v>312</v>
      </c>
      <c r="D569">
        <v>10.5</v>
      </c>
    </row>
    <row r="570" spans="1:4" x14ac:dyDescent="0.25">
      <c r="A570" t="s">
        <v>1963</v>
      </c>
      <c r="B570" t="s">
        <v>1331</v>
      </c>
      <c r="C570" t="s">
        <v>312</v>
      </c>
      <c r="D570">
        <v>15.4</v>
      </c>
    </row>
    <row r="571" spans="1:4" x14ac:dyDescent="0.25">
      <c r="A571" t="s">
        <v>1911</v>
      </c>
      <c r="B571" t="s">
        <v>1335</v>
      </c>
      <c r="C571" t="s">
        <v>312</v>
      </c>
      <c r="D571">
        <v>14.7</v>
      </c>
    </row>
    <row r="572" spans="1:4" x14ac:dyDescent="0.25">
      <c r="A572" t="s">
        <v>1913</v>
      </c>
      <c r="B572" t="s">
        <v>1335</v>
      </c>
      <c r="C572" t="s">
        <v>312</v>
      </c>
      <c r="D572">
        <v>2</v>
      </c>
    </row>
    <row r="573" spans="1:4" x14ac:dyDescent="0.25">
      <c r="A573" t="s">
        <v>1966</v>
      </c>
      <c r="B573" t="s">
        <v>1331</v>
      </c>
      <c r="C573" t="s">
        <v>312</v>
      </c>
      <c r="D573">
        <v>7.7</v>
      </c>
    </row>
    <row r="574" spans="1:4" x14ac:dyDescent="0.25">
      <c r="A574" t="s">
        <v>1925</v>
      </c>
      <c r="B574" t="s">
        <v>1331</v>
      </c>
      <c r="C574" t="s">
        <v>312</v>
      </c>
      <c r="D574">
        <v>2.85</v>
      </c>
    </row>
    <row r="575" spans="1:4" x14ac:dyDescent="0.25">
      <c r="A575" t="s">
        <v>1969</v>
      </c>
      <c r="B575" t="s">
        <v>1331</v>
      </c>
      <c r="C575" t="s">
        <v>312</v>
      </c>
      <c r="D575">
        <v>529.29999999999995</v>
      </c>
    </row>
    <row r="576" spans="1:4" x14ac:dyDescent="0.25">
      <c r="A576" t="s">
        <v>1945</v>
      </c>
      <c r="B576" t="s">
        <v>1331</v>
      </c>
      <c r="C576" t="s">
        <v>312</v>
      </c>
      <c r="D576">
        <v>3</v>
      </c>
    </row>
    <row r="577" spans="1:4" x14ac:dyDescent="0.25">
      <c r="A577" t="s">
        <v>1974</v>
      </c>
      <c r="B577" t="s">
        <v>1330</v>
      </c>
      <c r="C577" t="s">
        <v>312</v>
      </c>
      <c r="D577">
        <v>32.950000000000003</v>
      </c>
    </row>
    <row r="578" spans="1:4" x14ac:dyDescent="0.25">
      <c r="A578" t="s">
        <v>1960</v>
      </c>
      <c r="B578" t="s">
        <v>1331</v>
      </c>
      <c r="C578" t="s">
        <v>312</v>
      </c>
      <c r="D578">
        <v>1</v>
      </c>
    </row>
    <row r="579" spans="1:4" x14ac:dyDescent="0.25">
      <c r="A579" t="s">
        <v>1974</v>
      </c>
      <c r="B579" t="s">
        <v>1330</v>
      </c>
      <c r="C579" t="s">
        <v>315</v>
      </c>
      <c r="D579">
        <v>18.649999999999999</v>
      </c>
    </row>
    <row r="580" spans="1:4" x14ac:dyDescent="0.25">
      <c r="A580" t="s">
        <v>1907</v>
      </c>
      <c r="B580" t="s">
        <v>1335</v>
      </c>
      <c r="C580" t="s">
        <v>319</v>
      </c>
      <c r="D580">
        <v>8.4</v>
      </c>
    </row>
    <row r="581" spans="1:4" x14ac:dyDescent="0.25">
      <c r="A581" t="s">
        <v>1974</v>
      </c>
      <c r="B581" t="s">
        <v>1330</v>
      </c>
      <c r="C581" t="s">
        <v>324</v>
      </c>
      <c r="D581">
        <v>47.25</v>
      </c>
    </row>
    <row r="582" spans="1:4" x14ac:dyDescent="0.25">
      <c r="A582" t="s">
        <v>1979</v>
      </c>
      <c r="B582" t="s">
        <v>1331</v>
      </c>
      <c r="C582" t="s">
        <v>324</v>
      </c>
      <c r="D582">
        <v>159</v>
      </c>
    </row>
    <row r="583" spans="1:4" x14ac:dyDescent="0.25">
      <c r="A583" t="s">
        <v>1920</v>
      </c>
      <c r="B583" t="s">
        <v>1331</v>
      </c>
      <c r="C583" t="s">
        <v>324</v>
      </c>
      <c r="D583">
        <v>230.5</v>
      </c>
    </row>
    <row r="584" spans="1:4" x14ac:dyDescent="0.25">
      <c r="A584" t="s">
        <v>1990</v>
      </c>
      <c r="B584" t="s">
        <v>1331</v>
      </c>
      <c r="C584" t="s">
        <v>324</v>
      </c>
      <c r="D584">
        <v>59.6</v>
      </c>
    </row>
    <row r="585" spans="1:4" x14ac:dyDescent="0.25">
      <c r="A585" t="s">
        <v>1966</v>
      </c>
      <c r="B585" t="s">
        <v>1331</v>
      </c>
      <c r="C585" t="s">
        <v>324</v>
      </c>
      <c r="D585">
        <v>69.3</v>
      </c>
    </row>
    <row r="586" spans="1:4" x14ac:dyDescent="0.25">
      <c r="A586" t="s">
        <v>1962</v>
      </c>
      <c r="B586" t="s">
        <v>1331</v>
      </c>
      <c r="C586" t="s">
        <v>324</v>
      </c>
      <c r="D586">
        <v>13.4</v>
      </c>
    </row>
    <row r="587" spans="1:4" x14ac:dyDescent="0.25">
      <c r="A587" t="s">
        <v>1921</v>
      </c>
      <c r="B587" t="s">
        <v>1330</v>
      </c>
      <c r="C587" t="s">
        <v>324</v>
      </c>
      <c r="D587">
        <v>14.4</v>
      </c>
    </row>
    <row r="588" spans="1:4" x14ac:dyDescent="0.25">
      <c r="A588" t="s">
        <v>1909</v>
      </c>
      <c r="B588" t="s">
        <v>1335</v>
      </c>
      <c r="C588" t="s">
        <v>324</v>
      </c>
      <c r="D588">
        <v>8.5</v>
      </c>
    </row>
    <row r="589" spans="1:4" x14ac:dyDescent="0.25">
      <c r="A589" t="s">
        <v>1965</v>
      </c>
      <c r="B589" t="s">
        <v>1331</v>
      </c>
      <c r="C589" t="s">
        <v>324</v>
      </c>
      <c r="D589">
        <v>7.7</v>
      </c>
    </row>
    <row r="590" spans="1:4" x14ac:dyDescent="0.25">
      <c r="A590" t="s">
        <v>1972</v>
      </c>
      <c r="B590" t="s">
        <v>1334</v>
      </c>
      <c r="C590" t="s">
        <v>324</v>
      </c>
      <c r="D590">
        <v>4</v>
      </c>
    </row>
    <row r="591" spans="1:4" x14ac:dyDescent="0.25">
      <c r="A591" t="s">
        <v>1950</v>
      </c>
      <c r="B591" t="s">
        <v>1331</v>
      </c>
      <c r="C591" t="s">
        <v>324</v>
      </c>
      <c r="D591">
        <v>27.1</v>
      </c>
    </row>
    <row r="592" spans="1:4" x14ac:dyDescent="0.25">
      <c r="A592" t="s">
        <v>1990</v>
      </c>
      <c r="B592" t="s">
        <v>1334</v>
      </c>
      <c r="C592" t="s">
        <v>324</v>
      </c>
      <c r="D592">
        <v>64.3</v>
      </c>
    </row>
    <row r="593" spans="1:4" x14ac:dyDescent="0.25">
      <c r="A593" t="s">
        <v>1971</v>
      </c>
      <c r="B593" t="s">
        <v>1330</v>
      </c>
      <c r="C593" t="s">
        <v>324</v>
      </c>
      <c r="D593">
        <v>1</v>
      </c>
    </row>
    <row r="594" spans="1:4" x14ac:dyDescent="0.25">
      <c r="A594" t="s">
        <v>1923</v>
      </c>
      <c r="B594" t="s">
        <v>1331</v>
      </c>
      <c r="C594" t="s">
        <v>324</v>
      </c>
      <c r="D594">
        <v>417.3</v>
      </c>
    </row>
    <row r="595" spans="1:4" x14ac:dyDescent="0.25">
      <c r="A595" t="s">
        <v>1969</v>
      </c>
      <c r="B595" t="s">
        <v>1331</v>
      </c>
      <c r="C595" t="s">
        <v>324</v>
      </c>
      <c r="D595">
        <v>643.75</v>
      </c>
    </row>
    <row r="596" spans="1:4" x14ac:dyDescent="0.25">
      <c r="A596" t="s">
        <v>1992</v>
      </c>
      <c r="B596" t="s">
        <v>1335</v>
      </c>
      <c r="C596" t="s">
        <v>324</v>
      </c>
      <c r="D596">
        <v>42.3</v>
      </c>
    </row>
    <row r="597" spans="1:4" x14ac:dyDescent="0.25">
      <c r="A597" t="s">
        <v>1974</v>
      </c>
      <c r="B597" t="s">
        <v>1330</v>
      </c>
      <c r="C597" t="s">
        <v>331</v>
      </c>
      <c r="D597">
        <v>26.95</v>
      </c>
    </row>
    <row r="598" spans="1:4" x14ac:dyDescent="0.25">
      <c r="A598" t="s">
        <v>1965</v>
      </c>
      <c r="B598" t="s">
        <v>1331</v>
      </c>
      <c r="C598" t="s">
        <v>331</v>
      </c>
      <c r="D598">
        <v>61.9</v>
      </c>
    </row>
    <row r="599" spans="1:4" x14ac:dyDescent="0.25">
      <c r="A599" t="s">
        <v>1980</v>
      </c>
      <c r="B599" t="s">
        <v>1331</v>
      </c>
      <c r="C599" t="s">
        <v>331</v>
      </c>
      <c r="D599">
        <v>2</v>
      </c>
    </row>
    <row r="600" spans="1:4" x14ac:dyDescent="0.25">
      <c r="A600" t="s">
        <v>1962</v>
      </c>
      <c r="B600" t="s">
        <v>1331</v>
      </c>
      <c r="C600" t="s">
        <v>331</v>
      </c>
      <c r="D600">
        <v>167.9</v>
      </c>
    </row>
    <row r="601" spans="1:4" x14ac:dyDescent="0.25">
      <c r="A601" t="s">
        <v>1921</v>
      </c>
      <c r="B601" t="s">
        <v>1330</v>
      </c>
      <c r="C601" t="s">
        <v>331</v>
      </c>
      <c r="D601">
        <v>97.8</v>
      </c>
    </row>
    <row r="602" spans="1:4" x14ac:dyDescent="0.25">
      <c r="A602" t="s">
        <v>1973</v>
      </c>
      <c r="B602" t="s">
        <v>1331</v>
      </c>
      <c r="C602" t="s">
        <v>335</v>
      </c>
      <c r="D602">
        <v>7.7</v>
      </c>
    </row>
    <row r="603" spans="1:4" x14ac:dyDescent="0.25">
      <c r="A603" t="s">
        <v>1966</v>
      </c>
      <c r="B603" t="s">
        <v>1331</v>
      </c>
      <c r="C603" t="s">
        <v>335</v>
      </c>
      <c r="D603">
        <v>904.75</v>
      </c>
    </row>
    <row r="604" spans="1:4" x14ac:dyDescent="0.25">
      <c r="A604" t="s">
        <v>1960</v>
      </c>
      <c r="B604" t="s">
        <v>1331</v>
      </c>
      <c r="C604" t="s">
        <v>335</v>
      </c>
      <c r="D604">
        <v>4.0999999999999996</v>
      </c>
    </row>
    <row r="605" spans="1:4" x14ac:dyDescent="0.25">
      <c r="A605" t="s">
        <v>1913</v>
      </c>
      <c r="B605" t="s">
        <v>1335</v>
      </c>
      <c r="C605" t="s">
        <v>335</v>
      </c>
      <c r="D605">
        <v>14.55</v>
      </c>
    </row>
    <row r="606" spans="1:4" x14ac:dyDescent="0.25">
      <c r="A606" t="s">
        <v>1950</v>
      </c>
      <c r="B606" t="s">
        <v>1331</v>
      </c>
      <c r="C606" t="s">
        <v>335</v>
      </c>
      <c r="D606">
        <v>5.85</v>
      </c>
    </row>
    <row r="607" spans="1:4" x14ac:dyDescent="0.25">
      <c r="A607" t="s">
        <v>1990</v>
      </c>
      <c r="B607" t="s">
        <v>1331</v>
      </c>
      <c r="C607" t="s">
        <v>335</v>
      </c>
      <c r="D607">
        <v>34.799999999999997</v>
      </c>
    </row>
    <row r="608" spans="1:4" x14ac:dyDescent="0.25">
      <c r="A608" t="s">
        <v>1920</v>
      </c>
      <c r="B608" t="s">
        <v>1331</v>
      </c>
      <c r="C608" t="s">
        <v>335</v>
      </c>
      <c r="D608">
        <v>59</v>
      </c>
    </row>
    <row r="609" spans="1:4" x14ac:dyDescent="0.25">
      <c r="A609" t="s">
        <v>1968</v>
      </c>
      <c r="B609" t="s">
        <v>1330</v>
      </c>
      <c r="C609" t="s">
        <v>335</v>
      </c>
      <c r="D609">
        <v>4</v>
      </c>
    </row>
    <row r="610" spans="1:4" x14ac:dyDescent="0.25">
      <c r="A610" t="s">
        <v>1909</v>
      </c>
      <c r="B610" t="s">
        <v>1335</v>
      </c>
      <c r="C610" t="s">
        <v>335</v>
      </c>
      <c r="D610">
        <v>12.7</v>
      </c>
    </row>
    <row r="611" spans="1:4" x14ac:dyDescent="0.25">
      <c r="A611" t="s">
        <v>1911</v>
      </c>
      <c r="B611" t="s">
        <v>1335</v>
      </c>
      <c r="C611" t="s">
        <v>335</v>
      </c>
      <c r="D611">
        <v>12.7</v>
      </c>
    </row>
    <row r="612" spans="1:4" x14ac:dyDescent="0.25">
      <c r="A612" t="s">
        <v>1974</v>
      </c>
      <c r="B612" t="s">
        <v>1330</v>
      </c>
      <c r="C612" t="s">
        <v>335</v>
      </c>
      <c r="D612">
        <v>25.4</v>
      </c>
    </row>
    <row r="613" spans="1:4" x14ac:dyDescent="0.25">
      <c r="A613" t="s">
        <v>1974</v>
      </c>
      <c r="B613" t="s">
        <v>1330</v>
      </c>
      <c r="C613" t="s">
        <v>339</v>
      </c>
      <c r="D613">
        <v>110.95</v>
      </c>
    </row>
    <row r="614" spans="1:4" x14ac:dyDescent="0.25">
      <c r="A614" t="s">
        <v>1911</v>
      </c>
      <c r="B614" t="s">
        <v>1335</v>
      </c>
      <c r="C614" t="s">
        <v>339</v>
      </c>
      <c r="D614">
        <v>3.85</v>
      </c>
    </row>
    <row r="615" spans="1:4" x14ac:dyDescent="0.25">
      <c r="A615" t="s">
        <v>1993</v>
      </c>
      <c r="B615" t="s">
        <v>1335</v>
      </c>
      <c r="C615" t="s">
        <v>339</v>
      </c>
      <c r="D615">
        <v>6.5</v>
      </c>
    </row>
    <row r="616" spans="1:4" x14ac:dyDescent="0.25">
      <c r="A616" t="s">
        <v>1909</v>
      </c>
      <c r="B616" t="s">
        <v>1335</v>
      </c>
      <c r="C616" t="s">
        <v>339</v>
      </c>
      <c r="D616">
        <v>13.3</v>
      </c>
    </row>
    <row r="617" spans="1:4" x14ac:dyDescent="0.25">
      <c r="A617" t="s">
        <v>1916</v>
      </c>
      <c r="B617" t="s">
        <v>1335</v>
      </c>
      <c r="C617" t="s">
        <v>339</v>
      </c>
      <c r="D617">
        <v>290.39999999999998</v>
      </c>
    </row>
    <row r="618" spans="1:4" x14ac:dyDescent="0.25">
      <c r="A618" t="s">
        <v>1950</v>
      </c>
      <c r="B618" t="s">
        <v>1331</v>
      </c>
      <c r="C618" t="s">
        <v>339</v>
      </c>
      <c r="D618">
        <v>2</v>
      </c>
    </row>
    <row r="619" spans="1:4" x14ac:dyDescent="0.25">
      <c r="A619" t="s">
        <v>1956</v>
      </c>
      <c r="B619" t="s">
        <v>1335</v>
      </c>
      <c r="C619" t="s">
        <v>339</v>
      </c>
      <c r="D619">
        <v>30.8</v>
      </c>
    </row>
    <row r="620" spans="1:4" x14ac:dyDescent="0.25">
      <c r="A620" t="s">
        <v>1955</v>
      </c>
      <c r="B620" t="s">
        <v>1335</v>
      </c>
      <c r="C620" t="s">
        <v>339</v>
      </c>
      <c r="D620">
        <v>11.55</v>
      </c>
    </row>
    <row r="621" spans="1:4" x14ac:dyDescent="0.25">
      <c r="A621" t="s">
        <v>1987</v>
      </c>
      <c r="B621" t="s">
        <v>1331</v>
      </c>
      <c r="C621" t="s">
        <v>347</v>
      </c>
      <c r="D621">
        <v>6</v>
      </c>
    </row>
    <row r="622" spans="1:4" x14ac:dyDescent="0.25">
      <c r="A622" t="s">
        <v>1990</v>
      </c>
      <c r="B622" t="s">
        <v>1334</v>
      </c>
      <c r="C622" t="s">
        <v>347</v>
      </c>
      <c r="D622">
        <v>72.599999999999994</v>
      </c>
    </row>
    <row r="623" spans="1:4" x14ac:dyDescent="0.25">
      <c r="A623" t="s">
        <v>1994</v>
      </c>
      <c r="B623" t="s">
        <v>1331</v>
      </c>
      <c r="C623" t="s">
        <v>347</v>
      </c>
      <c r="D623">
        <v>482.4</v>
      </c>
    </row>
    <row r="624" spans="1:4" x14ac:dyDescent="0.25">
      <c r="A624" t="s">
        <v>1945</v>
      </c>
      <c r="B624" t="s">
        <v>1331</v>
      </c>
      <c r="C624" t="s">
        <v>347</v>
      </c>
      <c r="D624">
        <v>20.7</v>
      </c>
    </row>
    <row r="625" spans="1:4" x14ac:dyDescent="0.25">
      <c r="A625" t="s">
        <v>1986</v>
      </c>
      <c r="B625" t="s">
        <v>1331</v>
      </c>
      <c r="C625" t="s">
        <v>347</v>
      </c>
      <c r="D625">
        <v>233.4</v>
      </c>
    </row>
    <row r="626" spans="1:4" x14ac:dyDescent="0.25">
      <c r="A626" t="s">
        <v>1935</v>
      </c>
      <c r="B626" t="s">
        <v>1331</v>
      </c>
      <c r="C626" t="s">
        <v>347</v>
      </c>
      <c r="D626">
        <v>39.15</v>
      </c>
    </row>
    <row r="627" spans="1:4" x14ac:dyDescent="0.25">
      <c r="A627" t="s">
        <v>1920</v>
      </c>
      <c r="B627" t="s">
        <v>1331</v>
      </c>
      <c r="C627" t="s">
        <v>347</v>
      </c>
      <c r="D627">
        <v>31</v>
      </c>
    </row>
    <row r="628" spans="1:4" x14ac:dyDescent="0.25">
      <c r="A628" t="s">
        <v>1913</v>
      </c>
      <c r="B628" t="s">
        <v>1335</v>
      </c>
      <c r="C628" t="s">
        <v>347</v>
      </c>
      <c r="D628">
        <v>7.85</v>
      </c>
    </row>
    <row r="629" spans="1:4" x14ac:dyDescent="0.25">
      <c r="A629" t="s">
        <v>1974</v>
      </c>
      <c r="B629" t="s">
        <v>1330</v>
      </c>
      <c r="C629" t="s">
        <v>347</v>
      </c>
      <c r="D629">
        <v>62.35</v>
      </c>
    </row>
    <row r="630" spans="1:4" x14ac:dyDescent="0.25">
      <c r="A630" t="s">
        <v>1950</v>
      </c>
      <c r="B630" t="s">
        <v>1331</v>
      </c>
      <c r="C630" t="s">
        <v>347</v>
      </c>
      <c r="D630">
        <v>51.9</v>
      </c>
    </row>
    <row r="631" spans="1:4" x14ac:dyDescent="0.25">
      <c r="A631" t="s">
        <v>1990</v>
      </c>
      <c r="B631" t="s">
        <v>1331</v>
      </c>
      <c r="C631" t="s">
        <v>347</v>
      </c>
      <c r="D631">
        <v>267.2</v>
      </c>
    </row>
    <row r="632" spans="1:4" x14ac:dyDescent="0.25">
      <c r="A632" t="s">
        <v>1965</v>
      </c>
      <c r="B632" t="s">
        <v>1331</v>
      </c>
      <c r="C632" t="s">
        <v>347</v>
      </c>
      <c r="D632">
        <v>1081.75</v>
      </c>
    </row>
    <row r="633" spans="1:4" x14ac:dyDescent="0.25">
      <c r="A633" t="s">
        <v>1989</v>
      </c>
      <c r="B633" t="s">
        <v>1331</v>
      </c>
      <c r="C633" t="s">
        <v>347</v>
      </c>
      <c r="D633">
        <v>4</v>
      </c>
    </row>
    <row r="634" spans="1:4" x14ac:dyDescent="0.25">
      <c r="A634" t="s">
        <v>1995</v>
      </c>
      <c r="B634" t="s">
        <v>1330</v>
      </c>
      <c r="C634" t="s">
        <v>347</v>
      </c>
      <c r="D634">
        <v>2</v>
      </c>
    </row>
    <row r="635" spans="1:4" x14ac:dyDescent="0.25">
      <c r="A635" t="s">
        <v>1963</v>
      </c>
      <c r="B635" t="s">
        <v>1331</v>
      </c>
      <c r="C635" t="s">
        <v>350</v>
      </c>
      <c r="D635">
        <v>7.7</v>
      </c>
    </row>
    <row r="636" spans="1:4" x14ac:dyDescent="0.25">
      <c r="A636" t="s">
        <v>1921</v>
      </c>
      <c r="B636" t="s">
        <v>1330</v>
      </c>
      <c r="C636" t="s">
        <v>350</v>
      </c>
      <c r="D636">
        <v>95.8</v>
      </c>
    </row>
    <row r="637" spans="1:4" x14ac:dyDescent="0.25">
      <c r="A637" t="s">
        <v>1973</v>
      </c>
      <c r="B637" t="s">
        <v>1331</v>
      </c>
      <c r="C637" t="s">
        <v>350</v>
      </c>
      <c r="D637">
        <v>13.7</v>
      </c>
    </row>
    <row r="638" spans="1:4" x14ac:dyDescent="0.25">
      <c r="A638" t="s">
        <v>1958</v>
      </c>
      <c r="B638" t="s">
        <v>1335</v>
      </c>
      <c r="C638" t="s">
        <v>350</v>
      </c>
      <c r="D638">
        <v>12.4</v>
      </c>
    </row>
    <row r="639" spans="1:4" x14ac:dyDescent="0.25">
      <c r="A639" t="s">
        <v>1996</v>
      </c>
      <c r="B639" t="s">
        <v>1335</v>
      </c>
      <c r="C639" t="s">
        <v>350</v>
      </c>
      <c r="D639">
        <v>40.6</v>
      </c>
    </row>
    <row r="640" spans="1:4" x14ac:dyDescent="0.25">
      <c r="A640" t="s">
        <v>1969</v>
      </c>
      <c r="B640" t="s">
        <v>1331</v>
      </c>
      <c r="C640" t="s">
        <v>350</v>
      </c>
      <c r="D640">
        <v>163.65</v>
      </c>
    </row>
    <row r="641" spans="1:4" x14ac:dyDescent="0.25">
      <c r="A641" t="s">
        <v>1950</v>
      </c>
      <c r="B641" t="s">
        <v>1331</v>
      </c>
      <c r="C641" t="s">
        <v>350</v>
      </c>
      <c r="D641">
        <v>7.4</v>
      </c>
    </row>
    <row r="642" spans="1:4" x14ac:dyDescent="0.25">
      <c r="A642" t="s">
        <v>1929</v>
      </c>
      <c r="B642" t="s">
        <v>1331</v>
      </c>
      <c r="C642" t="s">
        <v>350</v>
      </c>
      <c r="D642">
        <v>3</v>
      </c>
    </row>
    <row r="643" spans="1:4" x14ac:dyDescent="0.25">
      <c r="A643" t="s">
        <v>1958</v>
      </c>
      <c r="B643" t="s">
        <v>1331</v>
      </c>
      <c r="C643" t="s">
        <v>350</v>
      </c>
      <c r="D643">
        <v>6.7</v>
      </c>
    </row>
    <row r="644" spans="1:4" x14ac:dyDescent="0.25">
      <c r="A644" t="s">
        <v>1974</v>
      </c>
      <c r="B644" t="s">
        <v>1330</v>
      </c>
      <c r="C644" t="s">
        <v>350</v>
      </c>
      <c r="D644">
        <v>36.4</v>
      </c>
    </row>
    <row r="645" spans="1:4" x14ac:dyDescent="0.25">
      <c r="A645" t="s">
        <v>1958</v>
      </c>
      <c r="B645" t="s">
        <v>1330</v>
      </c>
      <c r="C645" t="s">
        <v>350</v>
      </c>
      <c r="D645">
        <v>0</v>
      </c>
    </row>
    <row r="646" spans="1:4" x14ac:dyDescent="0.25">
      <c r="A646" t="s">
        <v>1960</v>
      </c>
      <c r="B646" t="s">
        <v>1333</v>
      </c>
      <c r="C646" t="s">
        <v>350</v>
      </c>
      <c r="D646">
        <v>16.100000000000001</v>
      </c>
    </row>
    <row r="647" spans="1:4" x14ac:dyDescent="0.25">
      <c r="A647" t="s">
        <v>1980</v>
      </c>
      <c r="B647" t="s">
        <v>1331</v>
      </c>
      <c r="C647" t="s">
        <v>350</v>
      </c>
      <c r="D647">
        <v>7.7</v>
      </c>
    </row>
    <row r="648" spans="1:4" x14ac:dyDescent="0.25">
      <c r="A648" t="s">
        <v>1960</v>
      </c>
      <c r="B648" t="s">
        <v>1331</v>
      </c>
      <c r="C648" t="s">
        <v>350</v>
      </c>
      <c r="D648">
        <v>620.85</v>
      </c>
    </row>
    <row r="649" spans="1:4" x14ac:dyDescent="0.25">
      <c r="A649" t="s">
        <v>1990</v>
      </c>
      <c r="B649" t="s">
        <v>1331</v>
      </c>
      <c r="C649" t="s">
        <v>350</v>
      </c>
      <c r="D649">
        <v>67.5</v>
      </c>
    </row>
    <row r="650" spans="1:4" x14ac:dyDescent="0.25">
      <c r="A650" t="s">
        <v>1923</v>
      </c>
      <c r="B650" t="s">
        <v>1331</v>
      </c>
      <c r="C650" t="s">
        <v>350</v>
      </c>
      <c r="D650">
        <v>5</v>
      </c>
    </row>
    <row r="651" spans="1:4" x14ac:dyDescent="0.25">
      <c r="A651" t="s">
        <v>1909</v>
      </c>
      <c r="B651" t="s">
        <v>1335</v>
      </c>
      <c r="C651" t="s">
        <v>354</v>
      </c>
      <c r="D651">
        <v>6.2</v>
      </c>
    </row>
    <row r="652" spans="1:4" x14ac:dyDescent="0.25">
      <c r="A652" t="s">
        <v>1974</v>
      </c>
      <c r="B652" t="s">
        <v>1330</v>
      </c>
      <c r="C652" t="s">
        <v>354</v>
      </c>
      <c r="D652">
        <v>14.65</v>
      </c>
    </row>
    <row r="653" spans="1:4" x14ac:dyDescent="0.25">
      <c r="A653" t="s">
        <v>1974</v>
      </c>
      <c r="B653" t="s">
        <v>1330</v>
      </c>
      <c r="C653" t="s">
        <v>356</v>
      </c>
      <c r="D653">
        <v>14.2</v>
      </c>
    </row>
    <row r="654" spans="1:4" x14ac:dyDescent="0.25">
      <c r="A654" t="s">
        <v>1974</v>
      </c>
      <c r="B654" t="s">
        <v>1330</v>
      </c>
      <c r="C654" t="s">
        <v>359</v>
      </c>
      <c r="D654">
        <v>7.55</v>
      </c>
    </row>
    <row r="655" spans="1:4" x14ac:dyDescent="0.25">
      <c r="A655" t="s">
        <v>1974</v>
      </c>
      <c r="B655" t="s">
        <v>1330</v>
      </c>
      <c r="C655" t="s">
        <v>361</v>
      </c>
      <c r="D655">
        <v>2</v>
      </c>
    </row>
    <row r="656" spans="1:4" x14ac:dyDescent="0.25">
      <c r="A656" t="s">
        <v>1920</v>
      </c>
      <c r="B656" t="s">
        <v>1331</v>
      </c>
      <c r="C656" t="s">
        <v>361</v>
      </c>
      <c r="D656">
        <v>13</v>
      </c>
    </row>
    <row r="657" spans="1:4" x14ac:dyDescent="0.25">
      <c r="A657" t="s">
        <v>1929</v>
      </c>
      <c r="B657" t="s">
        <v>1331</v>
      </c>
      <c r="C657" t="s">
        <v>366</v>
      </c>
      <c r="D657">
        <v>211</v>
      </c>
    </row>
    <row r="658" spans="1:4" x14ac:dyDescent="0.25">
      <c r="A658" t="s">
        <v>1958</v>
      </c>
      <c r="B658" t="s">
        <v>1330</v>
      </c>
      <c r="C658" t="s">
        <v>366</v>
      </c>
      <c r="D658">
        <v>1</v>
      </c>
    </row>
    <row r="659" spans="1:4" x14ac:dyDescent="0.25">
      <c r="A659" t="s">
        <v>1960</v>
      </c>
      <c r="B659" t="s">
        <v>1331</v>
      </c>
      <c r="C659" t="s">
        <v>366</v>
      </c>
      <c r="D659">
        <v>8.1</v>
      </c>
    </row>
    <row r="660" spans="1:4" x14ac:dyDescent="0.25">
      <c r="A660" t="s">
        <v>1974</v>
      </c>
      <c r="B660" t="s">
        <v>1330</v>
      </c>
      <c r="C660" t="s">
        <v>366</v>
      </c>
      <c r="D660">
        <v>5.55</v>
      </c>
    </row>
    <row r="661" spans="1:4" x14ac:dyDescent="0.25">
      <c r="A661" t="s">
        <v>1974</v>
      </c>
      <c r="B661" t="s">
        <v>1330</v>
      </c>
      <c r="C661" t="s">
        <v>369</v>
      </c>
      <c r="D661">
        <v>24.85</v>
      </c>
    </row>
    <row r="662" spans="1:4" x14ac:dyDescent="0.25">
      <c r="A662" t="s">
        <v>1997</v>
      </c>
      <c r="B662" t="s">
        <v>1331</v>
      </c>
      <c r="C662" t="s">
        <v>372</v>
      </c>
      <c r="D662">
        <v>409.4</v>
      </c>
    </row>
    <row r="663" spans="1:4" x14ac:dyDescent="0.25">
      <c r="A663" t="s">
        <v>1974</v>
      </c>
      <c r="B663" t="s">
        <v>1333</v>
      </c>
      <c r="C663" t="s">
        <v>372</v>
      </c>
      <c r="D663">
        <v>7.7</v>
      </c>
    </row>
    <row r="664" spans="1:4" x14ac:dyDescent="0.25">
      <c r="A664" t="s">
        <v>1980</v>
      </c>
      <c r="B664" t="s">
        <v>1331</v>
      </c>
      <c r="C664" t="s">
        <v>372</v>
      </c>
      <c r="D664">
        <v>259.60000000000002</v>
      </c>
    </row>
    <row r="665" spans="1:4" x14ac:dyDescent="0.25">
      <c r="A665" t="s">
        <v>1990</v>
      </c>
      <c r="B665" t="s">
        <v>1331</v>
      </c>
      <c r="C665" t="s">
        <v>372</v>
      </c>
      <c r="D665">
        <v>271.25</v>
      </c>
    </row>
    <row r="666" spans="1:4" x14ac:dyDescent="0.25">
      <c r="A666" t="s">
        <v>1911</v>
      </c>
      <c r="B666" t="s">
        <v>1335</v>
      </c>
      <c r="C666" t="s">
        <v>372</v>
      </c>
      <c r="D666">
        <v>15.4</v>
      </c>
    </row>
    <row r="667" spans="1:4" x14ac:dyDescent="0.25">
      <c r="A667" t="s">
        <v>1998</v>
      </c>
      <c r="B667" t="s">
        <v>1331</v>
      </c>
      <c r="C667" t="s">
        <v>372</v>
      </c>
      <c r="D667">
        <v>53.9</v>
      </c>
    </row>
    <row r="668" spans="1:4" x14ac:dyDescent="0.25">
      <c r="A668" t="s">
        <v>1960</v>
      </c>
      <c r="B668" t="s">
        <v>1331</v>
      </c>
      <c r="C668" t="s">
        <v>372</v>
      </c>
      <c r="D668">
        <v>24.2</v>
      </c>
    </row>
    <row r="669" spans="1:4" x14ac:dyDescent="0.25">
      <c r="A669" t="s">
        <v>1935</v>
      </c>
      <c r="B669" t="s">
        <v>1331</v>
      </c>
      <c r="C669" t="s">
        <v>372</v>
      </c>
      <c r="D669">
        <v>14</v>
      </c>
    </row>
    <row r="670" spans="1:4" x14ac:dyDescent="0.25">
      <c r="A670" t="s">
        <v>1907</v>
      </c>
      <c r="B670" t="s">
        <v>1335</v>
      </c>
      <c r="C670" t="s">
        <v>372</v>
      </c>
      <c r="D670">
        <v>3</v>
      </c>
    </row>
    <row r="671" spans="1:4" x14ac:dyDescent="0.25">
      <c r="A671" t="s">
        <v>1920</v>
      </c>
      <c r="B671" t="s">
        <v>1331</v>
      </c>
      <c r="C671" t="s">
        <v>372</v>
      </c>
      <c r="D671">
        <v>14.5</v>
      </c>
    </row>
    <row r="672" spans="1:4" x14ac:dyDescent="0.25">
      <c r="A672" t="s">
        <v>1995</v>
      </c>
      <c r="B672" t="s">
        <v>1330</v>
      </c>
      <c r="C672" t="s">
        <v>372</v>
      </c>
      <c r="D672">
        <v>24.4</v>
      </c>
    </row>
    <row r="673" spans="1:4" x14ac:dyDescent="0.25">
      <c r="A673" t="s">
        <v>1974</v>
      </c>
      <c r="B673" t="s">
        <v>1330</v>
      </c>
      <c r="C673" t="s">
        <v>372</v>
      </c>
      <c r="D673">
        <v>18.2</v>
      </c>
    </row>
    <row r="674" spans="1:4" x14ac:dyDescent="0.25">
      <c r="A674" t="s">
        <v>1909</v>
      </c>
      <c r="B674" t="s">
        <v>1335</v>
      </c>
      <c r="C674" t="s">
        <v>372</v>
      </c>
      <c r="D674">
        <v>0.7</v>
      </c>
    </row>
    <row r="675" spans="1:4" x14ac:dyDescent="0.25">
      <c r="A675" t="s">
        <v>1999</v>
      </c>
      <c r="B675" t="s">
        <v>1331</v>
      </c>
      <c r="C675" t="s">
        <v>372</v>
      </c>
      <c r="D675">
        <v>653.35</v>
      </c>
    </row>
    <row r="676" spans="1:4" x14ac:dyDescent="0.25">
      <c r="A676" t="s">
        <v>1929</v>
      </c>
      <c r="B676" t="s">
        <v>1331</v>
      </c>
      <c r="C676" t="s">
        <v>372</v>
      </c>
      <c r="D676">
        <v>12</v>
      </c>
    </row>
    <row r="677" spans="1:4" x14ac:dyDescent="0.25">
      <c r="A677" t="s">
        <v>1995</v>
      </c>
      <c r="B677" t="s">
        <v>1331</v>
      </c>
      <c r="C677" t="s">
        <v>372</v>
      </c>
      <c r="D677">
        <v>15.5</v>
      </c>
    </row>
    <row r="678" spans="1:4" x14ac:dyDescent="0.25">
      <c r="A678" t="s">
        <v>1999</v>
      </c>
      <c r="B678" t="s">
        <v>1333</v>
      </c>
      <c r="C678" t="s">
        <v>372</v>
      </c>
      <c r="D678">
        <v>1.5</v>
      </c>
    </row>
    <row r="679" spans="1:4" x14ac:dyDescent="0.25">
      <c r="A679" t="s">
        <v>1950</v>
      </c>
      <c r="B679" t="s">
        <v>1331</v>
      </c>
      <c r="C679" t="s">
        <v>372</v>
      </c>
      <c r="D679">
        <v>61.9</v>
      </c>
    </row>
    <row r="680" spans="1:4" x14ac:dyDescent="0.25">
      <c r="A680" t="s">
        <v>1913</v>
      </c>
      <c r="B680" t="s">
        <v>1335</v>
      </c>
      <c r="C680" t="s">
        <v>372</v>
      </c>
      <c r="D680">
        <v>11.55</v>
      </c>
    </row>
    <row r="681" spans="1:4" x14ac:dyDescent="0.25">
      <c r="A681" t="s">
        <v>1968</v>
      </c>
      <c r="B681" t="s">
        <v>1330</v>
      </c>
      <c r="C681" t="s">
        <v>380</v>
      </c>
      <c r="D681">
        <v>2</v>
      </c>
    </row>
    <row r="682" spans="1:4" x14ac:dyDescent="0.25">
      <c r="A682" t="s">
        <v>1909</v>
      </c>
      <c r="B682" t="s">
        <v>1335</v>
      </c>
      <c r="C682" t="s">
        <v>380</v>
      </c>
      <c r="D682">
        <v>1.5</v>
      </c>
    </row>
    <row r="683" spans="1:4" x14ac:dyDescent="0.25">
      <c r="A683" t="s">
        <v>1979</v>
      </c>
      <c r="B683" t="s">
        <v>1331</v>
      </c>
      <c r="C683" t="s">
        <v>380</v>
      </c>
      <c r="D683">
        <v>9.6999999999999993</v>
      </c>
    </row>
    <row r="684" spans="1:4" x14ac:dyDescent="0.25">
      <c r="A684" t="s">
        <v>1974</v>
      </c>
      <c r="B684" t="s">
        <v>1330</v>
      </c>
      <c r="C684" t="s">
        <v>380</v>
      </c>
      <c r="D684">
        <v>57.35</v>
      </c>
    </row>
    <row r="685" spans="1:4" x14ac:dyDescent="0.25">
      <c r="A685" t="s">
        <v>1965</v>
      </c>
      <c r="B685" t="s">
        <v>1331</v>
      </c>
      <c r="C685" t="s">
        <v>380</v>
      </c>
      <c r="D685">
        <v>7.7</v>
      </c>
    </row>
    <row r="686" spans="1:4" x14ac:dyDescent="0.25">
      <c r="A686" t="s">
        <v>1979</v>
      </c>
      <c r="B686" t="s">
        <v>1335</v>
      </c>
      <c r="C686" t="s">
        <v>380</v>
      </c>
      <c r="D686">
        <v>467</v>
      </c>
    </row>
    <row r="687" spans="1:4" x14ac:dyDescent="0.25">
      <c r="A687" t="s">
        <v>1965</v>
      </c>
      <c r="B687" t="s">
        <v>1335</v>
      </c>
      <c r="C687" t="s">
        <v>380</v>
      </c>
      <c r="D687">
        <v>111.95</v>
      </c>
    </row>
    <row r="688" spans="1:4" x14ac:dyDescent="0.25">
      <c r="A688" t="s">
        <v>1916</v>
      </c>
      <c r="B688" t="s">
        <v>1335</v>
      </c>
      <c r="C688" t="s">
        <v>380</v>
      </c>
      <c r="D688">
        <v>302.3</v>
      </c>
    </row>
    <row r="689" spans="1:4" x14ac:dyDescent="0.25">
      <c r="A689" t="s">
        <v>1990</v>
      </c>
      <c r="B689" t="s">
        <v>1331</v>
      </c>
      <c r="C689" t="s">
        <v>380</v>
      </c>
      <c r="D689">
        <v>0.7</v>
      </c>
    </row>
    <row r="690" spans="1:4" x14ac:dyDescent="0.25">
      <c r="A690" t="s">
        <v>1968</v>
      </c>
      <c r="B690" t="s">
        <v>1330</v>
      </c>
      <c r="C690" t="s">
        <v>392</v>
      </c>
      <c r="D690">
        <v>2.5</v>
      </c>
    </row>
    <row r="691" spans="1:4" x14ac:dyDescent="0.25">
      <c r="A691" t="s">
        <v>1974</v>
      </c>
      <c r="B691" t="s">
        <v>1330</v>
      </c>
      <c r="C691" t="s">
        <v>392</v>
      </c>
      <c r="D691">
        <v>17.75</v>
      </c>
    </row>
    <row r="692" spans="1:4" x14ac:dyDescent="0.25">
      <c r="A692" t="s">
        <v>1973</v>
      </c>
      <c r="B692" t="s">
        <v>1331</v>
      </c>
      <c r="C692" t="s">
        <v>397</v>
      </c>
      <c r="D692">
        <v>520.5</v>
      </c>
    </row>
    <row r="693" spans="1:4" x14ac:dyDescent="0.25">
      <c r="A693" t="s">
        <v>1929</v>
      </c>
      <c r="B693" t="s">
        <v>1331</v>
      </c>
      <c r="C693" t="s">
        <v>397</v>
      </c>
      <c r="D693">
        <v>218</v>
      </c>
    </row>
    <row r="694" spans="1:4" x14ac:dyDescent="0.25">
      <c r="A694" t="s">
        <v>1990</v>
      </c>
      <c r="B694" t="s">
        <v>1331</v>
      </c>
      <c r="C694" t="s">
        <v>397</v>
      </c>
      <c r="D694">
        <v>28.3</v>
      </c>
    </row>
    <row r="695" spans="1:4" x14ac:dyDescent="0.25">
      <c r="A695" t="s">
        <v>1909</v>
      </c>
      <c r="B695" t="s">
        <v>1335</v>
      </c>
      <c r="C695" t="s">
        <v>397</v>
      </c>
      <c r="D695">
        <v>6.5</v>
      </c>
    </row>
    <row r="696" spans="1:4" x14ac:dyDescent="0.25">
      <c r="A696" t="s">
        <v>1960</v>
      </c>
      <c r="B696" t="s">
        <v>1333</v>
      </c>
      <c r="C696" t="s">
        <v>397</v>
      </c>
      <c r="D696">
        <v>3</v>
      </c>
    </row>
    <row r="697" spans="1:4" x14ac:dyDescent="0.25">
      <c r="A697" t="s">
        <v>1974</v>
      </c>
      <c r="B697" t="s">
        <v>1330</v>
      </c>
      <c r="C697" t="s">
        <v>397</v>
      </c>
      <c r="D697">
        <v>21.85</v>
      </c>
    </row>
    <row r="698" spans="1:4" x14ac:dyDescent="0.25">
      <c r="A698" t="s">
        <v>1950</v>
      </c>
      <c r="B698" t="s">
        <v>1331</v>
      </c>
      <c r="C698" t="s">
        <v>397</v>
      </c>
      <c r="D698">
        <v>3.85</v>
      </c>
    </row>
    <row r="699" spans="1:4" x14ac:dyDescent="0.25">
      <c r="A699" t="s">
        <v>1960</v>
      </c>
      <c r="B699" t="s">
        <v>1331</v>
      </c>
      <c r="C699" t="s">
        <v>397</v>
      </c>
      <c r="D699">
        <v>7</v>
      </c>
    </row>
    <row r="700" spans="1:4" x14ac:dyDescent="0.25">
      <c r="A700" t="s">
        <v>1911</v>
      </c>
      <c r="B700" t="s">
        <v>1335</v>
      </c>
      <c r="C700" t="s">
        <v>397</v>
      </c>
      <c r="D700">
        <v>1</v>
      </c>
    </row>
    <row r="701" spans="1:4" x14ac:dyDescent="0.25">
      <c r="A701" t="s">
        <v>1968</v>
      </c>
      <c r="B701" t="s">
        <v>1330</v>
      </c>
      <c r="C701" t="s">
        <v>397</v>
      </c>
      <c r="D701">
        <v>14</v>
      </c>
    </row>
    <row r="702" spans="1:4" x14ac:dyDescent="0.25">
      <c r="A702" t="s">
        <v>1909</v>
      </c>
      <c r="B702" t="s">
        <v>1335</v>
      </c>
      <c r="C702" t="s">
        <v>402</v>
      </c>
      <c r="D702">
        <v>3.5</v>
      </c>
    </row>
    <row r="703" spans="1:4" x14ac:dyDescent="0.25">
      <c r="A703" t="s">
        <v>1973</v>
      </c>
      <c r="B703" t="s">
        <v>1331</v>
      </c>
      <c r="C703" t="s">
        <v>402</v>
      </c>
      <c r="D703">
        <v>2</v>
      </c>
    </row>
    <row r="704" spans="1:4" x14ac:dyDescent="0.25">
      <c r="A704" t="s">
        <v>1929</v>
      </c>
      <c r="B704" t="s">
        <v>1331</v>
      </c>
      <c r="C704" t="s">
        <v>402</v>
      </c>
      <c r="D704">
        <v>618.15</v>
      </c>
    </row>
    <row r="705" spans="1:4" x14ac:dyDescent="0.25">
      <c r="A705" t="s">
        <v>1990</v>
      </c>
      <c r="B705" t="s">
        <v>1331</v>
      </c>
      <c r="C705" t="s">
        <v>402</v>
      </c>
      <c r="D705">
        <v>7</v>
      </c>
    </row>
    <row r="706" spans="1:4" x14ac:dyDescent="0.25">
      <c r="A706" t="s">
        <v>1974</v>
      </c>
      <c r="B706" t="s">
        <v>1330</v>
      </c>
      <c r="C706" t="s">
        <v>402</v>
      </c>
      <c r="D706">
        <v>24.4</v>
      </c>
    </row>
    <row r="707" spans="1:4" x14ac:dyDescent="0.25">
      <c r="A707" t="s">
        <v>1960</v>
      </c>
      <c r="B707" t="s">
        <v>1331</v>
      </c>
      <c r="C707" t="s">
        <v>402</v>
      </c>
      <c r="D707">
        <v>18.2</v>
      </c>
    </row>
    <row r="708" spans="1:4" x14ac:dyDescent="0.25">
      <c r="A708" t="s">
        <v>1921</v>
      </c>
      <c r="B708" t="s">
        <v>1330</v>
      </c>
      <c r="C708" t="s">
        <v>402</v>
      </c>
      <c r="D708">
        <v>21.1</v>
      </c>
    </row>
    <row r="709" spans="1:4" x14ac:dyDescent="0.25">
      <c r="A709" t="s">
        <v>1950</v>
      </c>
      <c r="B709" t="s">
        <v>1331</v>
      </c>
      <c r="C709" t="s">
        <v>402</v>
      </c>
      <c r="D709">
        <v>19.25</v>
      </c>
    </row>
    <row r="710" spans="1:4" x14ac:dyDescent="0.25">
      <c r="A710" t="s">
        <v>1974</v>
      </c>
      <c r="B710" t="s">
        <v>1330</v>
      </c>
      <c r="C710" t="s">
        <v>406</v>
      </c>
      <c r="D710">
        <v>26.4</v>
      </c>
    </row>
    <row r="711" spans="1:4" x14ac:dyDescent="0.25">
      <c r="A711" t="s">
        <v>1920</v>
      </c>
      <c r="B711" t="s">
        <v>1331</v>
      </c>
      <c r="C711" t="s">
        <v>406</v>
      </c>
      <c r="D711">
        <v>3</v>
      </c>
    </row>
    <row r="712" spans="1:4" x14ac:dyDescent="0.25">
      <c r="A712" t="s">
        <v>1929</v>
      </c>
      <c r="B712" t="s">
        <v>1331</v>
      </c>
      <c r="C712" t="s">
        <v>406</v>
      </c>
      <c r="D712">
        <v>2</v>
      </c>
    </row>
    <row r="713" spans="1:4" x14ac:dyDescent="0.25">
      <c r="A713" t="s">
        <v>1916</v>
      </c>
      <c r="B713" t="s">
        <v>1335</v>
      </c>
      <c r="C713" t="s">
        <v>406</v>
      </c>
      <c r="D713">
        <v>27.8</v>
      </c>
    </row>
    <row r="714" spans="1:4" x14ac:dyDescent="0.25">
      <c r="A714" t="s">
        <v>1965</v>
      </c>
      <c r="B714" t="s">
        <v>1331</v>
      </c>
      <c r="C714" t="s">
        <v>406</v>
      </c>
      <c r="D714">
        <v>127.5</v>
      </c>
    </row>
    <row r="715" spans="1:4" x14ac:dyDescent="0.25">
      <c r="A715" t="s">
        <v>1913</v>
      </c>
      <c r="B715" t="s">
        <v>1335</v>
      </c>
      <c r="C715" t="s">
        <v>406</v>
      </c>
      <c r="D715">
        <v>3.85</v>
      </c>
    </row>
    <row r="716" spans="1:4" x14ac:dyDescent="0.25">
      <c r="A716" t="s">
        <v>2000</v>
      </c>
      <c r="B716" t="s">
        <v>1331</v>
      </c>
      <c r="C716" t="s">
        <v>406</v>
      </c>
      <c r="D716">
        <v>259.8</v>
      </c>
    </row>
    <row r="717" spans="1:4" x14ac:dyDescent="0.25">
      <c r="A717" t="s">
        <v>2000</v>
      </c>
      <c r="B717" t="s">
        <v>1333</v>
      </c>
      <c r="C717" t="s">
        <v>406</v>
      </c>
      <c r="D717">
        <v>4</v>
      </c>
    </row>
    <row r="718" spans="1:4" x14ac:dyDescent="0.25">
      <c r="A718" t="s">
        <v>1973</v>
      </c>
      <c r="B718" t="s">
        <v>1331</v>
      </c>
      <c r="C718" t="s">
        <v>406</v>
      </c>
      <c r="D718">
        <v>4.7</v>
      </c>
    </row>
    <row r="719" spans="1:4" x14ac:dyDescent="0.25">
      <c r="A719" t="s">
        <v>1921</v>
      </c>
      <c r="B719" t="s">
        <v>1330</v>
      </c>
      <c r="C719" t="s">
        <v>406</v>
      </c>
      <c r="D719">
        <v>53.75</v>
      </c>
    </row>
    <row r="720" spans="1:4" x14ac:dyDescent="0.25">
      <c r="A720" t="s">
        <v>1950</v>
      </c>
      <c r="B720" t="s">
        <v>1331</v>
      </c>
      <c r="C720" t="s">
        <v>406</v>
      </c>
      <c r="D720">
        <v>7.7</v>
      </c>
    </row>
    <row r="721" spans="1:4" x14ac:dyDescent="0.25">
      <c r="A721" t="s">
        <v>1923</v>
      </c>
      <c r="B721" t="s">
        <v>1331</v>
      </c>
      <c r="C721" t="s">
        <v>406</v>
      </c>
      <c r="D721">
        <v>8</v>
      </c>
    </row>
    <row r="722" spans="1:4" x14ac:dyDescent="0.25">
      <c r="A722" t="s">
        <v>1990</v>
      </c>
      <c r="B722" t="s">
        <v>1331</v>
      </c>
      <c r="C722" t="s">
        <v>406</v>
      </c>
      <c r="D722">
        <v>14.1</v>
      </c>
    </row>
    <row r="723" spans="1:4" x14ac:dyDescent="0.25">
      <c r="A723" t="s">
        <v>1979</v>
      </c>
      <c r="B723" t="s">
        <v>1331</v>
      </c>
      <c r="C723" t="s">
        <v>411</v>
      </c>
      <c r="D723">
        <v>542.6</v>
      </c>
    </row>
    <row r="724" spans="1:4" x14ac:dyDescent="0.25">
      <c r="A724" t="s">
        <v>1995</v>
      </c>
      <c r="B724" t="s">
        <v>1330</v>
      </c>
      <c r="C724" t="s">
        <v>411</v>
      </c>
      <c r="D724">
        <v>3</v>
      </c>
    </row>
    <row r="725" spans="1:4" x14ac:dyDescent="0.25">
      <c r="A725" t="s">
        <v>1974</v>
      </c>
      <c r="B725" t="s">
        <v>1330</v>
      </c>
      <c r="C725" t="s">
        <v>411</v>
      </c>
      <c r="D725">
        <v>47.7</v>
      </c>
    </row>
    <row r="726" spans="1:4" x14ac:dyDescent="0.25">
      <c r="A726" t="s">
        <v>1972</v>
      </c>
      <c r="B726" t="s">
        <v>1334</v>
      </c>
      <c r="C726" t="s">
        <v>411</v>
      </c>
      <c r="D726">
        <v>1</v>
      </c>
    </row>
    <row r="727" spans="1:4" x14ac:dyDescent="0.25">
      <c r="A727" t="s">
        <v>1923</v>
      </c>
      <c r="B727" t="s">
        <v>1331</v>
      </c>
      <c r="C727" t="s">
        <v>411</v>
      </c>
      <c r="D727">
        <v>57.9</v>
      </c>
    </row>
    <row r="728" spans="1:4" x14ac:dyDescent="0.25">
      <c r="A728" t="s">
        <v>1995</v>
      </c>
      <c r="B728" t="s">
        <v>1331</v>
      </c>
      <c r="C728" t="s">
        <v>411</v>
      </c>
      <c r="D728">
        <v>1</v>
      </c>
    </row>
    <row r="729" spans="1:4" x14ac:dyDescent="0.25">
      <c r="A729" t="s">
        <v>1921</v>
      </c>
      <c r="B729" t="s">
        <v>1330</v>
      </c>
      <c r="C729" t="s">
        <v>417</v>
      </c>
      <c r="D729">
        <v>7.7</v>
      </c>
    </row>
    <row r="730" spans="1:4" x14ac:dyDescent="0.25">
      <c r="A730" t="s">
        <v>1965</v>
      </c>
      <c r="B730" t="s">
        <v>1331</v>
      </c>
      <c r="C730" t="s">
        <v>417</v>
      </c>
      <c r="D730">
        <v>54.2</v>
      </c>
    </row>
    <row r="731" spans="1:4" x14ac:dyDescent="0.25">
      <c r="A731" t="s">
        <v>1973</v>
      </c>
      <c r="B731" t="s">
        <v>1331</v>
      </c>
      <c r="C731" t="s">
        <v>417</v>
      </c>
      <c r="D731">
        <v>7.7</v>
      </c>
    </row>
    <row r="732" spans="1:4" x14ac:dyDescent="0.25">
      <c r="A732" t="s">
        <v>1974</v>
      </c>
      <c r="B732" t="s">
        <v>1330</v>
      </c>
      <c r="C732" t="s">
        <v>417</v>
      </c>
      <c r="D732">
        <v>15.2</v>
      </c>
    </row>
    <row r="733" spans="1:4" x14ac:dyDescent="0.25">
      <c r="A733" t="s">
        <v>1955</v>
      </c>
      <c r="B733" t="s">
        <v>1335</v>
      </c>
      <c r="C733" t="s">
        <v>421</v>
      </c>
      <c r="D733">
        <v>64.55</v>
      </c>
    </row>
    <row r="734" spans="1:4" x14ac:dyDescent="0.25">
      <c r="A734" t="s">
        <v>1980</v>
      </c>
      <c r="B734" t="s">
        <v>1333</v>
      </c>
      <c r="C734" t="s">
        <v>421</v>
      </c>
      <c r="D734">
        <v>7.7</v>
      </c>
    </row>
    <row r="735" spans="1:4" x14ac:dyDescent="0.25">
      <c r="A735" t="s">
        <v>1979</v>
      </c>
      <c r="B735" t="s">
        <v>1331</v>
      </c>
      <c r="C735" t="s">
        <v>421</v>
      </c>
      <c r="D735">
        <v>1</v>
      </c>
    </row>
    <row r="736" spans="1:4" x14ac:dyDescent="0.25">
      <c r="A736" t="s">
        <v>1984</v>
      </c>
      <c r="B736" t="s">
        <v>1331</v>
      </c>
      <c r="C736" t="s">
        <v>421</v>
      </c>
      <c r="D736">
        <v>2.5</v>
      </c>
    </row>
    <row r="737" spans="1:4" x14ac:dyDescent="0.25">
      <c r="A737" t="s">
        <v>1907</v>
      </c>
      <c r="B737" t="s">
        <v>1335</v>
      </c>
      <c r="C737" t="s">
        <v>421</v>
      </c>
      <c r="D737">
        <v>2</v>
      </c>
    </row>
    <row r="738" spans="1:4" x14ac:dyDescent="0.25">
      <c r="A738" t="s">
        <v>1978</v>
      </c>
      <c r="B738" t="s">
        <v>1333</v>
      </c>
      <c r="C738" t="s">
        <v>421</v>
      </c>
      <c r="D738">
        <v>44.2</v>
      </c>
    </row>
    <row r="739" spans="1:4" x14ac:dyDescent="0.25">
      <c r="A739" t="s">
        <v>1909</v>
      </c>
      <c r="B739" t="s">
        <v>1335</v>
      </c>
      <c r="C739" t="s">
        <v>421</v>
      </c>
      <c r="D739">
        <v>4.5</v>
      </c>
    </row>
    <row r="740" spans="1:4" x14ac:dyDescent="0.25">
      <c r="A740" t="s">
        <v>2001</v>
      </c>
      <c r="B740" t="s">
        <v>1333</v>
      </c>
      <c r="C740" t="s">
        <v>421</v>
      </c>
      <c r="D740">
        <v>11.2</v>
      </c>
    </row>
    <row r="741" spans="1:4" x14ac:dyDescent="0.25">
      <c r="A741" t="s">
        <v>1923</v>
      </c>
      <c r="B741" t="s">
        <v>1331</v>
      </c>
      <c r="C741" t="s">
        <v>425</v>
      </c>
      <c r="D741">
        <v>10</v>
      </c>
    </row>
    <row r="742" spans="1:4" x14ac:dyDescent="0.25">
      <c r="A742" t="s">
        <v>1965</v>
      </c>
      <c r="B742" t="s">
        <v>1331</v>
      </c>
      <c r="C742" t="s">
        <v>425</v>
      </c>
      <c r="D742">
        <v>81.599999999999994</v>
      </c>
    </row>
    <row r="743" spans="1:4" x14ac:dyDescent="0.25">
      <c r="A743" t="s">
        <v>1990</v>
      </c>
      <c r="B743" t="s">
        <v>1331</v>
      </c>
      <c r="C743" t="s">
        <v>425</v>
      </c>
      <c r="D743">
        <v>0.7</v>
      </c>
    </row>
    <row r="744" spans="1:4" x14ac:dyDescent="0.25">
      <c r="A744" t="s">
        <v>1974</v>
      </c>
      <c r="B744" t="s">
        <v>1330</v>
      </c>
      <c r="C744" t="s">
        <v>425</v>
      </c>
      <c r="D744">
        <v>7.1</v>
      </c>
    </row>
    <row r="745" spans="1:4" x14ac:dyDescent="0.25">
      <c r="A745" t="s">
        <v>1909</v>
      </c>
      <c r="B745" t="s">
        <v>1335</v>
      </c>
      <c r="C745" t="s">
        <v>425</v>
      </c>
      <c r="D745">
        <v>23.5</v>
      </c>
    </row>
    <row r="746" spans="1:4" x14ac:dyDescent="0.25">
      <c r="A746" t="s">
        <v>1923</v>
      </c>
      <c r="B746" t="s">
        <v>1331</v>
      </c>
      <c r="C746" t="s">
        <v>435</v>
      </c>
      <c r="D746">
        <v>35.5</v>
      </c>
    </row>
    <row r="747" spans="1:4" x14ac:dyDescent="0.25">
      <c r="A747" t="s">
        <v>1979</v>
      </c>
      <c r="B747" t="s">
        <v>1331</v>
      </c>
      <c r="C747" t="s">
        <v>435</v>
      </c>
      <c r="D747">
        <v>6</v>
      </c>
    </row>
    <row r="748" spans="1:4" x14ac:dyDescent="0.25">
      <c r="A748" t="s">
        <v>1974</v>
      </c>
      <c r="B748" t="s">
        <v>1330</v>
      </c>
      <c r="C748" t="s">
        <v>435</v>
      </c>
      <c r="D748">
        <v>26.85</v>
      </c>
    </row>
    <row r="749" spans="1:4" x14ac:dyDescent="0.25">
      <c r="A749" t="s">
        <v>1990</v>
      </c>
      <c r="B749" t="s">
        <v>1331</v>
      </c>
      <c r="C749" t="s">
        <v>435</v>
      </c>
      <c r="D749">
        <v>9</v>
      </c>
    </row>
    <row r="750" spans="1:4" x14ac:dyDescent="0.25">
      <c r="A750" t="s">
        <v>1968</v>
      </c>
      <c r="B750" t="s">
        <v>1330</v>
      </c>
      <c r="C750" t="s">
        <v>435</v>
      </c>
      <c r="D750">
        <v>4</v>
      </c>
    </row>
    <row r="751" spans="1:4" x14ac:dyDescent="0.25">
      <c r="A751" t="s">
        <v>1965</v>
      </c>
      <c r="B751" t="s">
        <v>1331</v>
      </c>
      <c r="C751" t="s">
        <v>435</v>
      </c>
      <c r="D751">
        <v>119.05</v>
      </c>
    </row>
    <row r="752" spans="1:4" x14ac:dyDescent="0.25">
      <c r="A752" t="s">
        <v>1968</v>
      </c>
      <c r="B752" t="s">
        <v>1330</v>
      </c>
      <c r="C752" t="s">
        <v>440</v>
      </c>
      <c r="D752">
        <v>19.399999999999999</v>
      </c>
    </row>
    <row r="753" spans="1:4" x14ac:dyDescent="0.25">
      <c r="A753" t="s">
        <v>1979</v>
      </c>
      <c r="B753" t="s">
        <v>1331</v>
      </c>
      <c r="C753" t="s">
        <v>440</v>
      </c>
      <c r="D753">
        <v>6</v>
      </c>
    </row>
    <row r="754" spans="1:4" x14ac:dyDescent="0.25">
      <c r="A754" t="s">
        <v>1911</v>
      </c>
      <c r="B754" t="s">
        <v>1335</v>
      </c>
      <c r="C754" t="s">
        <v>440</v>
      </c>
      <c r="D754">
        <v>4</v>
      </c>
    </row>
    <row r="755" spans="1:4" x14ac:dyDescent="0.25">
      <c r="A755" t="s">
        <v>1990</v>
      </c>
      <c r="B755" t="s">
        <v>1331</v>
      </c>
      <c r="C755" t="s">
        <v>440</v>
      </c>
      <c r="D755">
        <v>3.7</v>
      </c>
    </row>
    <row r="756" spans="1:4" x14ac:dyDescent="0.25">
      <c r="A756" t="s">
        <v>1965</v>
      </c>
      <c r="B756" t="s">
        <v>1331</v>
      </c>
      <c r="C756" t="s">
        <v>440</v>
      </c>
      <c r="D756">
        <v>107.65</v>
      </c>
    </row>
    <row r="757" spans="1:4" x14ac:dyDescent="0.25">
      <c r="A757" t="s">
        <v>1974</v>
      </c>
      <c r="B757" t="s">
        <v>1330</v>
      </c>
      <c r="C757" t="s">
        <v>440</v>
      </c>
      <c r="D757">
        <v>14.65</v>
      </c>
    </row>
    <row r="758" spans="1:4" x14ac:dyDescent="0.25">
      <c r="A758" t="s">
        <v>1909</v>
      </c>
      <c r="B758" t="s">
        <v>1335</v>
      </c>
      <c r="C758" t="s">
        <v>440</v>
      </c>
      <c r="D758">
        <v>0.5</v>
      </c>
    </row>
    <row r="759" spans="1:4" x14ac:dyDescent="0.25">
      <c r="A759" t="s">
        <v>1909</v>
      </c>
      <c r="B759" t="s">
        <v>1335</v>
      </c>
      <c r="C759" t="s">
        <v>442</v>
      </c>
      <c r="D759">
        <v>16.5</v>
      </c>
    </row>
    <row r="760" spans="1:4" x14ac:dyDescent="0.25">
      <c r="A760" t="s">
        <v>1979</v>
      </c>
      <c r="B760" t="s">
        <v>1331</v>
      </c>
      <c r="C760" t="s">
        <v>442</v>
      </c>
      <c r="D760">
        <v>754.7</v>
      </c>
    </row>
    <row r="761" spans="1:4" x14ac:dyDescent="0.25">
      <c r="A761" t="s">
        <v>1923</v>
      </c>
      <c r="B761" t="s">
        <v>1331</v>
      </c>
      <c r="C761" t="s">
        <v>442</v>
      </c>
      <c r="D761">
        <v>253.6</v>
      </c>
    </row>
    <row r="762" spans="1:4" x14ac:dyDescent="0.25">
      <c r="A762" t="s">
        <v>1990</v>
      </c>
      <c r="B762" t="s">
        <v>1331</v>
      </c>
      <c r="C762" t="s">
        <v>442</v>
      </c>
      <c r="D762">
        <v>13.6</v>
      </c>
    </row>
    <row r="763" spans="1:4" x14ac:dyDescent="0.25">
      <c r="A763" t="s">
        <v>1968</v>
      </c>
      <c r="B763" t="s">
        <v>1330</v>
      </c>
      <c r="C763" t="s">
        <v>442</v>
      </c>
      <c r="D763">
        <v>22.15</v>
      </c>
    </row>
    <row r="764" spans="1:4" x14ac:dyDescent="0.25">
      <c r="A764" t="s">
        <v>1974</v>
      </c>
      <c r="B764" t="s">
        <v>1330</v>
      </c>
      <c r="C764" t="s">
        <v>442</v>
      </c>
      <c r="D764">
        <v>45.85</v>
      </c>
    </row>
    <row r="765" spans="1:4" x14ac:dyDescent="0.25">
      <c r="A765" t="s">
        <v>1998</v>
      </c>
      <c r="B765" t="s">
        <v>1331</v>
      </c>
      <c r="C765" t="s">
        <v>442</v>
      </c>
      <c r="D765">
        <v>23.1</v>
      </c>
    </row>
    <row r="766" spans="1:4" x14ac:dyDescent="0.25">
      <c r="A766" t="s">
        <v>1950</v>
      </c>
      <c r="B766" t="s">
        <v>1331</v>
      </c>
      <c r="C766" t="s">
        <v>442</v>
      </c>
      <c r="D766">
        <v>23.1</v>
      </c>
    </row>
    <row r="767" spans="1:4" x14ac:dyDescent="0.25">
      <c r="A767" t="s">
        <v>1907</v>
      </c>
      <c r="B767" t="s">
        <v>1335</v>
      </c>
      <c r="C767" t="s">
        <v>442</v>
      </c>
      <c r="D767">
        <v>5</v>
      </c>
    </row>
    <row r="768" spans="1:4" x14ac:dyDescent="0.25">
      <c r="A768" t="s">
        <v>1974</v>
      </c>
      <c r="B768" t="s">
        <v>1330</v>
      </c>
      <c r="C768" t="s">
        <v>1795</v>
      </c>
      <c r="D768">
        <v>6.1</v>
      </c>
    </row>
    <row r="769" spans="1:4" x14ac:dyDescent="0.25">
      <c r="A769" t="s">
        <v>1994</v>
      </c>
      <c r="B769" t="s">
        <v>1331</v>
      </c>
      <c r="C769" t="s">
        <v>446</v>
      </c>
      <c r="D769">
        <v>258.7</v>
      </c>
    </row>
    <row r="770" spans="1:4" x14ac:dyDescent="0.25">
      <c r="A770" t="s">
        <v>1990</v>
      </c>
      <c r="B770" t="s">
        <v>1331</v>
      </c>
      <c r="C770" t="s">
        <v>446</v>
      </c>
      <c r="D770">
        <v>20.7</v>
      </c>
    </row>
    <row r="771" spans="1:4" x14ac:dyDescent="0.25">
      <c r="A771" t="s">
        <v>1974</v>
      </c>
      <c r="B771" t="s">
        <v>1330</v>
      </c>
      <c r="C771" t="s">
        <v>446</v>
      </c>
      <c r="D771">
        <v>7.1</v>
      </c>
    </row>
    <row r="772" spans="1:4" x14ac:dyDescent="0.25">
      <c r="A772" t="s">
        <v>1950</v>
      </c>
      <c r="B772" t="s">
        <v>1331</v>
      </c>
      <c r="C772" t="s">
        <v>446</v>
      </c>
      <c r="D772">
        <v>3.85</v>
      </c>
    </row>
    <row r="773" spans="1:4" x14ac:dyDescent="0.25">
      <c r="A773" t="s">
        <v>1927</v>
      </c>
      <c r="B773" t="s">
        <v>1331</v>
      </c>
      <c r="C773" t="s">
        <v>446</v>
      </c>
      <c r="D773">
        <v>7.7</v>
      </c>
    </row>
    <row r="774" spans="1:4" x14ac:dyDescent="0.25">
      <c r="A774" t="s">
        <v>1968</v>
      </c>
      <c r="B774" t="s">
        <v>1330</v>
      </c>
      <c r="C774" t="s">
        <v>446</v>
      </c>
      <c r="D774">
        <v>11.9</v>
      </c>
    </row>
    <row r="775" spans="1:4" x14ac:dyDescent="0.25">
      <c r="A775" t="s">
        <v>1980</v>
      </c>
      <c r="B775" t="s">
        <v>1331</v>
      </c>
      <c r="C775" t="s">
        <v>446</v>
      </c>
      <c r="D775">
        <v>53.2</v>
      </c>
    </row>
    <row r="776" spans="1:4" x14ac:dyDescent="0.25">
      <c r="A776" t="s">
        <v>1993</v>
      </c>
      <c r="B776" t="s">
        <v>1335</v>
      </c>
      <c r="C776" t="s">
        <v>446</v>
      </c>
      <c r="D776">
        <v>7.1</v>
      </c>
    </row>
    <row r="777" spans="1:4" x14ac:dyDescent="0.25">
      <c r="A777" t="s">
        <v>1958</v>
      </c>
      <c r="B777" t="s">
        <v>1335</v>
      </c>
      <c r="C777" t="s">
        <v>446</v>
      </c>
      <c r="D777">
        <v>7.7</v>
      </c>
    </row>
    <row r="778" spans="1:4" x14ac:dyDescent="0.25">
      <c r="A778" t="s">
        <v>1923</v>
      </c>
      <c r="B778" t="s">
        <v>1331</v>
      </c>
      <c r="C778" t="s">
        <v>450</v>
      </c>
      <c r="D778">
        <v>29.7</v>
      </c>
    </row>
    <row r="779" spans="1:4" x14ac:dyDescent="0.25">
      <c r="A779" t="s">
        <v>1974</v>
      </c>
      <c r="B779" t="s">
        <v>1330</v>
      </c>
      <c r="C779" t="s">
        <v>450</v>
      </c>
      <c r="D779">
        <v>13.1</v>
      </c>
    </row>
    <row r="780" spans="1:4" x14ac:dyDescent="0.25">
      <c r="A780" t="s">
        <v>1998</v>
      </c>
      <c r="B780" t="s">
        <v>1331</v>
      </c>
      <c r="C780" t="s">
        <v>450</v>
      </c>
      <c r="D780">
        <v>15.4</v>
      </c>
    </row>
    <row r="781" spans="1:4" x14ac:dyDescent="0.25">
      <c r="A781" t="s">
        <v>1950</v>
      </c>
      <c r="B781" t="s">
        <v>1331</v>
      </c>
      <c r="C781" t="s">
        <v>450</v>
      </c>
      <c r="D781">
        <v>11.25</v>
      </c>
    </row>
    <row r="782" spans="1:4" x14ac:dyDescent="0.25">
      <c r="A782" t="s">
        <v>1990</v>
      </c>
      <c r="B782" t="s">
        <v>1331</v>
      </c>
      <c r="C782" t="s">
        <v>450</v>
      </c>
      <c r="D782">
        <v>84.4</v>
      </c>
    </row>
    <row r="783" spans="1:4" x14ac:dyDescent="0.25">
      <c r="A783" t="s">
        <v>1992</v>
      </c>
      <c r="B783" t="s">
        <v>1335</v>
      </c>
      <c r="C783" t="s">
        <v>450</v>
      </c>
      <c r="D783">
        <v>18.2</v>
      </c>
    </row>
    <row r="784" spans="1:4" x14ac:dyDescent="0.25">
      <c r="A784" t="s">
        <v>1968</v>
      </c>
      <c r="B784" t="s">
        <v>1330</v>
      </c>
      <c r="C784" t="s">
        <v>450</v>
      </c>
      <c r="D784">
        <v>2.7</v>
      </c>
    </row>
    <row r="785" spans="1:4" x14ac:dyDescent="0.25">
      <c r="A785" t="s">
        <v>1965</v>
      </c>
      <c r="B785" t="s">
        <v>1331</v>
      </c>
      <c r="C785" t="s">
        <v>450</v>
      </c>
      <c r="D785">
        <v>292.60000000000002</v>
      </c>
    </row>
    <row r="786" spans="1:4" x14ac:dyDescent="0.25">
      <c r="A786" t="s">
        <v>2002</v>
      </c>
      <c r="B786" t="s">
        <v>1331</v>
      </c>
      <c r="C786" t="s">
        <v>450</v>
      </c>
      <c r="D786">
        <v>23.1</v>
      </c>
    </row>
    <row r="787" spans="1:4" x14ac:dyDescent="0.25">
      <c r="A787" t="s">
        <v>1909</v>
      </c>
      <c r="B787" t="s">
        <v>1335</v>
      </c>
      <c r="C787" t="s">
        <v>450</v>
      </c>
      <c r="D787">
        <v>3</v>
      </c>
    </row>
    <row r="788" spans="1:4" x14ac:dyDescent="0.25">
      <c r="A788" t="s">
        <v>1998</v>
      </c>
      <c r="B788" t="s">
        <v>1331</v>
      </c>
      <c r="C788" t="s">
        <v>455</v>
      </c>
      <c r="D788">
        <v>6</v>
      </c>
    </row>
    <row r="789" spans="1:4" x14ac:dyDescent="0.25">
      <c r="A789" t="s">
        <v>1990</v>
      </c>
      <c r="B789" t="s">
        <v>1331</v>
      </c>
      <c r="C789" t="s">
        <v>455</v>
      </c>
      <c r="D789">
        <v>13.9</v>
      </c>
    </row>
    <row r="790" spans="1:4" x14ac:dyDescent="0.25">
      <c r="A790" t="s">
        <v>1950</v>
      </c>
      <c r="B790" t="s">
        <v>1331</v>
      </c>
      <c r="C790" t="s">
        <v>455</v>
      </c>
      <c r="D790">
        <v>9.6999999999999993</v>
      </c>
    </row>
    <row r="791" spans="1:4" x14ac:dyDescent="0.25">
      <c r="A791" t="s">
        <v>1965</v>
      </c>
      <c r="B791" t="s">
        <v>1331</v>
      </c>
      <c r="C791" t="s">
        <v>455</v>
      </c>
      <c r="D791">
        <v>180.95</v>
      </c>
    </row>
    <row r="792" spans="1:4" x14ac:dyDescent="0.25">
      <c r="A792" t="s">
        <v>1923</v>
      </c>
      <c r="B792" t="s">
        <v>1331</v>
      </c>
      <c r="C792" t="s">
        <v>455</v>
      </c>
      <c r="D792">
        <v>38.5</v>
      </c>
    </row>
    <row r="793" spans="1:4" x14ac:dyDescent="0.25">
      <c r="A793" t="s">
        <v>1955</v>
      </c>
      <c r="B793" t="s">
        <v>1335</v>
      </c>
      <c r="C793" t="s">
        <v>455</v>
      </c>
      <c r="D793">
        <v>4</v>
      </c>
    </row>
    <row r="794" spans="1:4" x14ac:dyDescent="0.25">
      <c r="A794" t="s">
        <v>1968</v>
      </c>
      <c r="B794" t="s">
        <v>1330</v>
      </c>
      <c r="C794" t="s">
        <v>455</v>
      </c>
      <c r="D794">
        <v>5.85</v>
      </c>
    </row>
    <row r="795" spans="1:4" x14ac:dyDescent="0.25">
      <c r="A795" t="s">
        <v>1974</v>
      </c>
      <c r="B795" t="s">
        <v>1330</v>
      </c>
      <c r="C795" t="s">
        <v>455</v>
      </c>
      <c r="D795">
        <v>3.55</v>
      </c>
    </row>
    <row r="796" spans="1:4" x14ac:dyDescent="0.25">
      <c r="A796" t="s">
        <v>1998</v>
      </c>
      <c r="B796" t="s">
        <v>1331</v>
      </c>
      <c r="C796" t="s">
        <v>458</v>
      </c>
      <c r="D796">
        <v>3</v>
      </c>
    </row>
    <row r="797" spans="1:4" x14ac:dyDescent="0.25">
      <c r="A797" t="s">
        <v>1990</v>
      </c>
      <c r="B797" t="s">
        <v>1331</v>
      </c>
      <c r="C797" t="s">
        <v>458</v>
      </c>
      <c r="D797">
        <v>17.100000000000001</v>
      </c>
    </row>
    <row r="798" spans="1:4" x14ac:dyDescent="0.25">
      <c r="A798" t="s">
        <v>1974</v>
      </c>
      <c r="B798" t="s">
        <v>1330</v>
      </c>
      <c r="C798" t="s">
        <v>458</v>
      </c>
      <c r="D798">
        <v>3</v>
      </c>
    </row>
    <row r="799" spans="1:4" x14ac:dyDescent="0.25">
      <c r="A799" t="s">
        <v>1968</v>
      </c>
      <c r="B799" t="s">
        <v>1330</v>
      </c>
      <c r="C799" t="s">
        <v>458</v>
      </c>
      <c r="D799">
        <v>4.3499999999999996</v>
      </c>
    </row>
    <row r="800" spans="1:4" x14ac:dyDescent="0.25">
      <c r="A800" t="s">
        <v>1979</v>
      </c>
      <c r="B800" t="s">
        <v>1331</v>
      </c>
      <c r="C800" t="s">
        <v>458</v>
      </c>
      <c r="D800">
        <v>12</v>
      </c>
    </row>
    <row r="801" spans="1:4" x14ac:dyDescent="0.25">
      <c r="A801" t="s">
        <v>1950</v>
      </c>
      <c r="B801" t="s">
        <v>1331</v>
      </c>
      <c r="C801" t="s">
        <v>458</v>
      </c>
      <c r="D801">
        <v>6.85</v>
      </c>
    </row>
    <row r="802" spans="1:4" x14ac:dyDescent="0.25">
      <c r="A802" t="s">
        <v>1923</v>
      </c>
      <c r="B802" t="s">
        <v>1331</v>
      </c>
      <c r="C802" t="s">
        <v>458</v>
      </c>
      <c r="D802">
        <v>26.6</v>
      </c>
    </row>
    <row r="803" spans="1:4" x14ac:dyDescent="0.25">
      <c r="A803" t="s">
        <v>1968</v>
      </c>
      <c r="B803" t="s">
        <v>1330</v>
      </c>
      <c r="C803" t="s">
        <v>462</v>
      </c>
      <c r="D803">
        <v>12.05</v>
      </c>
    </row>
    <row r="804" spans="1:4" x14ac:dyDescent="0.25">
      <c r="A804" t="s">
        <v>1955</v>
      </c>
      <c r="B804" t="s">
        <v>1335</v>
      </c>
      <c r="C804" t="s">
        <v>462</v>
      </c>
      <c r="D804">
        <v>29</v>
      </c>
    </row>
    <row r="805" spans="1:4" x14ac:dyDescent="0.25">
      <c r="A805" t="s">
        <v>1990</v>
      </c>
      <c r="B805" t="s">
        <v>1331</v>
      </c>
      <c r="C805" t="s">
        <v>462</v>
      </c>
      <c r="D805">
        <v>76.599999999999994</v>
      </c>
    </row>
    <row r="806" spans="1:4" x14ac:dyDescent="0.25">
      <c r="A806" t="s">
        <v>1998</v>
      </c>
      <c r="B806" t="s">
        <v>1331</v>
      </c>
      <c r="C806" t="s">
        <v>462</v>
      </c>
      <c r="D806">
        <v>3</v>
      </c>
    </row>
    <row r="807" spans="1:4" x14ac:dyDescent="0.25">
      <c r="A807" t="s">
        <v>1974</v>
      </c>
      <c r="B807" t="s">
        <v>1330</v>
      </c>
      <c r="C807" t="s">
        <v>462</v>
      </c>
      <c r="D807">
        <v>5</v>
      </c>
    </row>
    <row r="808" spans="1:4" x14ac:dyDescent="0.25">
      <c r="A808" t="s">
        <v>1950</v>
      </c>
      <c r="B808" t="s">
        <v>1331</v>
      </c>
      <c r="C808" t="s">
        <v>462</v>
      </c>
      <c r="D808">
        <v>10.55</v>
      </c>
    </row>
    <row r="809" spans="1:4" x14ac:dyDescent="0.25">
      <c r="A809" t="s">
        <v>1923</v>
      </c>
      <c r="B809" t="s">
        <v>1331</v>
      </c>
      <c r="C809" t="s">
        <v>462</v>
      </c>
      <c r="D809">
        <v>88.9</v>
      </c>
    </row>
    <row r="810" spans="1:4" x14ac:dyDescent="0.25">
      <c r="A810" t="s">
        <v>1979</v>
      </c>
      <c r="B810" t="s">
        <v>1331</v>
      </c>
      <c r="C810" t="s">
        <v>462</v>
      </c>
      <c r="D810">
        <v>318.8</v>
      </c>
    </row>
    <row r="811" spans="1:4" x14ac:dyDescent="0.25">
      <c r="A811" t="s">
        <v>1962</v>
      </c>
      <c r="B811" t="s">
        <v>1331</v>
      </c>
      <c r="C811" t="s">
        <v>466</v>
      </c>
      <c r="D811">
        <v>34.5</v>
      </c>
    </row>
    <row r="812" spans="1:4" x14ac:dyDescent="0.25">
      <c r="A812" t="s">
        <v>1998</v>
      </c>
      <c r="B812" t="s">
        <v>1331</v>
      </c>
      <c r="C812" t="s">
        <v>466</v>
      </c>
      <c r="D812">
        <v>26.1</v>
      </c>
    </row>
    <row r="813" spans="1:4" x14ac:dyDescent="0.25">
      <c r="A813" t="s">
        <v>1990</v>
      </c>
      <c r="B813" t="s">
        <v>1331</v>
      </c>
      <c r="C813" t="s">
        <v>466</v>
      </c>
      <c r="D813">
        <v>23.4</v>
      </c>
    </row>
    <row r="814" spans="1:4" x14ac:dyDescent="0.25">
      <c r="A814" t="s">
        <v>1993</v>
      </c>
      <c r="B814" t="s">
        <v>1335</v>
      </c>
      <c r="C814" t="s">
        <v>466</v>
      </c>
      <c r="D814">
        <v>2</v>
      </c>
    </row>
    <row r="815" spans="1:4" x14ac:dyDescent="0.25">
      <c r="A815" t="s">
        <v>1974</v>
      </c>
      <c r="B815" t="s">
        <v>1330</v>
      </c>
      <c r="C815" t="s">
        <v>466</v>
      </c>
      <c r="D815">
        <v>32.450000000000003</v>
      </c>
    </row>
    <row r="816" spans="1:4" x14ac:dyDescent="0.25">
      <c r="A816" t="s">
        <v>1921</v>
      </c>
      <c r="B816" t="s">
        <v>1330</v>
      </c>
      <c r="C816" t="s">
        <v>466</v>
      </c>
      <c r="D816">
        <v>97.8</v>
      </c>
    </row>
    <row r="817" spans="1:4" x14ac:dyDescent="0.25">
      <c r="A817" t="s">
        <v>1973</v>
      </c>
      <c r="B817" t="s">
        <v>1333</v>
      </c>
      <c r="C817" t="s">
        <v>466</v>
      </c>
      <c r="D817">
        <v>52.05</v>
      </c>
    </row>
    <row r="818" spans="1:4" x14ac:dyDescent="0.25">
      <c r="A818" t="s">
        <v>1973</v>
      </c>
      <c r="B818" t="s">
        <v>1331</v>
      </c>
      <c r="C818" t="s">
        <v>466</v>
      </c>
      <c r="D818">
        <v>388.65</v>
      </c>
    </row>
    <row r="819" spans="1:4" x14ac:dyDescent="0.25">
      <c r="A819" t="s">
        <v>1950</v>
      </c>
      <c r="B819" t="s">
        <v>1331</v>
      </c>
      <c r="C819" t="s">
        <v>466</v>
      </c>
      <c r="D819">
        <v>3</v>
      </c>
    </row>
    <row r="820" spans="1:4" x14ac:dyDescent="0.25">
      <c r="A820" t="s">
        <v>1958</v>
      </c>
      <c r="B820" t="s">
        <v>1331</v>
      </c>
      <c r="C820" t="s">
        <v>466</v>
      </c>
      <c r="D820">
        <v>11.7</v>
      </c>
    </row>
    <row r="821" spans="1:4" x14ac:dyDescent="0.25">
      <c r="A821" t="s">
        <v>1913</v>
      </c>
      <c r="B821" t="s">
        <v>1335</v>
      </c>
      <c r="C821" t="s">
        <v>466</v>
      </c>
      <c r="D821">
        <v>5.85</v>
      </c>
    </row>
    <row r="822" spans="1:4" x14ac:dyDescent="0.25">
      <c r="A822" t="s">
        <v>1913</v>
      </c>
      <c r="B822" t="s">
        <v>1335</v>
      </c>
      <c r="C822" t="s">
        <v>471</v>
      </c>
      <c r="D822">
        <v>4.3</v>
      </c>
    </row>
    <row r="823" spans="1:4" x14ac:dyDescent="0.25">
      <c r="A823" t="s">
        <v>1990</v>
      </c>
      <c r="B823" t="s">
        <v>1331</v>
      </c>
      <c r="C823" t="s">
        <v>471</v>
      </c>
      <c r="D823">
        <v>119.5</v>
      </c>
    </row>
    <row r="824" spans="1:4" x14ac:dyDescent="0.25">
      <c r="A824" t="s">
        <v>1987</v>
      </c>
      <c r="B824" t="s">
        <v>1331</v>
      </c>
      <c r="C824" t="s">
        <v>471</v>
      </c>
      <c r="D824">
        <v>259.55</v>
      </c>
    </row>
    <row r="825" spans="1:4" x14ac:dyDescent="0.25">
      <c r="A825" t="s">
        <v>1980</v>
      </c>
      <c r="B825" t="s">
        <v>1331</v>
      </c>
      <c r="C825" t="s">
        <v>471</v>
      </c>
      <c r="D825">
        <v>1.35</v>
      </c>
    </row>
    <row r="826" spans="1:4" x14ac:dyDescent="0.25">
      <c r="A826" t="s">
        <v>1997</v>
      </c>
      <c r="B826" t="s">
        <v>1333</v>
      </c>
      <c r="C826" t="s">
        <v>471</v>
      </c>
      <c r="D826">
        <v>1</v>
      </c>
    </row>
    <row r="827" spans="1:4" x14ac:dyDescent="0.25">
      <c r="A827" t="s">
        <v>1997</v>
      </c>
      <c r="B827" t="s">
        <v>1331</v>
      </c>
      <c r="C827" t="s">
        <v>471</v>
      </c>
      <c r="D827">
        <v>1135.4000000000001</v>
      </c>
    </row>
    <row r="828" spans="1:4" x14ac:dyDescent="0.25">
      <c r="A828" t="s">
        <v>1958</v>
      </c>
      <c r="B828" t="s">
        <v>1331</v>
      </c>
      <c r="C828" t="s">
        <v>471</v>
      </c>
      <c r="D828">
        <v>13</v>
      </c>
    </row>
    <row r="829" spans="1:4" x14ac:dyDescent="0.25">
      <c r="A829" t="s">
        <v>1968</v>
      </c>
      <c r="B829" t="s">
        <v>1330</v>
      </c>
      <c r="C829" t="s">
        <v>471</v>
      </c>
      <c r="D829">
        <v>14.75</v>
      </c>
    </row>
    <row r="830" spans="1:4" x14ac:dyDescent="0.25">
      <c r="A830" t="s">
        <v>1987</v>
      </c>
      <c r="B830" t="s">
        <v>1333</v>
      </c>
      <c r="C830" t="s">
        <v>471</v>
      </c>
      <c r="D830">
        <v>50.8</v>
      </c>
    </row>
    <row r="831" spans="1:4" x14ac:dyDescent="0.25">
      <c r="A831" t="s">
        <v>1974</v>
      </c>
      <c r="B831" t="s">
        <v>1330</v>
      </c>
      <c r="C831" t="s">
        <v>471</v>
      </c>
      <c r="D831">
        <v>39.65</v>
      </c>
    </row>
    <row r="832" spans="1:4" x14ac:dyDescent="0.25">
      <c r="A832" t="s">
        <v>1909</v>
      </c>
      <c r="B832" t="s">
        <v>1335</v>
      </c>
      <c r="C832" t="s">
        <v>471</v>
      </c>
      <c r="D832">
        <v>33.700000000000003</v>
      </c>
    </row>
    <row r="833" spans="1:4" x14ac:dyDescent="0.25">
      <c r="A833" t="s">
        <v>1998</v>
      </c>
      <c r="B833" t="s">
        <v>1331</v>
      </c>
      <c r="C833" t="s">
        <v>471</v>
      </c>
      <c r="D833">
        <v>23.1</v>
      </c>
    </row>
    <row r="834" spans="1:4" x14ac:dyDescent="0.25">
      <c r="A834" t="s">
        <v>2003</v>
      </c>
      <c r="B834" t="s">
        <v>1331</v>
      </c>
      <c r="C834" t="s">
        <v>471</v>
      </c>
      <c r="D834">
        <v>53.4</v>
      </c>
    </row>
    <row r="835" spans="1:4" x14ac:dyDescent="0.25">
      <c r="A835" t="s">
        <v>1914</v>
      </c>
      <c r="B835" t="s">
        <v>1335</v>
      </c>
      <c r="C835" t="s">
        <v>471</v>
      </c>
      <c r="D835">
        <v>59.9</v>
      </c>
    </row>
    <row r="836" spans="1:4" x14ac:dyDescent="0.25">
      <c r="A836" t="s">
        <v>1950</v>
      </c>
      <c r="B836" t="s">
        <v>1331</v>
      </c>
      <c r="C836" t="s">
        <v>471</v>
      </c>
      <c r="D836">
        <v>22.1</v>
      </c>
    </row>
    <row r="837" spans="1:4" x14ac:dyDescent="0.25">
      <c r="A837" t="s">
        <v>1927</v>
      </c>
      <c r="B837" t="s">
        <v>1331</v>
      </c>
      <c r="C837" t="s">
        <v>471</v>
      </c>
      <c r="D837">
        <v>53.9</v>
      </c>
    </row>
    <row r="838" spans="1:4" x14ac:dyDescent="0.25">
      <c r="A838" t="s">
        <v>1907</v>
      </c>
      <c r="B838" t="s">
        <v>1335</v>
      </c>
      <c r="C838" t="s">
        <v>471</v>
      </c>
      <c r="D838">
        <v>2</v>
      </c>
    </row>
    <row r="839" spans="1:4" x14ac:dyDescent="0.25">
      <c r="A839" t="s">
        <v>1966</v>
      </c>
      <c r="B839" t="s">
        <v>1331</v>
      </c>
      <c r="C839" t="s">
        <v>475</v>
      </c>
      <c r="D839">
        <v>19.25</v>
      </c>
    </row>
    <row r="840" spans="1:4" x14ac:dyDescent="0.25">
      <c r="A840" t="s">
        <v>1968</v>
      </c>
      <c r="B840" t="s">
        <v>1330</v>
      </c>
      <c r="C840" t="s">
        <v>475</v>
      </c>
      <c r="D840">
        <v>9.6999999999999993</v>
      </c>
    </row>
    <row r="841" spans="1:4" x14ac:dyDescent="0.25">
      <c r="A841" t="s">
        <v>2002</v>
      </c>
      <c r="B841" t="s">
        <v>1331</v>
      </c>
      <c r="C841" t="s">
        <v>475</v>
      </c>
      <c r="D841">
        <v>469.7</v>
      </c>
    </row>
    <row r="842" spans="1:4" x14ac:dyDescent="0.25">
      <c r="A842" t="s">
        <v>1974</v>
      </c>
      <c r="B842" t="s">
        <v>1330</v>
      </c>
      <c r="C842" t="s">
        <v>479</v>
      </c>
      <c r="D842">
        <v>14.2</v>
      </c>
    </row>
    <row r="843" spans="1:4" x14ac:dyDescent="0.25">
      <c r="A843" t="s">
        <v>1979</v>
      </c>
      <c r="B843" t="s">
        <v>1331</v>
      </c>
      <c r="C843" t="s">
        <v>479</v>
      </c>
      <c r="D843">
        <v>63.6</v>
      </c>
    </row>
    <row r="844" spans="1:4" x14ac:dyDescent="0.25">
      <c r="A844" t="s">
        <v>1962</v>
      </c>
      <c r="B844" t="s">
        <v>1331</v>
      </c>
      <c r="C844" t="s">
        <v>479</v>
      </c>
      <c r="D844">
        <v>0.7</v>
      </c>
    </row>
    <row r="845" spans="1:4" x14ac:dyDescent="0.25">
      <c r="A845" t="s">
        <v>1980</v>
      </c>
      <c r="B845" t="s">
        <v>1331</v>
      </c>
      <c r="C845" t="s">
        <v>479</v>
      </c>
      <c r="D845">
        <v>1.7</v>
      </c>
    </row>
    <row r="846" spans="1:4" x14ac:dyDescent="0.25">
      <c r="A846" t="s">
        <v>1994</v>
      </c>
      <c r="B846" t="s">
        <v>1331</v>
      </c>
      <c r="C846" t="s">
        <v>479</v>
      </c>
      <c r="D846">
        <v>397.3</v>
      </c>
    </row>
    <row r="847" spans="1:4" x14ac:dyDescent="0.25">
      <c r="A847" t="s">
        <v>1968</v>
      </c>
      <c r="B847" t="s">
        <v>1330</v>
      </c>
      <c r="C847" t="s">
        <v>479</v>
      </c>
      <c r="D847">
        <v>18.2</v>
      </c>
    </row>
    <row r="848" spans="1:4" x14ac:dyDescent="0.25">
      <c r="A848" t="s">
        <v>1958</v>
      </c>
      <c r="B848" t="s">
        <v>1331</v>
      </c>
      <c r="C848" t="s">
        <v>479</v>
      </c>
      <c r="D848">
        <v>22.4</v>
      </c>
    </row>
    <row r="849" spans="1:4" x14ac:dyDescent="0.25">
      <c r="A849" t="s">
        <v>1914</v>
      </c>
      <c r="B849" t="s">
        <v>1335</v>
      </c>
      <c r="C849" t="s">
        <v>479</v>
      </c>
      <c r="D849">
        <v>11.7</v>
      </c>
    </row>
    <row r="850" spans="1:4" x14ac:dyDescent="0.25">
      <c r="A850" t="s">
        <v>1927</v>
      </c>
      <c r="B850" t="s">
        <v>1331</v>
      </c>
      <c r="C850" t="s">
        <v>479</v>
      </c>
      <c r="D850">
        <v>30.8</v>
      </c>
    </row>
    <row r="851" spans="1:4" x14ac:dyDescent="0.25">
      <c r="A851" t="s">
        <v>1998</v>
      </c>
      <c r="B851" t="s">
        <v>1331</v>
      </c>
      <c r="C851" t="s">
        <v>479</v>
      </c>
      <c r="D851">
        <v>38.5</v>
      </c>
    </row>
    <row r="852" spans="1:4" x14ac:dyDescent="0.25">
      <c r="A852" t="s">
        <v>1950</v>
      </c>
      <c r="B852" t="s">
        <v>1331</v>
      </c>
      <c r="C852" t="s">
        <v>479</v>
      </c>
      <c r="D852">
        <v>7.25</v>
      </c>
    </row>
    <row r="853" spans="1:4" x14ac:dyDescent="0.25">
      <c r="A853" t="s">
        <v>1988</v>
      </c>
      <c r="B853" t="s">
        <v>1330</v>
      </c>
      <c r="C853" t="s">
        <v>479</v>
      </c>
      <c r="D853">
        <v>1</v>
      </c>
    </row>
    <row r="854" spans="1:4" x14ac:dyDescent="0.25">
      <c r="A854" t="s">
        <v>1990</v>
      </c>
      <c r="B854" t="s">
        <v>1331</v>
      </c>
      <c r="C854" t="s">
        <v>479</v>
      </c>
      <c r="D854">
        <v>67.8</v>
      </c>
    </row>
    <row r="855" spans="1:4" x14ac:dyDescent="0.25">
      <c r="A855" t="s">
        <v>1909</v>
      </c>
      <c r="B855" t="s">
        <v>1335</v>
      </c>
      <c r="C855" t="s">
        <v>479</v>
      </c>
      <c r="D855">
        <v>6.3</v>
      </c>
    </row>
    <row r="856" spans="1:4" x14ac:dyDescent="0.25">
      <c r="A856" t="s">
        <v>1980</v>
      </c>
      <c r="B856" t="s">
        <v>1333</v>
      </c>
      <c r="C856" t="s">
        <v>479</v>
      </c>
      <c r="D856">
        <v>3.85</v>
      </c>
    </row>
    <row r="857" spans="1:4" x14ac:dyDescent="0.25">
      <c r="A857" t="s">
        <v>1978</v>
      </c>
      <c r="B857" t="s">
        <v>1331</v>
      </c>
      <c r="C857" t="s">
        <v>479</v>
      </c>
      <c r="D857">
        <v>2</v>
      </c>
    </row>
    <row r="858" spans="1:4" x14ac:dyDescent="0.25">
      <c r="A858" t="s">
        <v>1918</v>
      </c>
      <c r="B858" t="s">
        <v>1335</v>
      </c>
      <c r="C858" t="s">
        <v>485</v>
      </c>
      <c r="D858">
        <v>31.95</v>
      </c>
    </row>
    <row r="859" spans="1:4" x14ac:dyDescent="0.25">
      <c r="A859" t="s">
        <v>1916</v>
      </c>
      <c r="B859" t="s">
        <v>1335</v>
      </c>
      <c r="C859" t="s">
        <v>485</v>
      </c>
      <c r="D859">
        <v>106.5</v>
      </c>
    </row>
    <row r="860" spans="1:4" x14ac:dyDescent="0.25">
      <c r="A860" t="s">
        <v>1979</v>
      </c>
      <c r="B860" t="s">
        <v>1331</v>
      </c>
      <c r="C860" t="s">
        <v>485</v>
      </c>
      <c r="D860">
        <v>12.7</v>
      </c>
    </row>
    <row r="861" spans="1:4" x14ac:dyDescent="0.25">
      <c r="A861" t="s">
        <v>1965</v>
      </c>
      <c r="B861" t="s">
        <v>1333</v>
      </c>
      <c r="C861" t="s">
        <v>485</v>
      </c>
      <c r="D861">
        <v>7.7</v>
      </c>
    </row>
    <row r="862" spans="1:4" x14ac:dyDescent="0.25">
      <c r="A862" t="s">
        <v>1950</v>
      </c>
      <c r="B862" t="s">
        <v>1331</v>
      </c>
      <c r="C862" t="s">
        <v>485</v>
      </c>
      <c r="D862">
        <v>1</v>
      </c>
    </row>
    <row r="863" spans="1:4" x14ac:dyDescent="0.25">
      <c r="A863" t="s">
        <v>1955</v>
      </c>
      <c r="B863" t="s">
        <v>1335</v>
      </c>
      <c r="C863" t="s">
        <v>485</v>
      </c>
      <c r="D863">
        <v>42.65</v>
      </c>
    </row>
    <row r="864" spans="1:4" x14ac:dyDescent="0.25">
      <c r="A864" t="s">
        <v>1965</v>
      </c>
      <c r="B864" t="s">
        <v>1331</v>
      </c>
      <c r="C864" t="s">
        <v>485</v>
      </c>
      <c r="D864">
        <v>392.7</v>
      </c>
    </row>
    <row r="865" spans="1:4" x14ac:dyDescent="0.25">
      <c r="A865" t="s">
        <v>1909</v>
      </c>
      <c r="B865" t="s">
        <v>1335</v>
      </c>
      <c r="C865" t="s">
        <v>485</v>
      </c>
      <c r="D865">
        <v>23</v>
      </c>
    </row>
    <row r="866" spans="1:4" x14ac:dyDescent="0.25">
      <c r="A866" t="s">
        <v>1974</v>
      </c>
      <c r="B866" t="s">
        <v>1330</v>
      </c>
      <c r="C866" t="s">
        <v>485</v>
      </c>
      <c r="D866">
        <v>14.2</v>
      </c>
    </row>
    <row r="867" spans="1:4" x14ac:dyDescent="0.25">
      <c r="A867" t="s">
        <v>1968</v>
      </c>
      <c r="B867" t="s">
        <v>1330</v>
      </c>
      <c r="C867" t="s">
        <v>485</v>
      </c>
      <c r="D867">
        <v>6.7</v>
      </c>
    </row>
    <row r="868" spans="1:4" x14ac:dyDescent="0.25">
      <c r="A868" t="s">
        <v>1907</v>
      </c>
      <c r="B868" t="s">
        <v>1335</v>
      </c>
      <c r="C868" t="s">
        <v>485</v>
      </c>
      <c r="D868">
        <v>2.7</v>
      </c>
    </row>
    <row r="869" spans="1:4" x14ac:dyDescent="0.25">
      <c r="A869" t="s">
        <v>2003</v>
      </c>
      <c r="B869" t="s">
        <v>1331</v>
      </c>
      <c r="C869" t="s">
        <v>485</v>
      </c>
      <c r="D869">
        <v>24.3</v>
      </c>
    </row>
    <row r="870" spans="1:4" x14ac:dyDescent="0.25">
      <c r="A870" t="s">
        <v>1979</v>
      </c>
      <c r="B870" t="s">
        <v>1331</v>
      </c>
      <c r="C870" t="s">
        <v>487</v>
      </c>
      <c r="D870">
        <v>11.4</v>
      </c>
    </row>
    <row r="871" spans="1:4" x14ac:dyDescent="0.25">
      <c r="A871" t="s">
        <v>1968</v>
      </c>
      <c r="B871" t="s">
        <v>1330</v>
      </c>
      <c r="C871" t="s">
        <v>487</v>
      </c>
      <c r="D871">
        <v>53.75</v>
      </c>
    </row>
    <row r="872" spans="1:4" x14ac:dyDescent="0.25">
      <c r="A872" t="s">
        <v>1916</v>
      </c>
      <c r="B872" t="s">
        <v>1335</v>
      </c>
      <c r="C872" t="s">
        <v>487</v>
      </c>
      <c r="D872">
        <v>63.3</v>
      </c>
    </row>
    <row r="873" spans="1:4" x14ac:dyDescent="0.25">
      <c r="A873" t="s">
        <v>1974</v>
      </c>
      <c r="B873" t="s">
        <v>1330</v>
      </c>
      <c r="C873" t="s">
        <v>487</v>
      </c>
      <c r="D873">
        <v>58.55</v>
      </c>
    </row>
    <row r="874" spans="1:4" x14ac:dyDescent="0.25">
      <c r="A874" t="s">
        <v>1909</v>
      </c>
      <c r="B874" t="s">
        <v>1335</v>
      </c>
      <c r="C874" t="s">
        <v>487</v>
      </c>
      <c r="D874">
        <v>1</v>
      </c>
    </row>
    <row r="875" spans="1:4" x14ac:dyDescent="0.25">
      <c r="A875" t="s">
        <v>1907</v>
      </c>
      <c r="B875" t="s">
        <v>1335</v>
      </c>
      <c r="C875" t="s">
        <v>487</v>
      </c>
      <c r="D875">
        <v>1</v>
      </c>
    </row>
    <row r="876" spans="1:4" x14ac:dyDescent="0.25">
      <c r="A876" t="s">
        <v>1955</v>
      </c>
      <c r="B876" t="s">
        <v>1335</v>
      </c>
      <c r="C876" t="s">
        <v>487</v>
      </c>
      <c r="D876">
        <v>13.6</v>
      </c>
    </row>
    <row r="877" spans="1:4" x14ac:dyDescent="0.25">
      <c r="A877" t="s">
        <v>1974</v>
      </c>
      <c r="B877" t="s">
        <v>1330</v>
      </c>
      <c r="C877" t="s">
        <v>493</v>
      </c>
      <c r="D877">
        <v>39.049999999999997</v>
      </c>
    </row>
    <row r="878" spans="1:4" x14ac:dyDescent="0.25">
      <c r="A878" t="s">
        <v>1968</v>
      </c>
      <c r="B878" t="s">
        <v>1330</v>
      </c>
      <c r="C878" t="s">
        <v>493</v>
      </c>
      <c r="D878">
        <v>2.7</v>
      </c>
    </row>
    <row r="879" spans="1:4" x14ac:dyDescent="0.25">
      <c r="A879" t="s">
        <v>1962</v>
      </c>
      <c r="B879" t="s">
        <v>1331</v>
      </c>
      <c r="C879" t="s">
        <v>493</v>
      </c>
      <c r="D879">
        <v>65.3</v>
      </c>
    </row>
    <row r="880" spans="1:4" x14ac:dyDescent="0.25">
      <c r="A880" t="s">
        <v>1990</v>
      </c>
      <c r="B880" t="s">
        <v>1331</v>
      </c>
      <c r="C880" t="s">
        <v>493</v>
      </c>
      <c r="D880">
        <v>4.7</v>
      </c>
    </row>
    <row r="881" spans="1:4" x14ac:dyDescent="0.25">
      <c r="A881" t="s">
        <v>1998</v>
      </c>
      <c r="B881" t="s">
        <v>1331</v>
      </c>
      <c r="C881" t="s">
        <v>493</v>
      </c>
      <c r="D881">
        <v>15.4</v>
      </c>
    </row>
    <row r="882" spans="1:4" x14ac:dyDescent="0.25">
      <c r="A882" t="s">
        <v>1973</v>
      </c>
      <c r="B882" t="s">
        <v>1331</v>
      </c>
      <c r="C882" t="s">
        <v>493</v>
      </c>
      <c r="D882">
        <v>4.7</v>
      </c>
    </row>
    <row r="883" spans="1:4" x14ac:dyDescent="0.25">
      <c r="A883" t="s">
        <v>1958</v>
      </c>
      <c r="B883" t="s">
        <v>1331</v>
      </c>
      <c r="C883" t="s">
        <v>493</v>
      </c>
      <c r="D883">
        <v>13.2</v>
      </c>
    </row>
    <row r="884" spans="1:4" x14ac:dyDescent="0.25">
      <c r="A884" t="s">
        <v>1927</v>
      </c>
      <c r="B884" t="s">
        <v>1331</v>
      </c>
      <c r="C884" t="s">
        <v>496</v>
      </c>
      <c r="D884">
        <v>123.2</v>
      </c>
    </row>
    <row r="885" spans="1:4" x14ac:dyDescent="0.25">
      <c r="A885" t="s">
        <v>1956</v>
      </c>
      <c r="B885" t="s">
        <v>1335</v>
      </c>
      <c r="C885" t="s">
        <v>496</v>
      </c>
      <c r="D885">
        <v>5.7</v>
      </c>
    </row>
    <row r="886" spans="1:4" x14ac:dyDescent="0.25">
      <c r="A886" t="s">
        <v>1962</v>
      </c>
      <c r="B886" t="s">
        <v>1331</v>
      </c>
      <c r="C886" t="s">
        <v>496</v>
      </c>
      <c r="D886">
        <v>37.5</v>
      </c>
    </row>
    <row r="887" spans="1:4" x14ac:dyDescent="0.25">
      <c r="A887" t="s">
        <v>1990</v>
      </c>
      <c r="B887" t="s">
        <v>1334</v>
      </c>
      <c r="C887" t="s">
        <v>496</v>
      </c>
      <c r="D887">
        <v>4.7</v>
      </c>
    </row>
    <row r="888" spans="1:4" x14ac:dyDescent="0.25">
      <c r="A888" t="s">
        <v>1997</v>
      </c>
      <c r="B888" t="s">
        <v>1331</v>
      </c>
      <c r="C888" t="s">
        <v>496</v>
      </c>
      <c r="D888">
        <v>576.54999999999995</v>
      </c>
    </row>
    <row r="889" spans="1:4" x14ac:dyDescent="0.25">
      <c r="A889" t="s">
        <v>2003</v>
      </c>
      <c r="B889" t="s">
        <v>1331</v>
      </c>
      <c r="C889" t="s">
        <v>496</v>
      </c>
      <c r="D889">
        <v>192.15</v>
      </c>
    </row>
    <row r="890" spans="1:4" x14ac:dyDescent="0.25">
      <c r="A890" t="s">
        <v>1968</v>
      </c>
      <c r="B890" t="s">
        <v>1330</v>
      </c>
      <c r="C890" t="s">
        <v>496</v>
      </c>
      <c r="D890">
        <v>32.799999999999997</v>
      </c>
    </row>
    <row r="891" spans="1:4" x14ac:dyDescent="0.25">
      <c r="A891" t="s">
        <v>1907</v>
      </c>
      <c r="B891" t="s">
        <v>1335</v>
      </c>
      <c r="C891" t="s">
        <v>496</v>
      </c>
      <c r="D891">
        <v>3</v>
      </c>
    </row>
    <row r="892" spans="1:4" x14ac:dyDescent="0.25">
      <c r="A892" t="s">
        <v>1980</v>
      </c>
      <c r="B892" t="s">
        <v>1331</v>
      </c>
      <c r="C892" t="s">
        <v>496</v>
      </c>
      <c r="D892">
        <v>1.3</v>
      </c>
    </row>
    <row r="893" spans="1:4" x14ac:dyDescent="0.25">
      <c r="A893" t="s">
        <v>1974</v>
      </c>
      <c r="B893" t="s">
        <v>1330</v>
      </c>
      <c r="C893" t="s">
        <v>496</v>
      </c>
      <c r="D893">
        <v>34.5</v>
      </c>
    </row>
    <row r="894" spans="1:4" x14ac:dyDescent="0.25">
      <c r="A894" t="s">
        <v>1958</v>
      </c>
      <c r="B894" t="s">
        <v>1331</v>
      </c>
      <c r="C894" t="s">
        <v>496</v>
      </c>
      <c r="D894">
        <v>13.4</v>
      </c>
    </row>
    <row r="895" spans="1:4" x14ac:dyDescent="0.25">
      <c r="A895" t="s">
        <v>1911</v>
      </c>
      <c r="B895" t="s">
        <v>1335</v>
      </c>
      <c r="C895" t="s">
        <v>496</v>
      </c>
      <c r="D895">
        <v>0.7</v>
      </c>
    </row>
    <row r="896" spans="1:4" x14ac:dyDescent="0.25">
      <c r="A896" t="s">
        <v>1974</v>
      </c>
      <c r="B896" t="s">
        <v>1333</v>
      </c>
      <c r="C896" t="s">
        <v>496</v>
      </c>
      <c r="D896">
        <v>2</v>
      </c>
    </row>
    <row r="897" spans="1:4" x14ac:dyDescent="0.25">
      <c r="A897" t="s">
        <v>1997</v>
      </c>
      <c r="B897" t="s">
        <v>1333</v>
      </c>
      <c r="C897" t="s">
        <v>496</v>
      </c>
      <c r="D897">
        <v>44.2</v>
      </c>
    </row>
    <row r="898" spans="1:4" x14ac:dyDescent="0.25">
      <c r="A898" t="s">
        <v>1987</v>
      </c>
      <c r="B898" t="s">
        <v>1331</v>
      </c>
      <c r="C898" t="s">
        <v>496</v>
      </c>
      <c r="D898">
        <v>208</v>
      </c>
    </row>
    <row r="899" spans="1:4" x14ac:dyDescent="0.25">
      <c r="A899" t="s">
        <v>1990</v>
      </c>
      <c r="B899" t="s">
        <v>1331</v>
      </c>
      <c r="C899" t="s">
        <v>496</v>
      </c>
      <c r="D899">
        <v>40.950000000000003</v>
      </c>
    </row>
    <row r="900" spans="1:4" x14ac:dyDescent="0.25">
      <c r="A900" t="s">
        <v>1950</v>
      </c>
      <c r="B900" t="s">
        <v>1331</v>
      </c>
      <c r="C900" t="s">
        <v>496</v>
      </c>
      <c r="D900">
        <v>4</v>
      </c>
    </row>
    <row r="901" spans="1:4" x14ac:dyDescent="0.25">
      <c r="A901" t="s">
        <v>2004</v>
      </c>
      <c r="B901" t="s">
        <v>1331</v>
      </c>
      <c r="C901" t="s">
        <v>496</v>
      </c>
      <c r="D901">
        <v>3.7</v>
      </c>
    </row>
    <row r="902" spans="1:4" x14ac:dyDescent="0.25">
      <c r="A902" t="s">
        <v>1980</v>
      </c>
      <c r="B902" t="s">
        <v>1333</v>
      </c>
      <c r="C902" t="s">
        <v>496</v>
      </c>
      <c r="D902">
        <v>11.85</v>
      </c>
    </row>
    <row r="903" spans="1:4" x14ac:dyDescent="0.25">
      <c r="A903" t="s">
        <v>1999</v>
      </c>
      <c r="B903" t="s">
        <v>1331</v>
      </c>
      <c r="C903" t="s">
        <v>496</v>
      </c>
      <c r="D903">
        <v>1.7</v>
      </c>
    </row>
    <row r="904" spans="1:4" x14ac:dyDescent="0.25">
      <c r="A904" t="s">
        <v>1973</v>
      </c>
      <c r="B904" t="s">
        <v>1333</v>
      </c>
      <c r="C904" t="s">
        <v>500</v>
      </c>
      <c r="D904">
        <v>3.85</v>
      </c>
    </row>
    <row r="905" spans="1:4" x14ac:dyDescent="0.25">
      <c r="A905" t="s">
        <v>1950</v>
      </c>
      <c r="B905" t="s">
        <v>1331</v>
      </c>
      <c r="C905" t="s">
        <v>500</v>
      </c>
      <c r="D905">
        <v>6</v>
      </c>
    </row>
    <row r="906" spans="1:4" x14ac:dyDescent="0.25">
      <c r="A906" t="s">
        <v>1987</v>
      </c>
      <c r="B906" t="s">
        <v>1331</v>
      </c>
      <c r="C906" t="s">
        <v>500</v>
      </c>
      <c r="D906">
        <v>140.9</v>
      </c>
    </row>
    <row r="907" spans="1:4" x14ac:dyDescent="0.25">
      <c r="A907" t="s">
        <v>2004</v>
      </c>
      <c r="B907" t="s">
        <v>1331</v>
      </c>
      <c r="C907" t="s">
        <v>500</v>
      </c>
      <c r="D907">
        <v>4</v>
      </c>
    </row>
    <row r="908" spans="1:4" x14ac:dyDescent="0.25">
      <c r="A908" t="s">
        <v>1968</v>
      </c>
      <c r="B908" t="s">
        <v>1330</v>
      </c>
      <c r="C908" t="s">
        <v>500</v>
      </c>
      <c r="D908">
        <v>56.3</v>
      </c>
    </row>
    <row r="909" spans="1:4" x14ac:dyDescent="0.25">
      <c r="A909" t="s">
        <v>1913</v>
      </c>
      <c r="B909" t="s">
        <v>1335</v>
      </c>
      <c r="C909" t="s">
        <v>500</v>
      </c>
      <c r="D909">
        <v>8.6999999999999993</v>
      </c>
    </row>
    <row r="910" spans="1:4" x14ac:dyDescent="0.25">
      <c r="A910" t="s">
        <v>1973</v>
      </c>
      <c r="B910" t="s">
        <v>1331</v>
      </c>
      <c r="C910" t="s">
        <v>500</v>
      </c>
      <c r="D910">
        <v>770.35</v>
      </c>
    </row>
    <row r="911" spans="1:4" x14ac:dyDescent="0.25">
      <c r="A911" t="s">
        <v>1980</v>
      </c>
      <c r="B911" t="s">
        <v>1331</v>
      </c>
      <c r="C911" t="s">
        <v>500</v>
      </c>
      <c r="D911">
        <v>22.6</v>
      </c>
    </row>
    <row r="912" spans="1:4" x14ac:dyDescent="0.25">
      <c r="A912" t="s">
        <v>1923</v>
      </c>
      <c r="B912" t="s">
        <v>1331</v>
      </c>
      <c r="C912" t="s">
        <v>500</v>
      </c>
      <c r="D912">
        <v>357.8</v>
      </c>
    </row>
    <row r="913" spans="1:4" x14ac:dyDescent="0.25">
      <c r="A913" t="s">
        <v>1909</v>
      </c>
      <c r="B913" t="s">
        <v>1335</v>
      </c>
      <c r="C913" t="s">
        <v>500</v>
      </c>
      <c r="D913">
        <v>1.5</v>
      </c>
    </row>
    <row r="914" spans="1:4" x14ac:dyDescent="0.25">
      <c r="A914" t="s">
        <v>2003</v>
      </c>
      <c r="B914" t="s">
        <v>1331</v>
      </c>
      <c r="C914" t="s">
        <v>500</v>
      </c>
      <c r="D914">
        <v>139.44999999999999</v>
      </c>
    </row>
    <row r="915" spans="1:4" x14ac:dyDescent="0.25">
      <c r="A915" t="s">
        <v>1974</v>
      </c>
      <c r="B915" t="s">
        <v>1330</v>
      </c>
      <c r="C915" t="s">
        <v>500</v>
      </c>
      <c r="D915">
        <v>28.85</v>
      </c>
    </row>
    <row r="916" spans="1:4" x14ac:dyDescent="0.25">
      <c r="A916" t="s">
        <v>1958</v>
      </c>
      <c r="B916" t="s">
        <v>1331</v>
      </c>
      <c r="C916" t="s">
        <v>500</v>
      </c>
      <c r="D916">
        <v>1</v>
      </c>
    </row>
    <row r="917" spans="1:4" x14ac:dyDescent="0.25">
      <c r="A917" t="s">
        <v>1988</v>
      </c>
      <c r="B917" t="s">
        <v>1330</v>
      </c>
      <c r="C917" t="s">
        <v>500</v>
      </c>
      <c r="D917">
        <v>3</v>
      </c>
    </row>
    <row r="918" spans="1:4" x14ac:dyDescent="0.25">
      <c r="A918" t="s">
        <v>2005</v>
      </c>
      <c r="B918" t="s">
        <v>1331</v>
      </c>
      <c r="C918" t="s">
        <v>500</v>
      </c>
      <c r="D918">
        <v>23.1</v>
      </c>
    </row>
    <row r="919" spans="1:4" x14ac:dyDescent="0.25">
      <c r="A919" t="s">
        <v>1997</v>
      </c>
      <c r="B919" t="s">
        <v>1333</v>
      </c>
      <c r="C919" t="s">
        <v>500</v>
      </c>
      <c r="D919">
        <v>3</v>
      </c>
    </row>
    <row r="920" spans="1:4" x14ac:dyDescent="0.25">
      <c r="A920" t="s">
        <v>1990</v>
      </c>
      <c r="B920" t="s">
        <v>1331</v>
      </c>
      <c r="C920" t="s">
        <v>500</v>
      </c>
      <c r="D920">
        <v>17</v>
      </c>
    </row>
    <row r="921" spans="1:4" x14ac:dyDescent="0.25">
      <c r="A921" t="s">
        <v>1955</v>
      </c>
      <c r="B921" t="s">
        <v>1335</v>
      </c>
      <c r="C921" t="s">
        <v>504</v>
      </c>
      <c r="D921">
        <v>23.5</v>
      </c>
    </row>
    <row r="922" spans="1:4" x14ac:dyDescent="0.25">
      <c r="A922" t="s">
        <v>1968</v>
      </c>
      <c r="B922" t="s">
        <v>1330</v>
      </c>
      <c r="C922" t="s">
        <v>504</v>
      </c>
      <c r="D922">
        <v>13.55</v>
      </c>
    </row>
    <row r="923" spans="1:4" x14ac:dyDescent="0.25">
      <c r="A923" t="s">
        <v>2003</v>
      </c>
      <c r="B923" t="s">
        <v>1331</v>
      </c>
      <c r="C923" t="s">
        <v>504</v>
      </c>
      <c r="D923">
        <v>31.8</v>
      </c>
    </row>
    <row r="924" spans="1:4" x14ac:dyDescent="0.25">
      <c r="A924" t="s">
        <v>1965</v>
      </c>
      <c r="B924" t="s">
        <v>1331</v>
      </c>
      <c r="C924" t="s">
        <v>504</v>
      </c>
      <c r="D924">
        <v>192.5</v>
      </c>
    </row>
    <row r="925" spans="1:4" x14ac:dyDescent="0.25">
      <c r="A925" t="s">
        <v>1993</v>
      </c>
      <c r="B925" t="s">
        <v>1335</v>
      </c>
      <c r="C925" t="s">
        <v>504</v>
      </c>
      <c r="D925">
        <v>6</v>
      </c>
    </row>
    <row r="926" spans="1:4" x14ac:dyDescent="0.25">
      <c r="A926" t="s">
        <v>1907</v>
      </c>
      <c r="B926" t="s">
        <v>1335</v>
      </c>
      <c r="C926" t="s">
        <v>504</v>
      </c>
      <c r="D926">
        <v>1</v>
      </c>
    </row>
    <row r="927" spans="1:4" x14ac:dyDescent="0.25">
      <c r="A927" t="s">
        <v>1974</v>
      </c>
      <c r="B927" t="s">
        <v>1330</v>
      </c>
      <c r="C927" t="s">
        <v>504</v>
      </c>
      <c r="D927">
        <v>28.15</v>
      </c>
    </row>
    <row r="928" spans="1:4" x14ac:dyDescent="0.25">
      <c r="A928" t="s">
        <v>1909</v>
      </c>
      <c r="B928" t="s">
        <v>1335</v>
      </c>
      <c r="C928" t="s">
        <v>504</v>
      </c>
      <c r="D928">
        <v>6</v>
      </c>
    </row>
    <row r="929" spans="1:4" x14ac:dyDescent="0.25">
      <c r="A929" t="s">
        <v>1979</v>
      </c>
      <c r="B929" t="s">
        <v>1331</v>
      </c>
      <c r="C929" t="s">
        <v>504</v>
      </c>
      <c r="D929">
        <v>343.45</v>
      </c>
    </row>
    <row r="930" spans="1:4" x14ac:dyDescent="0.25">
      <c r="A930" t="s">
        <v>1979</v>
      </c>
      <c r="B930" t="s">
        <v>1331</v>
      </c>
      <c r="C930" t="s">
        <v>508</v>
      </c>
      <c r="D930">
        <v>6.4</v>
      </c>
    </row>
    <row r="931" spans="1:4" x14ac:dyDescent="0.25">
      <c r="A931" t="s">
        <v>1916</v>
      </c>
      <c r="B931" t="s">
        <v>1335</v>
      </c>
      <c r="C931" t="s">
        <v>508</v>
      </c>
      <c r="D931">
        <v>12.4</v>
      </c>
    </row>
    <row r="932" spans="1:4" x14ac:dyDescent="0.25">
      <c r="A932" t="s">
        <v>1955</v>
      </c>
      <c r="B932" t="s">
        <v>1335</v>
      </c>
      <c r="C932" t="s">
        <v>508</v>
      </c>
      <c r="D932">
        <v>36.049999999999997</v>
      </c>
    </row>
    <row r="933" spans="1:4" x14ac:dyDescent="0.25">
      <c r="A933" t="s">
        <v>1993</v>
      </c>
      <c r="B933" t="s">
        <v>1335</v>
      </c>
      <c r="C933" t="s">
        <v>508</v>
      </c>
      <c r="D933">
        <v>28</v>
      </c>
    </row>
    <row r="934" spans="1:4" x14ac:dyDescent="0.25">
      <c r="A934" t="s">
        <v>1983</v>
      </c>
      <c r="B934" t="s">
        <v>1335</v>
      </c>
      <c r="C934" t="s">
        <v>508</v>
      </c>
      <c r="D934">
        <v>14.2</v>
      </c>
    </row>
    <row r="935" spans="1:4" x14ac:dyDescent="0.25">
      <c r="A935" t="s">
        <v>1974</v>
      </c>
      <c r="B935" t="s">
        <v>1330</v>
      </c>
      <c r="C935" t="s">
        <v>508</v>
      </c>
      <c r="D935">
        <v>22.75</v>
      </c>
    </row>
    <row r="936" spans="1:4" x14ac:dyDescent="0.25">
      <c r="A936" t="s">
        <v>1916</v>
      </c>
      <c r="B936" t="s">
        <v>1331</v>
      </c>
      <c r="C936" t="s">
        <v>508</v>
      </c>
      <c r="D936">
        <v>109.4</v>
      </c>
    </row>
    <row r="937" spans="1:4" x14ac:dyDescent="0.25">
      <c r="A937" t="s">
        <v>1965</v>
      </c>
      <c r="B937" t="s">
        <v>1331</v>
      </c>
      <c r="C937" t="s">
        <v>508</v>
      </c>
      <c r="D937">
        <v>111.65</v>
      </c>
    </row>
    <row r="938" spans="1:4" x14ac:dyDescent="0.25">
      <c r="A938" t="s">
        <v>1968</v>
      </c>
      <c r="B938" t="s">
        <v>1330</v>
      </c>
      <c r="C938" t="s">
        <v>508</v>
      </c>
      <c r="D938">
        <v>10.55</v>
      </c>
    </row>
    <row r="939" spans="1:4" x14ac:dyDescent="0.25">
      <c r="A939" t="s">
        <v>2003</v>
      </c>
      <c r="B939" t="s">
        <v>1331</v>
      </c>
      <c r="C939" t="s">
        <v>508</v>
      </c>
      <c r="D939">
        <v>15.9</v>
      </c>
    </row>
    <row r="940" spans="1:4" x14ac:dyDescent="0.25">
      <c r="A940" t="s">
        <v>1988</v>
      </c>
      <c r="B940" t="s">
        <v>1330</v>
      </c>
      <c r="C940" t="s">
        <v>512</v>
      </c>
      <c r="D940">
        <v>3</v>
      </c>
    </row>
    <row r="941" spans="1:4" x14ac:dyDescent="0.25">
      <c r="A941" t="s">
        <v>1923</v>
      </c>
      <c r="B941" t="s">
        <v>1331</v>
      </c>
      <c r="C941" t="s">
        <v>512</v>
      </c>
      <c r="D941">
        <v>1.7</v>
      </c>
    </row>
    <row r="942" spans="1:4" x14ac:dyDescent="0.25">
      <c r="A942" t="s">
        <v>1980</v>
      </c>
      <c r="B942" t="s">
        <v>1333</v>
      </c>
      <c r="C942" t="s">
        <v>512</v>
      </c>
      <c r="D942">
        <v>1</v>
      </c>
    </row>
    <row r="943" spans="1:4" x14ac:dyDescent="0.25">
      <c r="A943" t="s">
        <v>1980</v>
      </c>
      <c r="B943" t="s">
        <v>1331</v>
      </c>
      <c r="C943" t="s">
        <v>512</v>
      </c>
      <c r="D943">
        <v>2</v>
      </c>
    </row>
    <row r="944" spans="1:4" x14ac:dyDescent="0.25">
      <c r="A944" t="s">
        <v>1979</v>
      </c>
      <c r="B944" t="s">
        <v>1331</v>
      </c>
      <c r="C944" t="s">
        <v>514</v>
      </c>
      <c r="D944">
        <v>386.1</v>
      </c>
    </row>
    <row r="945" spans="1:4" x14ac:dyDescent="0.25">
      <c r="A945" t="s">
        <v>1965</v>
      </c>
      <c r="B945" t="s">
        <v>1331</v>
      </c>
      <c r="C945" t="s">
        <v>514</v>
      </c>
      <c r="D945">
        <v>30.8</v>
      </c>
    </row>
    <row r="946" spans="1:4" x14ac:dyDescent="0.25">
      <c r="A946" t="s">
        <v>1968</v>
      </c>
      <c r="B946" t="s">
        <v>1330</v>
      </c>
      <c r="C946" t="s">
        <v>514</v>
      </c>
      <c r="D946">
        <v>16.100000000000001</v>
      </c>
    </row>
    <row r="947" spans="1:4" x14ac:dyDescent="0.25">
      <c r="A947" t="s">
        <v>1916</v>
      </c>
      <c r="B947" t="s">
        <v>1335</v>
      </c>
      <c r="C947" t="s">
        <v>514</v>
      </c>
      <c r="D947">
        <v>55.6</v>
      </c>
    </row>
    <row r="948" spans="1:4" x14ac:dyDescent="0.25">
      <c r="A948" t="s">
        <v>1993</v>
      </c>
      <c r="B948" t="s">
        <v>1335</v>
      </c>
      <c r="C948" t="s">
        <v>514</v>
      </c>
      <c r="D948">
        <v>23.5</v>
      </c>
    </row>
    <row r="949" spans="1:4" x14ac:dyDescent="0.25">
      <c r="A949" t="s">
        <v>1974</v>
      </c>
      <c r="B949" t="s">
        <v>1330</v>
      </c>
      <c r="C949" t="s">
        <v>514</v>
      </c>
      <c r="D949">
        <v>18.95</v>
      </c>
    </row>
    <row r="950" spans="1:4" x14ac:dyDescent="0.25">
      <c r="A950" t="s">
        <v>2003</v>
      </c>
      <c r="B950" t="s">
        <v>1334</v>
      </c>
      <c r="C950" t="s">
        <v>514</v>
      </c>
      <c r="D950">
        <v>24.1</v>
      </c>
    </row>
    <row r="951" spans="1:4" x14ac:dyDescent="0.25">
      <c r="A951" t="s">
        <v>1907</v>
      </c>
      <c r="B951" t="s">
        <v>1335</v>
      </c>
      <c r="C951" t="s">
        <v>514</v>
      </c>
      <c r="D951">
        <v>1</v>
      </c>
    </row>
    <row r="952" spans="1:4" x14ac:dyDescent="0.25">
      <c r="A952" t="s">
        <v>1909</v>
      </c>
      <c r="B952" t="s">
        <v>1335</v>
      </c>
      <c r="C952" t="s">
        <v>514</v>
      </c>
      <c r="D952">
        <v>0.5</v>
      </c>
    </row>
    <row r="953" spans="1:4" x14ac:dyDescent="0.25">
      <c r="A953" t="s">
        <v>1965</v>
      </c>
      <c r="B953" t="s">
        <v>1331</v>
      </c>
      <c r="C953" t="s">
        <v>518</v>
      </c>
      <c r="D953">
        <v>308</v>
      </c>
    </row>
    <row r="954" spans="1:4" x14ac:dyDescent="0.25">
      <c r="A954" t="s">
        <v>1993</v>
      </c>
      <c r="B954" t="s">
        <v>1335</v>
      </c>
      <c r="C954" t="s">
        <v>518</v>
      </c>
      <c r="D954">
        <v>9</v>
      </c>
    </row>
    <row r="955" spans="1:4" x14ac:dyDescent="0.25">
      <c r="A955" t="s">
        <v>1909</v>
      </c>
      <c r="B955" t="s">
        <v>1335</v>
      </c>
      <c r="C955" t="s">
        <v>518</v>
      </c>
      <c r="D955">
        <v>0.5</v>
      </c>
    </row>
    <row r="956" spans="1:4" x14ac:dyDescent="0.25">
      <c r="A956" t="s">
        <v>1916</v>
      </c>
      <c r="B956" t="s">
        <v>1335</v>
      </c>
      <c r="C956" t="s">
        <v>518</v>
      </c>
      <c r="D956">
        <v>219.5</v>
      </c>
    </row>
    <row r="957" spans="1:4" x14ac:dyDescent="0.25">
      <c r="A957" t="s">
        <v>1907</v>
      </c>
      <c r="B957" t="s">
        <v>1335</v>
      </c>
      <c r="C957" t="s">
        <v>518</v>
      </c>
      <c r="D957">
        <v>1</v>
      </c>
    </row>
    <row r="958" spans="1:4" x14ac:dyDescent="0.25">
      <c r="A958" t="s">
        <v>1984</v>
      </c>
      <c r="B958" t="s">
        <v>1331</v>
      </c>
      <c r="C958" t="s">
        <v>518</v>
      </c>
      <c r="D958">
        <v>0.5</v>
      </c>
    </row>
    <row r="959" spans="1:4" x14ac:dyDescent="0.25">
      <c r="A959" t="s">
        <v>1974</v>
      </c>
      <c r="B959" t="s">
        <v>1330</v>
      </c>
      <c r="C959" t="s">
        <v>518</v>
      </c>
      <c r="D959">
        <v>28.95</v>
      </c>
    </row>
    <row r="960" spans="1:4" x14ac:dyDescent="0.25">
      <c r="A960" t="s">
        <v>1968</v>
      </c>
      <c r="B960" t="s">
        <v>1330</v>
      </c>
      <c r="C960" t="s">
        <v>518</v>
      </c>
      <c r="D960">
        <v>7.7</v>
      </c>
    </row>
    <row r="961" spans="1:4" x14ac:dyDescent="0.25">
      <c r="A961" t="s">
        <v>2003</v>
      </c>
      <c r="B961" t="s">
        <v>1331</v>
      </c>
      <c r="C961" t="s">
        <v>518</v>
      </c>
      <c r="D961">
        <v>18.75</v>
      </c>
    </row>
    <row r="962" spans="1:4" x14ac:dyDescent="0.25">
      <c r="A962" t="s">
        <v>1974</v>
      </c>
      <c r="B962" t="s">
        <v>1330</v>
      </c>
      <c r="C962" t="s">
        <v>522</v>
      </c>
      <c r="D962">
        <v>9.6999999999999993</v>
      </c>
    </row>
    <row r="963" spans="1:4" x14ac:dyDescent="0.25">
      <c r="A963" t="s">
        <v>1979</v>
      </c>
      <c r="B963" t="s">
        <v>1331</v>
      </c>
      <c r="C963" t="s">
        <v>522</v>
      </c>
      <c r="D963">
        <v>2.7</v>
      </c>
    </row>
    <row r="964" spans="1:4" x14ac:dyDescent="0.25">
      <c r="A964" t="s">
        <v>1968</v>
      </c>
      <c r="B964" t="s">
        <v>1330</v>
      </c>
      <c r="C964" t="s">
        <v>522</v>
      </c>
      <c r="D964">
        <v>7</v>
      </c>
    </row>
    <row r="965" spans="1:4" x14ac:dyDescent="0.25">
      <c r="A965" t="s">
        <v>1990</v>
      </c>
      <c r="B965" t="s">
        <v>1331</v>
      </c>
      <c r="C965" t="s">
        <v>522</v>
      </c>
      <c r="D965">
        <v>13.7</v>
      </c>
    </row>
    <row r="966" spans="1:4" x14ac:dyDescent="0.25">
      <c r="A966" t="s">
        <v>1979</v>
      </c>
      <c r="B966" t="s">
        <v>1331</v>
      </c>
      <c r="C966" t="s">
        <v>526</v>
      </c>
      <c r="D966">
        <v>208.65</v>
      </c>
    </row>
    <row r="967" spans="1:4" x14ac:dyDescent="0.25">
      <c r="A967" t="s">
        <v>1974</v>
      </c>
      <c r="B967" t="s">
        <v>1331</v>
      </c>
      <c r="C967" t="s">
        <v>526</v>
      </c>
      <c r="D967">
        <v>1.85</v>
      </c>
    </row>
    <row r="968" spans="1:4" x14ac:dyDescent="0.25">
      <c r="A968" t="s">
        <v>1965</v>
      </c>
      <c r="B968" t="s">
        <v>1333</v>
      </c>
      <c r="C968" t="s">
        <v>526</v>
      </c>
      <c r="D968">
        <v>23.1</v>
      </c>
    </row>
    <row r="969" spans="1:4" x14ac:dyDescent="0.25">
      <c r="A969" t="s">
        <v>1968</v>
      </c>
      <c r="B969" t="s">
        <v>1330</v>
      </c>
      <c r="C969" t="s">
        <v>526</v>
      </c>
      <c r="D969">
        <v>6.8</v>
      </c>
    </row>
    <row r="970" spans="1:4" x14ac:dyDescent="0.25">
      <c r="A970" t="s">
        <v>1965</v>
      </c>
      <c r="B970" t="s">
        <v>1331</v>
      </c>
      <c r="C970" t="s">
        <v>526</v>
      </c>
      <c r="D970">
        <v>462</v>
      </c>
    </row>
    <row r="971" spans="1:4" x14ac:dyDescent="0.25">
      <c r="A971" t="s">
        <v>1974</v>
      </c>
      <c r="B971" t="s">
        <v>1330</v>
      </c>
      <c r="C971" t="s">
        <v>526</v>
      </c>
      <c r="D971">
        <v>19.25</v>
      </c>
    </row>
    <row r="972" spans="1:4" x14ac:dyDescent="0.25">
      <c r="A972" t="s">
        <v>1916</v>
      </c>
      <c r="B972" t="s">
        <v>1335</v>
      </c>
      <c r="C972" t="s">
        <v>526</v>
      </c>
      <c r="D972">
        <v>35.5</v>
      </c>
    </row>
    <row r="973" spans="1:4" x14ac:dyDescent="0.25">
      <c r="A973" t="s">
        <v>1974</v>
      </c>
      <c r="B973" t="s">
        <v>1330</v>
      </c>
      <c r="C973" t="s">
        <v>529</v>
      </c>
      <c r="D973">
        <v>7.7</v>
      </c>
    </row>
    <row r="974" spans="1:4" x14ac:dyDescent="0.25">
      <c r="A974" t="s">
        <v>1916</v>
      </c>
      <c r="B974" t="s">
        <v>1335</v>
      </c>
      <c r="C974" t="s">
        <v>529</v>
      </c>
      <c r="D974">
        <v>85.2</v>
      </c>
    </row>
    <row r="975" spans="1:4" x14ac:dyDescent="0.25">
      <c r="A975" t="s">
        <v>1974</v>
      </c>
      <c r="B975" t="s">
        <v>1331</v>
      </c>
      <c r="C975" t="s">
        <v>529</v>
      </c>
      <c r="D975">
        <v>2</v>
      </c>
    </row>
    <row r="976" spans="1:4" x14ac:dyDescent="0.25">
      <c r="A976" t="s">
        <v>1968</v>
      </c>
      <c r="B976" t="s">
        <v>1330</v>
      </c>
      <c r="C976" t="s">
        <v>529</v>
      </c>
      <c r="D976">
        <v>13.5</v>
      </c>
    </row>
    <row r="977" spans="1:4" x14ac:dyDescent="0.25">
      <c r="A977" t="s">
        <v>1927</v>
      </c>
      <c r="B977" t="s">
        <v>1331</v>
      </c>
      <c r="C977" t="s">
        <v>532</v>
      </c>
      <c r="D977">
        <v>84.7</v>
      </c>
    </row>
    <row r="978" spans="1:4" x14ac:dyDescent="0.25">
      <c r="A978" t="s">
        <v>1984</v>
      </c>
      <c r="B978" t="s">
        <v>1331</v>
      </c>
      <c r="C978" t="s">
        <v>532</v>
      </c>
      <c r="D978">
        <v>4.7</v>
      </c>
    </row>
    <row r="979" spans="1:4" x14ac:dyDescent="0.25">
      <c r="A979" t="s">
        <v>1968</v>
      </c>
      <c r="B979" t="s">
        <v>1330</v>
      </c>
      <c r="C979" t="s">
        <v>532</v>
      </c>
      <c r="D979">
        <v>7</v>
      </c>
    </row>
    <row r="980" spans="1:4" x14ac:dyDescent="0.25">
      <c r="A980" t="s">
        <v>1988</v>
      </c>
      <c r="B980" t="s">
        <v>1330</v>
      </c>
      <c r="C980" t="s">
        <v>532</v>
      </c>
      <c r="D980">
        <v>3</v>
      </c>
    </row>
    <row r="981" spans="1:4" x14ac:dyDescent="0.25">
      <c r="A981" t="s">
        <v>1974</v>
      </c>
      <c r="B981" t="s">
        <v>1330</v>
      </c>
      <c r="C981" t="s">
        <v>532</v>
      </c>
      <c r="D981">
        <v>12.55</v>
      </c>
    </row>
    <row r="982" spans="1:4" x14ac:dyDescent="0.25">
      <c r="A982" t="s">
        <v>1909</v>
      </c>
      <c r="B982" t="s">
        <v>1335</v>
      </c>
      <c r="C982" t="s">
        <v>532</v>
      </c>
      <c r="D982">
        <v>5.5</v>
      </c>
    </row>
    <row r="983" spans="1:4" x14ac:dyDescent="0.25">
      <c r="A983" t="s">
        <v>1980</v>
      </c>
      <c r="B983" t="s">
        <v>1331</v>
      </c>
      <c r="C983" t="s">
        <v>532</v>
      </c>
      <c r="D983">
        <v>26.25</v>
      </c>
    </row>
    <row r="984" spans="1:4" x14ac:dyDescent="0.25">
      <c r="A984" t="s">
        <v>1913</v>
      </c>
      <c r="B984" t="s">
        <v>1335</v>
      </c>
      <c r="C984" t="s">
        <v>532</v>
      </c>
      <c r="D984">
        <v>3.85</v>
      </c>
    </row>
    <row r="985" spans="1:4" x14ac:dyDescent="0.25">
      <c r="A985" t="s">
        <v>1907</v>
      </c>
      <c r="B985" t="s">
        <v>1335</v>
      </c>
      <c r="C985" t="s">
        <v>532</v>
      </c>
      <c r="D985">
        <v>1</v>
      </c>
    </row>
    <row r="986" spans="1:4" x14ac:dyDescent="0.25">
      <c r="A986" t="s">
        <v>1980</v>
      </c>
      <c r="B986" t="s">
        <v>1333</v>
      </c>
      <c r="C986" t="s">
        <v>536</v>
      </c>
      <c r="D986">
        <v>2</v>
      </c>
    </row>
    <row r="987" spans="1:4" x14ac:dyDescent="0.25">
      <c r="A987" t="s">
        <v>1974</v>
      </c>
      <c r="B987" t="s">
        <v>1330</v>
      </c>
      <c r="C987" t="s">
        <v>536</v>
      </c>
      <c r="D987">
        <v>3</v>
      </c>
    </row>
    <row r="988" spans="1:4" x14ac:dyDescent="0.25">
      <c r="A988" t="s">
        <v>1923</v>
      </c>
      <c r="B988" t="s">
        <v>1331</v>
      </c>
      <c r="C988" t="s">
        <v>536</v>
      </c>
      <c r="D988">
        <v>6</v>
      </c>
    </row>
    <row r="989" spans="1:4" x14ac:dyDescent="0.25">
      <c r="A989" t="s">
        <v>1988</v>
      </c>
      <c r="B989" t="s">
        <v>1330</v>
      </c>
      <c r="C989" t="s">
        <v>536</v>
      </c>
      <c r="D989">
        <v>7</v>
      </c>
    </row>
    <row r="990" spans="1:4" x14ac:dyDescent="0.25">
      <c r="A990" t="s">
        <v>1979</v>
      </c>
      <c r="B990" t="s">
        <v>1331</v>
      </c>
      <c r="C990" t="s">
        <v>540</v>
      </c>
      <c r="D990">
        <v>487.55</v>
      </c>
    </row>
    <row r="991" spans="1:4" x14ac:dyDescent="0.25">
      <c r="A991" t="s">
        <v>1909</v>
      </c>
      <c r="B991" t="s">
        <v>1335</v>
      </c>
      <c r="C991" t="s">
        <v>540</v>
      </c>
      <c r="D991">
        <v>1</v>
      </c>
    </row>
    <row r="992" spans="1:4" x14ac:dyDescent="0.25">
      <c r="A992" t="s">
        <v>1993</v>
      </c>
      <c r="B992" t="s">
        <v>1335</v>
      </c>
      <c r="C992" t="s">
        <v>540</v>
      </c>
      <c r="D992">
        <v>12</v>
      </c>
    </row>
    <row r="993" spans="1:4" x14ac:dyDescent="0.25">
      <c r="A993" t="s">
        <v>1996</v>
      </c>
      <c r="B993" t="s">
        <v>1331</v>
      </c>
      <c r="C993" t="s">
        <v>540</v>
      </c>
      <c r="D993">
        <v>8.1</v>
      </c>
    </row>
    <row r="994" spans="1:4" x14ac:dyDescent="0.25">
      <c r="A994" t="s">
        <v>1974</v>
      </c>
      <c r="B994" t="s">
        <v>1330</v>
      </c>
      <c r="C994" t="s">
        <v>540</v>
      </c>
      <c r="D994">
        <v>13.4</v>
      </c>
    </row>
    <row r="995" spans="1:4" x14ac:dyDescent="0.25">
      <c r="A995" t="s">
        <v>1988</v>
      </c>
      <c r="B995" t="s">
        <v>1330</v>
      </c>
      <c r="C995" t="s">
        <v>540</v>
      </c>
      <c r="D995">
        <v>0.7</v>
      </c>
    </row>
    <row r="996" spans="1:4" x14ac:dyDescent="0.25">
      <c r="A996" t="s">
        <v>1921</v>
      </c>
      <c r="B996" t="s">
        <v>1330</v>
      </c>
      <c r="C996" t="s">
        <v>540</v>
      </c>
      <c r="D996">
        <v>23.1</v>
      </c>
    </row>
    <row r="997" spans="1:4" x14ac:dyDescent="0.25">
      <c r="A997" t="s">
        <v>1918</v>
      </c>
      <c r="B997" t="s">
        <v>1335</v>
      </c>
      <c r="C997" t="s">
        <v>540</v>
      </c>
      <c r="D997">
        <v>1.5</v>
      </c>
    </row>
    <row r="998" spans="1:4" x14ac:dyDescent="0.25">
      <c r="A998" t="s">
        <v>1979</v>
      </c>
      <c r="B998" t="s">
        <v>1331</v>
      </c>
      <c r="C998" t="s">
        <v>544</v>
      </c>
      <c r="D998">
        <v>4.4000000000000004</v>
      </c>
    </row>
    <row r="999" spans="1:4" x14ac:dyDescent="0.25">
      <c r="A999" t="s">
        <v>1968</v>
      </c>
      <c r="B999" t="s">
        <v>1330</v>
      </c>
      <c r="C999" t="s">
        <v>547</v>
      </c>
      <c r="D999">
        <v>22.95</v>
      </c>
    </row>
    <row r="1000" spans="1:4" x14ac:dyDescent="0.25">
      <c r="A1000" t="s">
        <v>1989</v>
      </c>
      <c r="B1000" t="s">
        <v>1331</v>
      </c>
      <c r="C1000" t="s">
        <v>547</v>
      </c>
      <c r="D1000">
        <v>345.85</v>
      </c>
    </row>
    <row r="1001" spans="1:4" x14ac:dyDescent="0.25">
      <c r="A1001" t="s">
        <v>1958</v>
      </c>
      <c r="B1001" t="s">
        <v>1331</v>
      </c>
      <c r="C1001" t="s">
        <v>547</v>
      </c>
      <c r="D1001">
        <v>17.399999999999999</v>
      </c>
    </row>
    <row r="1002" spans="1:4" x14ac:dyDescent="0.25">
      <c r="A1002" t="s">
        <v>1990</v>
      </c>
      <c r="B1002" t="s">
        <v>1331</v>
      </c>
      <c r="C1002" t="s">
        <v>547</v>
      </c>
      <c r="D1002">
        <v>33.299999999999997</v>
      </c>
    </row>
    <row r="1003" spans="1:4" x14ac:dyDescent="0.25">
      <c r="A1003" t="s">
        <v>1999</v>
      </c>
      <c r="B1003" t="s">
        <v>1333</v>
      </c>
      <c r="C1003" t="s">
        <v>547</v>
      </c>
      <c r="D1003">
        <v>5</v>
      </c>
    </row>
    <row r="1004" spans="1:4" x14ac:dyDescent="0.25">
      <c r="A1004" t="s">
        <v>1921</v>
      </c>
      <c r="B1004" t="s">
        <v>1330</v>
      </c>
      <c r="C1004" t="s">
        <v>547</v>
      </c>
      <c r="D1004">
        <v>130.9</v>
      </c>
    </row>
    <row r="1005" spans="1:4" x14ac:dyDescent="0.25">
      <c r="A1005" t="s">
        <v>2006</v>
      </c>
      <c r="B1005" t="s">
        <v>1331</v>
      </c>
      <c r="C1005" t="s">
        <v>547</v>
      </c>
      <c r="D1005">
        <v>1</v>
      </c>
    </row>
    <row r="1006" spans="1:4" x14ac:dyDescent="0.25">
      <c r="A1006" t="s">
        <v>1980</v>
      </c>
      <c r="B1006" t="s">
        <v>1333</v>
      </c>
      <c r="C1006" t="s">
        <v>547</v>
      </c>
      <c r="D1006">
        <v>4</v>
      </c>
    </row>
    <row r="1007" spans="1:4" x14ac:dyDescent="0.25">
      <c r="A1007" t="s">
        <v>1918</v>
      </c>
      <c r="B1007" t="s">
        <v>1335</v>
      </c>
      <c r="C1007" t="s">
        <v>547</v>
      </c>
      <c r="D1007">
        <v>2</v>
      </c>
    </row>
    <row r="1008" spans="1:4" x14ac:dyDescent="0.25">
      <c r="A1008" t="s">
        <v>1994</v>
      </c>
      <c r="B1008" t="s">
        <v>1331</v>
      </c>
      <c r="C1008" t="s">
        <v>547</v>
      </c>
      <c r="D1008">
        <v>452.8</v>
      </c>
    </row>
    <row r="1009" spans="1:4" x14ac:dyDescent="0.25">
      <c r="A1009" t="s">
        <v>1999</v>
      </c>
      <c r="B1009" t="s">
        <v>1331</v>
      </c>
      <c r="C1009" t="s">
        <v>547</v>
      </c>
      <c r="D1009">
        <v>723.65</v>
      </c>
    </row>
    <row r="1010" spans="1:4" x14ac:dyDescent="0.25">
      <c r="A1010" t="s">
        <v>1945</v>
      </c>
      <c r="B1010" t="s">
        <v>1331</v>
      </c>
      <c r="C1010" t="s">
        <v>547</v>
      </c>
      <c r="D1010">
        <v>2</v>
      </c>
    </row>
    <row r="1011" spans="1:4" x14ac:dyDescent="0.25">
      <c r="A1011" t="s">
        <v>1923</v>
      </c>
      <c r="B1011" t="s">
        <v>1331</v>
      </c>
      <c r="C1011" t="s">
        <v>547</v>
      </c>
      <c r="D1011">
        <v>2</v>
      </c>
    </row>
    <row r="1012" spans="1:4" x14ac:dyDescent="0.25">
      <c r="A1012" t="s">
        <v>1980</v>
      </c>
      <c r="B1012" t="s">
        <v>1331</v>
      </c>
      <c r="C1012" t="s">
        <v>547</v>
      </c>
      <c r="D1012">
        <v>11.05</v>
      </c>
    </row>
    <row r="1013" spans="1:4" x14ac:dyDescent="0.25">
      <c r="A1013" t="s">
        <v>1974</v>
      </c>
      <c r="B1013" t="s">
        <v>1330</v>
      </c>
      <c r="C1013" t="s">
        <v>547</v>
      </c>
      <c r="D1013">
        <v>27.95</v>
      </c>
    </row>
    <row r="1014" spans="1:4" x14ac:dyDescent="0.25">
      <c r="A1014" t="s">
        <v>2007</v>
      </c>
      <c r="B1014" t="s">
        <v>1331</v>
      </c>
      <c r="C1014" t="s">
        <v>547</v>
      </c>
      <c r="D1014">
        <v>69.3</v>
      </c>
    </row>
    <row r="1015" spans="1:4" x14ac:dyDescent="0.25">
      <c r="A1015" t="s">
        <v>1979</v>
      </c>
      <c r="B1015" t="s">
        <v>1331</v>
      </c>
      <c r="C1015" t="s">
        <v>550</v>
      </c>
      <c r="D1015">
        <v>32.200000000000003</v>
      </c>
    </row>
    <row r="1016" spans="1:4" x14ac:dyDescent="0.25">
      <c r="A1016" t="s">
        <v>1974</v>
      </c>
      <c r="B1016" t="s">
        <v>1330</v>
      </c>
      <c r="C1016" t="s">
        <v>550</v>
      </c>
      <c r="D1016">
        <v>9.4</v>
      </c>
    </row>
    <row r="1017" spans="1:4" x14ac:dyDescent="0.25">
      <c r="A1017" t="s">
        <v>1909</v>
      </c>
      <c r="B1017" t="s">
        <v>1335</v>
      </c>
      <c r="C1017" t="s">
        <v>550</v>
      </c>
      <c r="D1017">
        <v>1</v>
      </c>
    </row>
    <row r="1018" spans="1:4" x14ac:dyDescent="0.25">
      <c r="A1018" t="s">
        <v>1968</v>
      </c>
      <c r="B1018" t="s">
        <v>1330</v>
      </c>
      <c r="C1018" t="s">
        <v>550</v>
      </c>
      <c r="D1018">
        <v>15.4</v>
      </c>
    </row>
    <row r="1019" spans="1:4" x14ac:dyDescent="0.25">
      <c r="A1019" t="s">
        <v>1974</v>
      </c>
      <c r="B1019" t="s">
        <v>1330</v>
      </c>
      <c r="C1019" t="s">
        <v>554</v>
      </c>
      <c r="D1019">
        <v>31.65</v>
      </c>
    </row>
    <row r="1020" spans="1:4" x14ac:dyDescent="0.25">
      <c r="A1020" t="s">
        <v>1988</v>
      </c>
      <c r="B1020" t="s">
        <v>1330</v>
      </c>
      <c r="C1020" t="s">
        <v>554</v>
      </c>
      <c r="D1020">
        <v>2</v>
      </c>
    </row>
    <row r="1021" spans="1:4" x14ac:dyDescent="0.25">
      <c r="A1021" t="s">
        <v>1907</v>
      </c>
      <c r="B1021" t="s">
        <v>1335</v>
      </c>
      <c r="C1021" t="s">
        <v>554</v>
      </c>
      <c r="D1021">
        <v>2</v>
      </c>
    </row>
    <row r="1022" spans="1:4" x14ac:dyDescent="0.25">
      <c r="A1022" t="s">
        <v>1968</v>
      </c>
      <c r="B1022" t="s">
        <v>1330</v>
      </c>
      <c r="C1022" t="s">
        <v>554</v>
      </c>
      <c r="D1022">
        <v>28.7</v>
      </c>
    </row>
    <row r="1023" spans="1:4" x14ac:dyDescent="0.25">
      <c r="A1023" t="s">
        <v>1979</v>
      </c>
      <c r="B1023" t="s">
        <v>1331</v>
      </c>
      <c r="C1023" t="s">
        <v>554</v>
      </c>
      <c r="D1023">
        <v>28.1</v>
      </c>
    </row>
    <row r="1024" spans="1:4" x14ac:dyDescent="0.25">
      <c r="A1024" t="s">
        <v>1968</v>
      </c>
      <c r="B1024" t="s">
        <v>1330</v>
      </c>
      <c r="C1024" t="s">
        <v>557</v>
      </c>
      <c r="D1024">
        <v>10</v>
      </c>
    </row>
    <row r="1025" spans="1:4" x14ac:dyDescent="0.25">
      <c r="A1025" t="s">
        <v>1974</v>
      </c>
      <c r="B1025" t="s">
        <v>1330</v>
      </c>
      <c r="C1025" t="s">
        <v>557</v>
      </c>
      <c r="D1025">
        <v>11.55</v>
      </c>
    </row>
    <row r="1026" spans="1:4" x14ac:dyDescent="0.25">
      <c r="A1026" t="s">
        <v>1979</v>
      </c>
      <c r="B1026" t="s">
        <v>1331</v>
      </c>
      <c r="C1026" t="s">
        <v>557</v>
      </c>
      <c r="D1026">
        <v>351.5</v>
      </c>
    </row>
    <row r="1027" spans="1:4" x14ac:dyDescent="0.25">
      <c r="A1027" t="s">
        <v>1968</v>
      </c>
      <c r="B1027" t="s">
        <v>1330</v>
      </c>
      <c r="C1027" t="s">
        <v>561</v>
      </c>
      <c r="D1027">
        <v>34.9</v>
      </c>
    </row>
    <row r="1028" spans="1:4" x14ac:dyDescent="0.25">
      <c r="A1028" t="s">
        <v>1974</v>
      </c>
      <c r="B1028" t="s">
        <v>1330</v>
      </c>
      <c r="C1028" t="s">
        <v>561</v>
      </c>
      <c r="D1028">
        <v>11.55</v>
      </c>
    </row>
    <row r="1029" spans="1:4" x14ac:dyDescent="0.25">
      <c r="A1029" t="s">
        <v>1980</v>
      </c>
      <c r="B1029" t="s">
        <v>1333</v>
      </c>
      <c r="C1029" t="s">
        <v>565</v>
      </c>
      <c r="D1029">
        <v>1</v>
      </c>
    </row>
    <row r="1030" spans="1:4" x14ac:dyDescent="0.25">
      <c r="A1030" t="s">
        <v>1916</v>
      </c>
      <c r="B1030" t="s">
        <v>1335</v>
      </c>
      <c r="C1030" t="s">
        <v>568</v>
      </c>
      <c r="D1030">
        <v>14.2</v>
      </c>
    </row>
    <row r="1031" spans="1:4" x14ac:dyDescent="0.25">
      <c r="A1031" t="s">
        <v>1916</v>
      </c>
      <c r="B1031" t="s">
        <v>1335</v>
      </c>
      <c r="C1031" t="s">
        <v>573</v>
      </c>
      <c r="D1031">
        <v>14.2</v>
      </c>
    </row>
    <row r="1032" spans="1:4" x14ac:dyDescent="0.25">
      <c r="A1032" t="s">
        <v>1921</v>
      </c>
      <c r="B1032" t="s">
        <v>1330</v>
      </c>
      <c r="C1032" t="s">
        <v>578</v>
      </c>
      <c r="D1032">
        <v>100.1</v>
      </c>
    </row>
    <row r="1033" spans="1:4" x14ac:dyDescent="0.25">
      <c r="A1033" t="s">
        <v>1979</v>
      </c>
      <c r="B1033" t="s">
        <v>1331</v>
      </c>
      <c r="C1033" t="s">
        <v>578</v>
      </c>
      <c r="D1033">
        <v>15.4</v>
      </c>
    </row>
    <row r="1034" spans="1:4" x14ac:dyDescent="0.25">
      <c r="A1034" t="s">
        <v>1980</v>
      </c>
      <c r="B1034" t="s">
        <v>1333</v>
      </c>
      <c r="C1034" t="s">
        <v>578</v>
      </c>
      <c r="D1034">
        <v>1</v>
      </c>
    </row>
    <row r="1035" spans="1:4" x14ac:dyDescent="0.25">
      <c r="A1035" t="s">
        <v>1993</v>
      </c>
      <c r="B1035" t="s">
        <v>1335</v>
      </c>
      <c r="C1035" t="s">
        <v>578</v>
      </c>
      <c r="D1035">
        <v>22.8</v>
      </c>
    </row>
    <row r="1036" spans="1:4" x14ac:dyDescent="0.25">
      <c r="A1036" t="s">
        <v>1968</v>
      </c>
      <c r="B1036" t="s">
        <v>1330</v>
      </c>
      <c r="C1036" t="s">
        <v>578</v>
      </c>
      <c r="D1036">
        <v>18.5</v>
      </c>
    </row>
    <row r="1037" spans="1:4" x14ac:dyDescent="0.25">
      <c r="A1037" t="s">
        <v>1974</v>
      </c>
      <c r="B1037" t="s">
        <v>1330</v>
      </c>
      <c r="C1037" t="s">
        <v>578</v>
      </c>
      <c r="D1037">
        <v>23.8</v>
      </c>
    </row>
    <row r="1038" spans="1:4" x14ac:dyDescent="0.25">
      <c r="A1038" t="s">
        <v>1974</v>
      </c>
      <c r="B1038" t="s">
        <v>1330</v>
      </c>
      <c r="C1038" t="s">
        <v>583</v>
      </c>
      <c r="D1038">
        <v>19.25</v>
      </c>
    </row>
    <row r="1039" spans="1:4" x14ac:dyDescent="0.25">
      <c r="A1039" t="s">
        <v>1979</v>
      </c>
      <c r="B1039" t="s">
        <v>1331</v>
      </c>
      <c r="C1039" t="s">
        <v>583</v>
      </c>
      <c r="D1039">
        <v>52.9</v>
      </c>
    </row>
    <row r="1040" spans="1:4" x14ac:dyDescent="0.25">
      <c r="A1040" t="s">
        <v>1921</v>
      </c>
      <c r="B1040" t="s">
        <v>1330</v>
      </c>
      <c r="C1040" t="s">
        <v>583</v>
      </c>
      <c r="D1040">
        <v>30.8</v>
      </c>
    </row>
    <row r="1041" spans="1:4" x14ac:dyDescent="0.25">
      <c r="A1041" t="s">
        <v>1974</v>
      </c>
      <c r="B1041" t="s">
        <v>1330</v>
      </c>
      <c r="C1041" t="s">
        <v>587</v>
      </c>
      <c r="D1041">
        <v>15.4</v>
      </c>
    </row>
    <row r="1042" spans="1:4" x14ac:dyDescent="0.25">
      <c r="A1042" t="s">
        <v>1950</v>
      </c>
      <c r="B1042" t="s">
        <v>1331</v>
      </c>
      <c r="C1042" t="s">
        <v>590</v>
      </c>
      <c r="D1042">
        <v>1.7</v>
      </c>
    </row>
    <row r="1043" spans="1:4" x14ac:dyDescent="0.25">
      <c r="A1043" t="s">
        <v>1974</v>
      </c>
      <c r="B1043" t="s">
        <v>1330</v>
      </c>
      <c r="C1043" t="s">
        <v>590</v>
      </c>
      <c r="D1043">
        <v>15.4</v>
      </c>
    </row>
    <row r="1044" spans="1:4" x14ac:dyDescent="0.25">
      <c r="A1044" t="s">
        <v>1914</v>
      </c>
      <c r="B1044" t="s">
        <v>1335</v>
      </c>
      <c r="C1044" t="s">
        <v>1368</v>
      </c>
      <c r="D1044">
        <v>6.4</v>
      </c>
    </row>
    <row r="1045" spans="1:4" x14ac:dyDescent="0.25">
      <c r="A1045" t="s">
        <v>1918</v>
      </c>
      <c r="B1045" t="s">
        <v>1335</v>
      </c>
      <c r="C1045" t="s">
        <v>1368</v>
      </c>
      <c r="D1045">
        <v>940.55</v>
      </c>
    </row>
    <row r="1046" spans="1:4" x14ac:dyDescent="0.25">
      <c r="A1046" t="s">
        <v>1923</v>
      </c>
      <c r="B1046" t="s">
        <v>1331</v>
      </c>
      <c r="C1046" t="s">
        <v>1368</v>
      </c>
      <c r="D1046">
        <v>195.95</v>
      </c>
    </row>
    <row r="1047" spans="1:4" x14ac:dyDescent="0.25">
      <c r="A1047" t="s">
        <v>1904</v>
      </c>
      <c r="B1047" t="s">
        <v>1331</v>
      </c>
      <c r="C1047" t="s">
        <v>1368</v>
      </c>
      <c r="D1047">
        <v>77.5</v>
      </c>
    </row>
    <row r="1048" spans="1:4" x14ac:dyDescent="0.25">
      <c r="A1048" t="s">
        <v>1911</v>
      </c>
      <c r="B1048" t="s">
        <v>1335</v>
      </c>
      <c r="C1048" t="s">
        <v>1368</v>
      </c>
      <c r="D1048">
        <v>94.4</v>
      </c>
    </row>
    <row r="1049" spans="1:4" x14ac:dyDescent="0.25">
      <c r="A1049" t="s">
        <v>1913</v>
      </c>
      <c r="B1049" t="s">
        <v>1335</v>
      </c>
      <c r="C1049" t="s">
        <v>1368</v>
      </c>
      <c r="D1049">
        <v>73.55</v>
      </c>
    </row>
    <row r="1050" spans="1:4" x14ac:dyDescent="0.25">
      <c r="A1050" t="s">
        <v>2002</v>
      </c>
      <c r="B1050" t="s">
        <v>1331</v>
      </c>
      <c r="C1050" t="s">
        <v>1368</v>
      </c>
      <c r="D1050">
        <v>8.6999999999999993</v>
      </c>
    </row>
    <row r="1051" spans="1:4" x14ac:dyDescent="0.25">
      <c r="A1051" t="s">
        <v>1909</v>
      </c>
      <c r="B1051" t="s">
        <v>1335</v>
      </c>
      <c r="C1051" t="s">
        <v>1368</v>
      </c>
      <c r="D1051">
        <v>279.35000000000002</v>
      </c>
    </row>
    <row r="1052" spans="1:4" x14ac:dyDescent="0.25">
      <c r="A1052" t="s">
        <v>1971</v>
      </c>
      <c r="B1052" t="s">
        <v>1335</v>
      </c>
      <c r="C1052" t="s">
        <v>1368</v>
      </c>
      <c r="D1052">
        <v>51.4</v>
      </c>
    </row>
    <row r="1053" spans="1:4" x14ac:dyDescent="0.25">
      <c r="A1053" t="s">
        <v>1974</v>
      </c>
      <c r="B1053" t="s">
        <v>1330</v>
      </c>
      <c r="C1053" t="s">
        <v>1397</v>
      </c>
      <c r="D1053">
        <v>61.45</v>
      </c>
    </row>
    <row r="1054" spans="1:4" x14ac:dyDescent="0.25">
      <c r="A1054" t="s">
        <v>1914</v>
      </c>
      <c r="B1054" t="s">
        <v>1335</v>
      </c>
      <c r="C1054" t="s">
        <v>1397</v>
      </c>
      <c r="D1054">
        <v>129.19999999999999</v>
      </c>
    </row>
    <row r="1055" spans="1:4" x14ac:dyDescent="0.25">
      <c r="A1055" t="s">
        <v>2008</v>
      </c>
      <c r="B1055" t="s">
        <v>1331</v>
      </c>
      <c r="C1055" t="s">
        <v>1397</v>
      </c>
      <c r="D1055">
        <v>141</v>
      </c>
    </row>
    <row r="1056" spans="1:4" x14ac:dyDescent="0.25">
      <c r="A1056" t="s">
        <v>2008</v>
      </c>
      <c r="B1056" t="s">
        <v>1333</v>
      </c>
      <c r="C1056" t="s">
        <v>1397</v>
      </c>
      <c r="D1056">
        <v>10.7</v>
      </c>
    </row>
    <row r="1057" spans="1:4" x14ac:dyDescent="0.25">
      <c r="A1057" t="s">
        <v>1971</v>
      </c>
      <c r="B1057" t="s">
        <v>1335</v>
      </c>
      <c r="C1057" t="s">
        <v>1397</v>
      </c>
      <c r="D1057">
        <v>5.2</v>
      </c>
    </row>
    <row r="1058" spans="1:4" x14ac:dyDescent="0.25">
      <c r="A1058" t="s">
        <v>1911</v>
      </c>
      <c r="B1058" t="s">
        <v>1335</v>
      </c>
      <c r="C1058" t="s">
        <v>1397</v>
      </c>
      <c r="D1058">
        <v>22.8</v>
      </c>
    </row>
    <row r="1059" spans="1:4" x14ac:dyDescent="0.25">
      <c r="A1059" t="s">
        <v>1918</v>
      </c>
      <c r="B1059" t="s">
        <v>1335</v>
      </c>
      <c r="C1059" t="s">
        <v>1397</v>
      </c>
      <c r="D1059">
        <v>318.55</v>
      </c>
    </row>
    <row r="1060" spans="1:4" x14ac:dyDescent="0.25">
      <c r="A1060" t="s">
        <v>1971</v>
      </c>
      <c r="B1060" t="s">
        <v>1330</v>
      </c>
      <c r="C1060" t="s">
        <v>1397</v>
      </c>
      <c r="D1060">
        <v>12.4</v>
      </c>
    </row>
    <row r="1061" spans="1:4" x14ac:dyDescent="0.25">
      <c r="A1061" t="s">
        <v>1913</v>
      </c>
      <c r="B1061" t="s">
        <v>1335</v>
      </c>
      <c r="C1061" t="s">
        <v>1397</v>
      </c>
      <c r="D1061">
        <v>3</v>
      </c>
    </row>
    <row r="1062" spans="1:4" x14ac:dyDescent="0.25">
      <c r="A1062" t="s">
        <v>1956</v>
      </c>
      <c r="B1062" t="s">
        <v>1330</v>
      </c>
      <c r="C1062" t="s">
        <v>1407</v>
      </c>
      <c r="D1062">
        <v>36.5</v>
      </c>
    </row>
    <row r="1063" spans="1:4" x14ac:dyDescent="0.25">
      <c r="A1063" t="s">
        <v>2008</v>
      </c>
      <c r="B1063" t="s">
        <v>1331</v>
      </c>
      <c r="C1063" t="s">
        <v>1407</v>
      </c>
      <c r="D1063">
        <v>250</v>
      </c>
    </row>
    <row r="1064" spans="1:4" x14ac:dyDescent="0.25">
      <c r="A1064" t="s">
        <v>2007</v>
      </c>
      <c r="B1064" t="s">
        <v>1331</v>
      </c>
      <c r="C1064" t="s">
        <v>1407</v>
      </c>
      <c r="D1064">
        <v>29</v>
      </c>
    </row>
    <row r="1065" spans="1:4" x14ac:dyDescent="0.25">
      <c r="A1065" t="s">
        <v>1921</v>
      </c>
      <c r="B1065" t="s">
        <v>1330</v>
      </c>
      <c r="C1065" t="s">
        <v>1407</v>
      </c>
      <c r="D1065">
        <v>98.1</v>
      </c>
    </row>
    <row r="1066" spans="1:4" x14ac:dyDescent="0.25">
      <c r="A1066" t="s">
        <v>2009</v>
      </c>
      <c r="B1066" t="s">
        <v>1330</v>
      </c>
      <c r="C1066" t="s">
        <v>1407</v>
      </c>
      <c r="D1066">
        <v>53.25</v>
      </c>
    </row>
    <row r="1067" spans="1:4" x14ac:dyDescent="0.25">
      <c r="A1067" t="s">
        <v>1974</v>
      </c>
      <c r="B1067" t="s">
        <v>1330</v>
      </c>
      <c r="C1067" t="s">
        <v>1407</v>
      </c>
      <c r="D1067">
        <v>84.7</v>
      </c>
    </row>
    <row r="1068" spans="1:4" x14ac:dyDescent="0.25">
      <c r="A1068" t="s">
        <v>1992</v>
      </c>
      <c r="B1068" t="s">
        <v>1335</v>
      </c>
      <c r="C1068" t="s">
        <v>1407</v>
      </c>
      <c r="D1068">
        <v>40.700000000000003</v>
      </c>
    </row>
    <row r="1069" spans="1:4" x14ac:dyDescent="0.25">
      <c r="A1069" t="s">
        <v>1939</v>
      </c>
      <c r="B1069" t="s">
        <v>1331</v>
      </c>
      <c r="C1069" t="s">
        <v>607</v>
      </c>
      <c r="D1069">
        <v>216.85</v>
      </c>
    </row>
    <row r="1070" spans="1:4" x14ac:dyDescent="0.25">
      <c r="A1070" t="s">
        <v>1913</v>
      </c>
      <c r="B1070" t="s">
        <v>1335</v>
      </c>
      <c r="C1070" t="s">
        <v>607</v>
      </c>
      <c r="D1070">
        <v>141.35</v>
      </c>
    </row>
    <row r="1071" spans="1:4" x14ac:dyDescent="0.25">
      <c r="A1071" t="s">
        <v>1929</v>
      </c>
      <c r="B1071" t="s">
        <v>1331</v>
      </c>
      <c r="C1071" t="s">
        <v>607</v>
      </c>
      <c r="D1071">
        <v>1089.3</v>
      </c>
    </row>
    <row r="1072" spans="1:4" x14ac:dyDescent="0.25">
      <c r="A1072" t="s">
        <v>1945</v>
      </c>
      <c r="B1072" t="s">
        <v>1331</v>
      </c>
      <c r="C1072" t="s">
        <v>607</v>
      </c>
      <c r="D1072">
        <v>12</v>
      </c>
    </row>
    <row r="1073" spans="1:4" x14ac:dyDescent="0.25">
      <c r="A1073" t="s">
        <v>1911</v>
      </c>
      <c r="B1073" t="s">
        <v>1335</v>
      </c>
      <c r="C1073" t="s">
        <v>607</v>
      </c>
      <c r="D1073">
        <v>148.41999999999999</v>
      </c>
    </row>
    <row r="1074" spans="1:4" x14ac:dyDescent="0.25">
      <c r="A1074" t="s">
        <v>1973</v>
      </c>
      <c r="B1074" t="s">
        <v>1331</v>
      </c>
      <c r="C1074" t="s">
        <v>607</v>
      </c>
      <c r="D1074">
        <v>4.7</v>
      </c>
    </row>
    <row r="1075" spans="1:4" x14ac:dyDescent="0.25">
      <c r="A1075" t="s">
        <v>1909</v>
      </c>
      <c r="B1075" t="s">
        <v>1335</v>
      </c>
      <c r="C1075" t="s">
        <v>607</v>
      </c>
      <c r="D1075">
        <v>10</v>
      </c>
    </row>
    <row r="1076" spans="1:4" x14ac:dyDescent="0.25">
      <c r="A1076" t="s">
        <v>1962</v>
      </c>
      <c r="B1076" t="s">
        <v>1331</v>
      </c>
      <c r="C1076" t="s">
        <v>607</v>
      </c>
      <c r="D1076">
        <v>1.5</v>
      </c>
    </row>
    <row r="1077" spans="1:4" x14ac:dyDescent="0.25">
      <c r="A1077" t="s">
        <v>1902</v>
      </c>
      <c r="B1077" t="s">
        <v>1335</v>
      </c>
      <c r="C1077" t="s">
        <v>607</v>
      </c>
      <c r="D1077">
        <v>76.7</v>
      </c>
    </row>
    <row r="1078" spans="1:4" x14ac:dyDescent="0.25">
      <c r="A1078" t="s">
        <v>1923</v>
      </c>
      <c r="B1078" t="s">
        <v>1331</v>
      </c>
      <c r="C1078" t="s">
        <v>607</v>
      </c>
      <c r="D1078">
        <v>675.05</v>
      </c>
    </row>
    <row r="1079" spans="1:4" x14ac:dyDescent="0.25">
      <c r="A1079" t="s">
        <v>1979</v>
      </c>
      <c r="B1079" t="s">
        <v>1331</v>
      </c>
      <c r="C1079" t="s">
        <v>607</v>
      </c>
      <c r="D1079">
        <v>35</v>
      </c>
    </row>
    <row r="1080" spans="1:4" x14ac:dyDescent="0.25">
      <c r="A1080" t="s">
        <v>1929</v>
      </c>
      <c r="B1080" t="s">
        <v>1330</v>
      </c>
      <c r="C1080" t="s">
        <v>607</v>
      </c>
      <c r="D1080">
        <v>21</v>
      </c>
    </row>
    <row r="1081" spans="1:4" x14ac:dyDescent="0.25">
      <c r="A1081" t="s">
        <v>1960</v>
      </c>
      <c r="B1081" t="s">
        <v>1331</v>
      </c>
      <c r="C1081" t="s">
        <v>607</v>
      </c>
      <c r="D1081">
        <v>888.95</v>
      </c>
    </row>
    <row r="1082" spans="1:4" x14ac:dyDescent="0.25">
      <c r="A1082" t="s">
        <v>1921</v>
      </c>
      <c r="B1082" t="s">
        <v>1330</v>
      </c>
      <c r="C1082" t="s">
        <v>607</v>
      </c>
      <c r="D1082">
        <v>114.2</v>
      </c>
    </row>
    <row r="1083" spans="1:4" x14ac:dyDescent="0.25">
      <c r="A1083" t="s">
        <v>2010</v>
      </c>
      <c r="B1083" t="s">
        <v>1331</v>
      </c>
      <c r="C1083" t="s">
        <v>616</v>
      </c>
      <c r="D1083">
        <v>469.1</v>
      </c>
    </row>
    <row r="1084" spans="1:4" x14ac:dyDescent="0.25">
      <c r="A1084" t="s">
        <v>1950</v>
      </c>
      <c r="B1084" t="s">
        <v>1334</v>
      </c>
      <c r="C1084" t="s">
        <v>616</v>
      </c>
      <c r="D1084">
        <v>4</v>
      </c>
    </row>
    <row r="1085" spans="1:4" x14ac:dyDescent="0.25">
      <c r="A1085" t="s">
        <v>1939</v>
      </c>
      <c r="B1085" t="s">
        <v>1331</v>
      </c>
      <c r="C1085" t="s">
        <v>616</v>
      </c>
      <c r="D1085">
        <v>8</v>
      </c>
    </row>
    <row r="1086" spans="1:4" x14ac:dyDescent="0.25">
      <c r="A1086" t="s">
        <v>1945</v>
      </c>
      <c r="B1086" t="s">
        <v>1333</v>
      </c>
      <c r="C1086" t="s">
        <v>616</v>
      </c>
      <c r="D1086">
        <v>2</v>
      </c>
    </row>
    <row r="1087" spans="1:4" x14ac:dyDescent="0.25">
      <c r="A1087" t="s">
        <v>1961</v>
      </c>
      <c r="B1087" t="s">
        <v>1331</v>
      </c>
      <c r="C1087" t="s">
        <v>616</v>
      </c>
      <c r="D1087">
        <v>1.5</v>
      </c>
    </row>
    <row r="1088" spans="1:4" x14ac:dyDescent="0.25">
      <c r="A1088" t="s">
        <v>1931</v>
      </c>
      <c r="B1088" t="s">
        <v>1335</v>
      </c>
      <c r="C1088" t="s">
        <v>616</v>
      </c>
      <c r="D1088">
        <v>9.5500000000000007</v>
      </c>
    </row>
    <row r="1089" spans="1:4" x14ac:dyDescent="0.25">
      <c r="A1089" t="s">
        <v>1981</v>
      </c>
      <c r="B1089" t="s">
        <v>1335</v>
      </c>
      <c r="C1089" t="s">
        <v>616</v>
      </c>
      <c r="D1089">
        <v>15.4</v>
      </c>
    </row>
    <row r="1090" spans="1:4" x14ac:dyDescent="0.25">
      <c r="A1090" t="s">
        <v>1921</v>
      </c>
      <c r="B1090" t="s">
        <v>1330</v>
      </c>
      <c r="C1090" t="s">
        <v>616</v>
      </c>
      <c r="D1090">
        <v>51.9</v>
      </c>
    </row>
    <row r="1091" spans="1:4" x14ac:dyDescent="0.25">
      <c r="A1091" t="s">
        <v>1927</v>
      </c>
      <c r="B1091" t="s">
        <v>1331</v>
      </c>
      <c r="C1091" t="s">
        <v>616</v>
      </c>
      <c r="D1091">
        <v>50.05</v>
      </c>
    </row>
    <row r="1092" spans="1:4" x14ac:dyDescent="0.25">
      <c r="A1092" t="s">
        <v>1965</v>
      </c>
      <c r="B1092" t="s">
        <v>1331</v>
      </c>
      <c r="C1092" t="s">
        <v>616</v>
      </c>
      <c r="D1092">
        <v>119.35</v>
      </c>
    </row>
    <row r="1093" spans="1:4" x14ac:dyDescent="0.25">
      <c r="A1093" t="s">
        <v>1989</v>
      </c>
      <c r="B1093" t="s">
        <v>1331</v>
      </c>
      <c r="C1093" t="s">
        <v>616</v>
      </c>
      <c r="D1093">
        <v>0</v>
      </c>
    </row>
    <row r="1094" spans="1:4" x14ac:dyDescent="0.25">
      <c r="A1094" t="s">
        <v>1945</v>
      </c>
      <c r="B1094" t="s">
        <v>1331</v>
      </c>
      <c r="C1094" t="s">
        <v>616</v>
      </c>
      <c r="D1094">
        <v>0</v>
      </c>
    </row>
    <row r="1095" spans="1:4" x14ac:dyDescent="0.25">
      <c r="A1095" t="s">
        <v>1981</v>
      </c>
      <c r="B1095" t="s">
        <v>1331</v>
      </c>
      <c r="C1095" t="s">
        <v>616</v>
      </c>
      <c r="D1095">
        <v>33.799999999999997</v>
      </c>
    </row>
    <row r="1096" spans="1:4" x14ac:dyDescent="0.25">
      <c r="A1096" t="s">
        <v>1974</v>
      </c>
      <c r="B1096" t="s">
        <v>1330</v>
      </c>
      <c r="C1096" t="s">
        <v>616</v>
      </c>
      <c r="D1096">
        <v>14.2</v>
      </c>
    </row>
    <row r="1097" spans="1:4" x14ac:dyDescent="0.25">
      <c r="A1097" t="s">
        <v>1960</v>
      </c>
      <c r="B1097" t="s">
        <v>1331</v>
      </c>
      <c r="C1097" t="s">
        <v>616</v>
      </c>
      <c r="D1097">
        <v>10.1</v>
      </c>
    </row>
    <row r="1098" spans="1:4" x14ac:dyDescent="0.25">
      <c r="A1098" t="s">
        <v>1981</v>
      </c>
      <c r="B1098" t="s">
        <v>1334</v>
      </c>
      <c r="C1098" t="s">
        <v>616</v>
      </c>
      <c r="D1098">
        <v>148.85</v>
      </c>
    </row>
    <row r="1099" spans="1:4" x14ac:dyDescent="0.25">
      <c r="A1099" t="s">
        <v>1958</v>
      </c>
      <c r="B1099" t="s">
        <v>1335</v>
      </c>
      <c r="C1099" t="s">
        <v>616</v>
      </c>
      <c r="D1099">
        <v>4</v>
      </c>
    </row>
    <row r="1100" spans="1:4" x14ac:dyDescent="0.25">
      <c r="A1100" t="s">
        <v>1981</v>
      </c>
      <c r="B1100" t="s">
        <v>1331</v>
      </c>
      <c r="C1100" t="s">
        <v>616</v>
      </c>
      <c r="D1100">
        <v>174.2</v>
      </c>
    </row>
    <row r="1101" spans="1:4" x14ac:dyDescent="0.25">
      <c r="A1101" t="s">
        <v>1961</v>
      </c>
      <c r="B1101" t="s">
        <v>1331</v>
      </c>
      <c r="C1101" t="s">
        <v>616</v>
      </c>
      <c r="D1101">
        <v>1.5</v>
      </c>
    </row>
    <row r="1102" spans="1:4" x14ac:dyDescent="0.25">
      <c r="A1102" t="s">
        <v>1916</v>
      </c>
      <c r="B1102" t="s">
        <v>1331</v>
      </c>
      <c r="C1102" t="s">
        <v>616</v>
      </c>
      <c r="D1102">
        <v>10.199999999999999</v>
      </c>
    </row>
    <row r="1103" spans="1:4" x14ac:dyDescent="0.25">
      <c r="A1103" t="s">
        <v>1973</v>
      </c>
      <c r="B1103" t="s">
        <v>1331</v>
      </c>
      <c r="C1103" t="s">
        <v>616</v>
      </c>
      <c r="D1103">
        <v>4.8499999999999996</v>
      </c>
    </row>
    <row r="1104" spans="1:4" x14ac:dyDescent="0.25">
      <c r="A1104" t="s">
        <v>2011</v>
      </c>
      <c r="B1104" t="s">
        <v>1331</v>
      </c>
      <c r="C1104" t="s">
        <v>616</v>
      </c>
      <c r="D1104">
        <v>3</v>
      </c>
    </row>
    <row r="1105" spans="1:4" x14ac:dyDescent="0.25">
      <c r="A1105" t="s">
        <v>1980</v>
      </c>
      <c r="B1105" t="s">
        <v>1333</v>
      </c>
      <c r="C1105" t="s">
        <v>616</v>
      </c>
      <c r="D1105">
        <v>1</v>
      </c>
    </row>
    <row r="1106" spans="1:4" x14ac:dyDescent="0.25">
      <c r="A1106" t="s">
        <v>2010</v>
      </c>
      <c r="B1106" t="s">
        <v>1331</v>
      </c>
      <c r="C1106" t="s">
        <v>616</v>
      </c>
      <c r="D1106">
        <v>850.25</v>
      </c>
    </row>
    <row r="1107" spans="1:4" x14ac:dyDescent="0.25">
      <c r="A1107" t="s">
        <v>1990</v>
      </c>
      <c r="B1107" t="s">
        <v>1331</v>
      </c>
      <c r="C1107" t="s">
        <v>616</v>
      </c>
      <c r="D1107">
        <v>13.8</v>
      </c>
    </row>
    <row r="1108" spans="1:4" x14ac:dyDescent="0.25">
      <c r="A1108" t="s">
        <v>1962</v>
      </c>
      <c r="B1108" t="s">
        <v>1331</v>
      </c>
      <c r="C1108" t="s">
        <v>616</v>
      </c>
      <c r="D1108">
        <v>1</v>
      </c>
    </row>
    <row r="1109" spans="1:4" x14ac:dyDescent="0.25">
      <c r="A1109" t="s">
        <v>1909</v>
      </c>
      <c r="B1109" t="s">
        <v>1335</v>
      </c>
      <c r="C1109" t="s">
        <v>616</v>
      </c>
      <c r="D1109">
        <v>1</v>
      </c>
    </row>
    <row r="1110" spans="1:4" x14ac:dyDescent="0.25">
      <c r="A1110" t="s">
        <v>1918</v>
      </c>
      <c r="B1110" t="s">
        <v>1335</v>
      </c>
      <c r="C1110" t="s">
        <v>616</v>
      </c>
      <c r="D1110">
        <v>131.4</v>
      </c>
    </row>
    <row r="1111" spans="1:4" x14ac:dyDescent="0.25">
      <c r="A1111" t="s">
        <v>1927</v>
      </c>
      <c r="B1111" t="s">
        <v>1330</v>
      </c>
      <c r="C1111" t="s">
        <v>616</v>
      </c>
      <c r="D1111">
        <v>11.55</v>
      </c>
    </row>
    <row r="1112" spans="1:4" x14ac:dyDescent="0.25">
      <c r="A1112" t="s">
        <v>1989</v>
      </c>
      <c r="B1112" t="s">
        <v>1333</v>
      </c>
      <c r="C1112" t="s">
        <v>616</v>
      </c>
      <c r="D1112">
        <v>1.5</v>
      </c>
    </row>
    <row r="1113" spans="1:4" x14ac:dyDescent="0.25">
      <c r="A1113" t="s">
        <v>1965</v>
      </c>
      <c r="B1113" t="s">
        <v>1331</v>
      </c>
      <c r="C1113" t="s">
        <v>616</v>
      </c>
      <c r="D1113">
        <v>597.79999999999995</v>
      </c>
    </row>
    <row r="1114" spans="1:4" x14ac:dyDescent="0.25">
      <c r="A1114" t="s">
        <v>1911</v>
      </c>
      <c r="B1114" t="s">
        <v>1335</v>
      </c>
      <c r="C1114" t="s">
        <v>616</v>
      </c>
      <c r="D1114">
        <v>24.85</v>
      </c>
    </row>
    <row r="1115" spans="1:4" x14ac:dyDescent="0.25">
      <c r="A1115" t="s">
        <v>1923</v>
      </c>
      <c r="B1115" t="s">
        <v>1331</v>
      </c>
      <c r="C1115" t="s">
        <v>616</v>
      </c>
      <c r="D1115">
        <v>208.7</v>
      </c>
    </row>
    <row r="1116" spans="1:4" x14ac:dyDescent="0.25">
      <c r="A1116" t="s">
        <v>1958</v>
      </c>
      <c r="B1116" t="s">
        <v>1335</v>
      </c>
      <c r="C1116" t="s">
        <v>616</v>
      </c>
      <c r="D1116">
        <v>2.7</v>
      </c>
    </row>
    <row r="1117" spans="1:4" x14ac:dyDescent="0.25">
      <c r="A1117" t="s">
        <v>1999</v>
      </c>
      <c r="B1117" t="s">
        <v>1331</v>
      </c>
      <c r="C1117" t="s">
        <v>616</v>
      </c>
      <c r="D1117">
        <v>2</v>
      </c>
    </row>
    <row r="1118" spans="1:4" x14ac:dyDescent="0.25">
      <c r="A1118" t="s">
        <v>1945</v>
      </c>
      <c r="B1118" t="s">
        <v>1333</v>
      </c>
      <c r="C1118" t="s">
        <v>616</v>
      </c>
      <c r="D1118">
        <v>9</v>
      </c>
    </row>
    <row r="1119" spans="1:4" x14ac:dyDescent="0.25">
      <c r="A1119" t="s">
        <v>1902</v>
      </c>
      <c r="B1119" t="s">
        <v>1335</v>
      </c>
      <c r="C1119" t="s">
        <v>616</v>
      </c>
      <c r="D1119">
        <v>68.599999999999994</v>
      </c>
    </row>
    <row r="1120" spans="1:4" x14ac:dyDescent="0.25">
      <c r="A1120" t="s">
        <v>1959</v>
      </c>
      <c r="B1120" t="s">
        <v>1335</v>
      </c>
      <c r="C1120" t="s">
        <v>616</v>
      </c>
      <c r="D1120">
        <v>8</v>
      </c>
    </row>
    <row r="1121" spans="1:4" x14ac:dyDescent="0.25">
      <c r="A1121" t="s">
        <v>1927</v>
      </c>
      <c r="B1121" t="s">
        <v>1331</v>
      </c>
      <c r="C1121" t="s">
        <v>616</v>
      </c>
      <c r="D1121">
        <v>42.35</v>
      </c>
    </row>
    <row r="1122" spans="1:4" x14ac:dyDescent="0.25">
      <c r="A1122" t="s">
        <v>1989</v>
      </c>
      <c r="B1122" t="s">
        <v>1331</v>
      </c>
      <c r="C1122" t="s">
        <v>616</v>
      </c>
      <c r="D1122">
        <v>198.3</v>
      </c>
    </row>
    <row r="1123" spans="1:4" x14ac:dyDescent="0.25">
      <c r="A1123" t="s">
        <v>2010</v>
      </c>
      <c r="B1123" t="s">
        <v>1333</v>
      </c>
      <c r="C1123" t="s">
        <v>616</v>
      </c>
      <c r="D1123">
        <v>169.7</v>
      </c>
    </row>
    <row r="1124" spans="1:4" x14ac:dyDescent="0.25">
      <c r="A1124" t="s">
        <v>1960</v>
      </c>
      <c r="B1124" t="s">
        <v>1333</v>
      </c>
      <c r="C1124" t="s">
        <v>616</v>
      </c>
      <c r="D1124">
        <v>8.5</v>
      </c>
    </row>
    <row r="1125" spans="1:4" x14ac:dyDescent="0.25">
      <c r="A1125" t="s">
        <v>1931</v>
      </c>
      <c r="B1125" t="s">
        <v>1335</v>
      </c>
      <c r="C1125" t="s">
        <v>616</v>
      </c>
      <c r="D1125">
        <v>23.1</v>
      </c>
    </row>
    <row r="1126" spans="1:4" x14ac:dyDescent="0.25">
      <c r="A1126" t="s">
        <v>1960</v>
      </c>
      <c r="B1126" t="s">
        <v>1331</v>
      </c>
      <c r="C1126" t="s">
        <v>616</v>
      </c>
      <c r="D1126">
        <v>59.3</v>
      </c>
    </row>
    <row r="1127" spans="1:4" x14ac:dyDescent="0.25">
      <c r="A1127" t="s">
        <v>1913</v>
      </c>
      <c r="B1127" t="s">
        <v>1335</v>
      </c>
      <c r="C1127" t="s">
        <v>616</v>
      </c>
      <c r="D1127">
        <v>178.85</v>
      </c>
    </row>
    <row r="1128" spans="1:4" x14ac:dyDescent="0.25">
      <c r="A1128" t="s">
        <v>2005</v>
      </c>
      <c r="B1128" t="s">
        <v>1331</v>
      </c>
      <c r="C1128" t="s">
        <v>616</v>
      </c>
      <c r="D1128">
        <v>23.1</v>
      </c>
    </row>
    <row r="1129" spans="1:4" x14ac:dyDescent="0.25">
      <c r="A1129" t="s">
        <v>1979</v>
      </c>
      <c r="B1129" t="s">
        <v>1331</v>
      </c>
      <c r="C1129" t="s">
        <v>616</v>
      </c>
      <c r="D1129">
        <v>21.4</v>
      </c>
    </row>
    <row r="1130" spans="1:4" x14ac:dyDescent="0.25">
      <c r="A1130" t="s">
        <v>2004</v>
      </c>
      <c r="B1130" t="s">
        <v>1331</v>
      </c>
      <c r="C1130" t="s">
        <v>616</v>
      </c>
      <c r="D1130">
        <v>34.5</v>
      </c>
    </row>
    <row r="1131" spans="1:4" x14ac:dyDescent="0.25">
      <c r="A1131" t="s">
        <v>1945</v>
      </c>
      <c r="B1131" t="s">
        <v>1331</v>
      </c>
      <c r="C1131" t="s">
        <v>616</v>
      </c>
      <c r="D1131">
        <v>93</v>
      </c>
    </row>
    <row r="1132" spans="1:4" x14ac:dyDescent="0.25">
      <c r="A1132" t="s">
        <v>1921</v>
      </c>
      <c r="B1132" t="s">
        <v>1330</v>
      </c>
      <c r="C1132" t="s">
        <v>616</v>
      </c>
      <c r="D1132">
        <v>6.7</v>
      </c>
    </row>
    <row r="1133" spans="1:4" x14ac:dyDescent="0.25">
      <c r="A1133" t="s">
        <v>1939</v>
      </c>
      <c r="B1133" t="s">
        <v>1334</v>
      </c>
      <c r="C1133" t="s">
        <v>1614</v>
      </c>
      <c r="D1133">
        <v>11.55</v>
      </c>
    </row>
    <row r="1134" spans="1:4" x14ac:dyDescent="0.25">
      <c r="A1134" t="s">
        <v>1929</v>
      </c>
      <c r="B1134" t="s">
        <v>1331</v>
      </c>
      <c r="C1134" t="s">
        <v>1614</v>
      </c>
      <c r="D1134">
        <v>11</v>
      </c>
    </row>
    <row r="1135" spans="1:4" x14ac:dyDescent="0.25">
      <c r="A1135" t="s">
        <v>1960</v>
      </c>
      <c r="B1135" t="s">
        <v>1331</v>
      </c>
      <c r="C1135" t="s">
        <v>1614</v>
      </c>
      <c r="D1135">
        <v>5</v>
      </c>
    </row>
    <row r="1136" spans="1:4" x14ac:dyDescent="0.25">
      <c r="A1136" t="s">
        <v>1913</v>
      </c>
      <c r="B1136" t="s">
        <v>1335</v>
      </c>
      <c r="C1136" t="s">
        <v>1614</v>
      </c>
      <c r="D1136">
        <v>10.7</v>
      </c>
    </row>
    <row r="1137" spans="1:4" x14ac:dyDescent="0.25">
      <c r="A1137" t="s">
        <v>1902</v>
      </c>
      <c r="B1137" t="s">
        <v>1335</v>
      </c>
      <c r="C1137" t="s">
        <v>1614</v>
      </c>
      <c r="D1137">
        <v>3.85</v>
      </c>
    </row>
    <row r="1138" spans="1:4" x14ac:dyDescent="0.25">
      <c r="A1138" t="s">
        <v>1929</v>
      </c>
      <c r="B1138" t="s">
        <v>1331</v>
      </c>
      <c r="C1138" t="s">
        <v>619</v>
      </c>
      <c r="D1138">
        <v>146</v>
      </c>
    </row>
    <row r="1139" spans="1:4" x14ac:dyDescent="0.25">
      <c r="A1139" t="s">
        <v>1960</v>
      </c>
      <c r="B1139" t="s">
        <v>1333</v>
      </c>
      <c r="C1139" t="s">
        <v>619</v>
      </c>
      <c r="D1139">
        <v>6</v>
      </c>
    </row>
    <row r="1140" spans="1:4" x14ac:dyDescent="0.25">
      <c r="A1140" t="s">
        <v>1929</v>
      </c>
      <c r="B1140" t="s">
        <v>1333</v>
      </c>
      <c r="C1140" t="s">
        <v>619</v>
      </c>
      <c r="D1140">
        <v>2</v>
      </c>
    </row>
    <row r="1141" spans="1:4" x14ac:dyDescent="0.25">
      <c r="A1141" t="s">
        <v>1960</v>
      </c>
      <c r="B1141" t="s">
        <v>1331</v>
      </c>
      <c r="C1141" t="s">
        <v>619</v>
      </c>
      <c r="D1141">
        <v>5</v>
      </c>
    </row>
    <row r="1142" spans="1:4" x14ac:dyDescent="0.25">
      <c r="A1142" t="s">
        <v>1913</v>
      </c>
      <c r="B1142" t="s">
        <v>1335</v>
      </c>
      <c r="C1142" t="s">
        <v>619</v>
      </c>
      <c r="D1142">
        <v>4.8499999999999996</v>
      </c>
    </row>
    <row r="1143" spans="1:4" x14ac:dyDescent="0.25">
      <c r="A1143" t="s">
        <v>1981</v>
      </c>
      <c r="B1143" t="s">
        <v>1331</v>
      </c>
      <c r="C1143" t="s">
        <v>619</v>
      </c>
      <c r="D1143">
        <v>30.8</v>
      </c>
    </row>
    <row r="1144" spans="1:4" x14ac:dyDescent="0.25">
      <c r="A1144" t="s">
        <v>1911</v>
      </c>
      <c r="B1144" t="s">
        <v>1335</v>
      </c>
      <c r="C1144" t="s">
        <v>619</v>
      </c>
      <c r="D1144">
        <v>4</v>
      </c>
    </row>
    <row r="1145" spans="1:4" x14ac:dyDescent="0.25">
      <c r="A1145" t="s">
        <v>1929</v>
      </c>
      <c r="B1145" t="s">
        <v>1333</v>
      </c>
      <c r="C1145" t="s">
        <v>622</v>
      </c>
      <c r="D1145">
        <v>3</v>
      </c>
    </row>
    <row r="1146" spans="1:4" x14ac:dyDescent="0.25">
      <c r="A1146" t="s">
        <v>1960</v>
      </c>
      <c r="B1146" t="s">
        <v>1331</v>
      </c>
      <c r="C1146" t="s">
        <v>622</v>
      </c>
      <c r="D1146">
        <v>14.3</v>
      </c>
    </row>
    <row r="1147" spans="1:4" x14ac:dyDescent="0.25">
      <c r="A1147" t="s">
        <v>1913</v>
      </c>
      <c r="B1147" t="s">
        <v>1335</v>
      </c>
      <c r="C1147" t="s">
        <v>622</v>
      </c>
      <c r="D1147">
        <v>3.85</v>
      </c>
    </row>
    <row r="1148" spans="1:4" x14ac:dyDescent="0.25">
      <c r="A1148" t="s">
        <v>1960</v>
      </c>
      <c r="B1148" t="s">
        <v>1333</v>
      </c>
      <c r="C1148" t="s">
        <v>622</v>
      </c>
      <c r="D1148">
        <v>2</v>
      </c>
    </row>
    <row r="1149" spans="1:4" x14ac:dyDescent="0.25">
      <c r="A1149" t="s">
        <v>1929</v>
      </c>
      <c r="B1149" t="s">
        <v>1331</v>
      </c>
      <c r="C1149" t="s">
        <v>622</v>
      </c>
      <c r="D1149">
        <v>33</v>
      </c>
    </row>
    <row r="1150" spans="1:4" x14ac:dyDescent="0.25">
      <c r="A1150" t="s">
        <v>1902</v>
      </c>
      <c r="B1150" t="s">
        <v>1335</v>
      </c>
      <c r="C1150" t="s">
        <v>622</v>
      </c>
      <c r="D1150">
        <v>2</v>
      </c>
    </row>
    <row r="1151" spans="1:4" x14ac:dyDescent="0.25">
      <c r="A1151" t="s">
        <v>1911</v>
      </c>
      <c r="B1151" t="s">
        <v>1335</v>
      </c>
      <c r="C1151" t="s">
        <v>622</v>
      </c>
      <c r="D1151">
        <v>11.55</v>
      </c>
    </row>
    <row r="1152" spans="1:4" x14ac:dyDescent="0.25">
      <c r="A1152" t="s">
        <v>1972</v>
      </c>
      <c r="B1152" t="s">
        <v>1334</v>
      </c>
      <c r="C1152" t="s">
        <v>625</v>
      </c>
      <c r="D1152">
        <v>1</v>
      </c>
    </row>
    <row r="1153" spans="1:4" x14ac:dyDescent="0.25">
      <c r="A1153" t="s">
        <v>1913</v>
      </c>
      <c r="B1153" t="s">
        <v>1335</v>
      </c>
      <c r="C1153" t="s">
        <v>625</v>
      </c>
      <c r="D1153">
        <v>4.25</v>
      </c>
    </row>
    <row r="1154" spans="1:4" x14ac:dyDescent="0.25">
      <c r="A1154" t="s">
        <v>1945</v>
      </c>
      <c r="B1154" t="s">
        <v>1331</v>
      </c>
      <c r="C1154" t="s">
        <v>625</v>
      </c>
      <c r="D1154">
        <v>1</v>
      </c>
    </row>
    <row r="1155" spans="1:4" x14ac:dyDescent="0.25">
      <c r="A1155" t="s">
        <v>2010</v>
      </c>
      <c r="B1155" t="s">
        <v>1331</v>
      </c>
      <c r="C1155" t="s">
        <v>625</v>
      </c>
      <c r="D1155">
        <v>624.15</v>
      </c>
    </row>
    <row r="1156" spans="1:4" x14ac:dyDescent="0.25">
      <c r="A1156" t="s">
        <v>1989</v>
      </c>
      <c r="B1156" t="s">
        <v>1331</v>
      </c>
      <c r="C1156" t="s">
        <v>625</v>
      </c>
      <c r="D1156">
        <v>1305.3</v>
      </c>
    </row>
    <row r="1157" spans="1:4" x14ac:dyDescent="0.25">
      <c r="A1157" t="s">
        <v>1918</v>
      </c>
      <c r="B1157" t="s">
        <v>1335</v>
      </c>
      <c r="C1157" t="s">
        <v>625</v>
      </c>
      <c r="D1157">
        <v>10</v>
      </c>
    </row>
    <row r="1158" spans="1:4" x14ac:dyDescent="0.25">
      <c r="A1158" t="s">
        <v>1927</v>
      </c>
      <c r="B1158" t="s">
        <v>1333</v>
      </c>
      <c r="C1158" t="s">
        <v>625</v>
      </c>
      <c r="D1158">
        <v>11.55</v>
      </c>
    </row>
    <row r="1159" spans="1:4" x14ac:dyDescent="0.25">
      <c r="A1159" t="s">
        <v>1923</v>
      </c>
      <c r="B1159" t="s">
        <v>1331</v>
      </c>
      <c r="C1159" t="s">
        <v>625</v>
      </c>
      <c r="D1159">
        <v>87.3</v>
      </c>
    </row>
    <row r="1160" spans="1:4" x14ac:dyDescent="0.25">
      <c r="A1160" t="s">
        <v>1950</v>
      </c>
      <c r="B1160" t="s">
        <v>1331</v>
      </c>
      <c r="C1160" t="s">
        <v>625</v>
      </c>
      <c r="D1160">
        <v>4.8499999999999996</v>
      </c>
    </row>
    <row r="1161" spans="1:4" x14ac:dyDescent="0.25">
      <c r="A1161" t="s">
        <v>1911</v>
      </c>
      <c r="B1161" t="s">
        <v>1335</v>
      </c>
      <c r="C1161" t="s">
        <v>625</v>
      </c>
      <c r="D1161">
        <v>44</v>
      </c>
    </row>
    <row r="1162" spans="1:4" x14ac:dyDescent="0.25">
      <c r="A1162" t="s">
        <v>1990</v>
      </c>
      <c r="B1162" t="s">
        <v>1334</v>
      </c>
      <c r="C1162" t="s">
        <v>625</v>
      </c>
      <c r="D1162">
        <v>195.5</v>
      </c>
    </row>
    <row r="1163" spans="1:4" x14ac:dyDescent="0.25">
      <c r="A1163" t="s">
        <v>1990</v>
      </c>
      <c r="B1163" t="s">
        <v>1331</v>
      </c>
      <c r="C1163" t="s">
        <v>625</v>
      </c>
      <c r="D1163">
        <v>7</v>
      </c>
    </row>
    <row r="1164" spans="1:4" x14ac:dyDescent="0.25">
      <c r="A1164" t="s">
        <v>1981</v>
      </c>
      <c r="B1164" t="s">
        <v>1331</v>
      </c>
      <c r="C1164" t="s">
        <v>625</v>
      </c>
      <c r="D1164">
        <v>188.5</v>
      </c>
    </row>
    <row r="1165" spans="1:4" x14ac:dyDescent="0.25">
      <c r="A1165" t="s">
        <v>1909</v>
      </c>
      <c r="B1165" t="s">
        <v>1335</v>
      </c>
      <c r="C1165" t="s">
        <v>625</v>
      </c>
      <c r="D1165">
        <v>31.3</v>
      </c>
    </row>
    <row r="1166" spans="1:4" x14ac:dyDescent="0.25">
      <c r="A1166" t="s">
        <v>2010</v>
      </c>
      <c r="B1166" t="s">
        <v>1333</v>
      </c>
      <c r="C1166" t="s">
        <v>625</v>
      </c>
      <c r="D1166">
        <v>2</v>
      </c>
    </row>
    <row r="1167" spans="1:4" x14ac:dyDescent="0.25">
      <c r="A1167" t="s">
        <v>1960</v>
      </c>
      <c r="B1167" t="s">
        <v>1331</v>
      </c>
      <c r="C1167" t="s">
        <v>625</v>
      </c>
      <c r="D1167">
        <v>1.7</v>
      </c>
    </row>
    <row r="1168" spans="1:4" x14ac:dyDescent="0.25">
      <c r="A1168" t="s">
        <v>1980</v>
      </c>
      <c r="B1168" t="s">
        <v>1334</v>
      </c>
      <c r="C1168" t="s">
        <v>625</v>
      </c>
      <c r="D1168">
        <v>1</v>
      </c>
    </row>
    <row r="1169" spans="1:4" x14ac:dyDescent="0.25">
      <c r="A1169" t="s">
        <v>1921</v>
      </c>
      <c r="B1169" t="s">
        <v>1330</v>
      </c>
      <c r="C1169" t="s">
        <v>625</v>
      </c>
      <c r="D1169">
        <v>15.4</v>
      </c>
    </row>
    <row r="1170" spans="1:4" x14ac:dyDescent="0.25">
      <c r="A1170" t="s">
        <v>1907</v>
      </c>
      <c r="B1170" t="s">
        <v>1335</v>
      </c>
      <c r="C1170" t="s">
        <v>625</v>
      </c>
      <c r="D1170">
        <v>1.7</v>
      </c>
    </row>
    <row r="1171" spans="1:4" x14ac:dyDescent="0.25">
      <c r="A1171" t="s">
        <v>1968</v>
      </c>
      <c r="B1171" t="s">
        <v>1330</v>
      </c>
      <c r="C1171" t="s">
        <v>625</v>
      </c>
      <c r="D1171">
        <v>1</v>
      </c>
    </row>
    <row r="1172" spans="1:4" x14ac:dyDescent="0.25">
      <c r="A1172" t="s">
        <v>1927</v>
      </c>
      <c r="B1172" t="s">
        <v>1331</v>
      </c>
      <c r="C1172" t="s">
        <v>625</v>
      </c>
      <c r="D1172">
        <v>546.70000000000005</v>
      </c>
    </row>
    <row r="1173" spans="1:4" x14ac:dyDescent="0.25">
      <c r="A1173" t="s">
        <v>2004</v>
      </c>
      <c r="B1173" t="s">
        <v>1331</v>
      </c>
      <c r="C1173" t="s">
        <v>625</v>
      </c>
      <c r="D1173">
        <v>34.5</v>
      </c>
    </row>
    <row r="1174" spans="1:4" x14ac:dyDescent="0.25">
      <c r="A1174" t="s">
        <v>1973</v>
      </c>
      <c r="B1174" t="s">
        <v>1331</v>
      </c>
      <c r="C1174" t="s">
        <v>625</v>
      </c>
      <c r="D1174">
        <v>13.25</v>
      </c>
    </row>
    <row r="1175" spans="1:4" x14ac:dyDescent="0.25">
      <c r="A1175" t="s">
        <v>1920</v>
      </c>
      <c r="B1175" t="s">
        <v>1331</v>
      </c>
      <c r="C1175" t="s">
        <v>625</v>
      </c>
      <c r="D1175">
        <v>41.5</v>
      </c>
    </row>
    <row r="1176" spans="1:4" x14ac:dyDescent="0.25">
      <c r="A1176" t="s">
        <v>1974</v>
      </c>
      <c r="B1176" t="s">
        <v>1330</v>
      </c>
      <c r="C1176" t="s">
        <v>625</v>
      </c>
      <c r="D1176">
        <v>15.75</v>
      </c>
    </row>
    <row r="1177" spans="1:4" x14ac:dyDescent="0.25">
      <c r="A1177" t="s">
        <v>1995</v>
      </c>
      <c r="B1177" t="s">
        <v>1330</v>
      </c>
      <c r="C1177" t="s">
        <v>625</v>
      </c>
      <c r="D1177">
        <v>1.5</v>
      </c>
    </row>
    <row r="1178" spans="1:4" x14ac:dyDescent="0.25">
      <c r="A1178" t="s">
        <v>1925</v>
      </c>
      <c r="B1178" t="s">
        <v>1331</v>
      </c>
      <c r="C1178" t="s">
        <v>625</v>
      </c>
      <c r="D1178">
        <v>35.5</v>
      </c>
    </row>
    <row r="1179" spans="1:4" x14ac:dyDescent="0.25">
      <c r="A1179" t="s">
        <v>1911</v>
      </c>
      <c r="B1179" t="s">
        <v>1335</v>
      </c>
      <c r="C1179" t="s">
        <v>1510</v>
      </c>
      <c r="D1179">
        <v>17.399999999999999</v>
      </c>
    </row>
    <row r="1180" spans="1:4" x14ac:dyDescent="0.25">
      <c r="A1180" t="s">
        <v>1960</v>
      </c>
      <c r="B1180" t="s">
        <v>1331</v>
      </c>
      <c r="C1180" t="s">
        <v>1510</v>
      </c>
      <c r="D1180">
        <v>1.5</v>
      </c>
    </row>
    <row r="1181" spans="1:4" x14ac:dyDescent="0.25">
      <c r="A1181" t="s">
        <v>1913</v>
      </c>
      <c r="B1181" t="s">
        <v>1335</v>
      </c>
      <c r="C1181" t="s">
        <v>1510</v>
      </c>
      <c r="D1181">
        <v>15.7</v>
      </c>
    </row>
    <row r="1182" spans="1:4" x14ac:dyDescent="0.25">
      <c r="A1182" t="s">
        <v>1929</v>
      </c>
      <c r="B1182" t="s">
        <v>1331</v>
      </c>
      <c r="C1182" t="s">
        <v>1510</v>
      </c>
      <c r="D1182">
        <v>90</v>
      </c>
    </row>
    <row r="1183" spans="1:4" x14ac:dyDescent="0.25">
      <c r="A1183" t="s">
        <v>1927</v>
      </c>
      <c r="B1183" t="s">
        <v>1331</v>
      </c>
      <c r="C1183" t="s">
        <v>629</v>
      </c>
      <c r="D1183">
        <v>227.15</v>
      </c>
    </row>
    <row r="1184" spans="1:4" x14ac:dyDescent="0.25">
      <c r="A1184" t="s">
        <v>1945</v>
      </c>
      <c r="B1184" t="s">
        <v>1331</v>
      </c>
      <c r="C1184" t="s">
        <v>629</v>
      </c>
      <c r="D1184">
        <v>2</v>
      </c>
    </row>
    <row r="1185" spans="1:4" x14ac:dyDescent="0.25">
      <c r="A1185" t="s">
        <v>1920</v>
      </c>
      <c r="B1185" t="s">
        <v>1331</v>
      </c>
      <c r="C1185" t="s">
        <v>629</v>
      </c>
      <c r="D1185">
        <v>2</v>
      </c>
    </row>
    <row r="1186" spans="1:4" x14ac:dyDescent="0.25">
      <c r="A1186" t="s">
        <v>1909</v>
      </c>
      <c r="B1186" t="s">
        <v>1335</v>
      </c>
      <c r="C1186" t="s">
        <v>629</v>
      </c>
      <c r="D1186">
        <v>52.6</v>
      </c>
    </row>
    <row r="1187" spans="1:4" x14ac:dyDescent="0.25">
      <c r="A1187" t="s">
        <v>1968</v>
      </c>
      <c r="B1187" t="s">
        <v>1330</v>
      </c>
      <c r="C1187" t="s">
        <v>629</v>
      </c>
      <c r="D1187">
        <v>5</v>
      </c>
    </row>
    <row r="1188" spans="1:4" x14ac:dyDescent="0.25">
      <c r="A1188" t="s">
        <v>1914</v>
      </c>
      <c r="B1188" t="s">
        <v>1335</v>
      </c>
      <c r="C1188" t="s">
        <v>629</v>
      </c>
      <c r="D1188">
        <v>7</v>
      </c>
    </row>
    <row r="1189" spans="1:4" x14ac:dyDescent="0.25">
      <c r="A1189" t="s">
        <v>1923</v>
      </c>
      <c r="B1189" t="s">
        <v>1331</v>
      </c>
      <c r="C1189" t="s">
        <v>629</v>
      </c>
      <c r="D1189">
        <v>36.5</v>
      </c>
    </row>
    <row r="1190" spans="1:4" x14ac:dyDescent="0.25">
      <c r="A1190" t="s">
        <v>1990</v>
      </c>
      <c r="B1190" t="s">
        <v>1334</v>
      </c>
      <c r="C1190" t="s">
        <v>629</v>
      </c>
      <c r="D1190">
        <v>17.7</v>
      </c>
    </row>
    <row r="1191" spans="1:4" x14ac:dyDescent="0.25">
      <c r="A1191" t="s">
        <v>1960</v>
      </c>
      <c r="B1191" t="s">
        <v>1331</v>
      </c>
      <c r="C1191" t="s">
        <v>629</v>
      </c>
      <c r="D1191">
        <v>880.06</v>
      </c>
    </row>
    <row r="1192" spans="1:4" x14ac:dyDescent="0.25">
      <c r="A1192" t="s">
        <v>2007</v>
      </c>
      <c r="B1192" t="s">
        <v>1331</v>
      </c>
      <c r="C1192" t="s">
        <v>629</v>
      </c>
      <c r="D1192">
        <v>10.4</v>
      </c>
    </row>
    <row r="1193" spans="1:4" x14ac:dyDescent="0.25">
      <c r="A1193" t="s">
        <v>1960</v>
      </c>
      <c r="B1193" t="s">
        <v>1333</v>
      </c>
      <c r="C1193" t="s">
        <v>629</v>
      </c>
      <c r="D1193">
        <v>9.6999999999999993</v>
      </c>
    </row>
    <row r="1194" spans="1:4" x14ac:dyDescent="0.25">
      <c r="A1194" t="s">
        <v>1913</v>
      </c>
      <c r="B1194" t="s">
        <v>1335</v>
      </c>
      <c r="C1194" t="s">
        <v>629</v>
      </c>
      <c r="D1194">
        <v>181.25</v>
      </c>
    </row>
    <row r="1195" spans="1:4" x14ac:dyDescent="0.25">
      <c r="A1195" t="s">
        <v>1990</v>
      </c>
      <c r="B1195" t="s">
        <v>1331</v>
      </c>
      <c r="C1195" t="s">
        <v>629</v>
      </c>
      <c r="D1195">
        <v>13.4</v>
      </c>
    </row>
    <row r="1196" spans="1:4" x14ac:dyDescent="0.25">
      <c r="A1196" t="s">
        <v>1950</v>
      </c>
      <c r="B1196" t="s">
        <v>1331</v>
      </c>
      <c r="C1196" t="s">
        <v>629</v>
      </c>
      <c r="D1196">
        <v>83.85</v>
      </c>
    </row>
    <row r="1197" spans="1:4" x14ac:dyDescent="0.25">
      <c r="A1197" t="s">
        <v>1980</v>
      </c>
      <c r="B1197" t="s">
        <v>1331</v>
      </c>
      <c r="C1197" t="s">
        <v>629</v>
      </c>
      <c r="D1197">
        <v>1</v>
      </c>
    </row>
    <row r="1198" spans="1:4" x14ac:dyDescent="0.25">
      <c r="A1198" t="s">
        <v>1980</v>
      </c>
      <c r="B1198" t="s">
        <v>1333</v>
      </c>
      <c r="C1198" t="s">
        <v>629</v>
      </c>
      <c r="D1198">
        <v>0.85</v>
      </c>
    </row>
    <row r="1199" spans="1:4" x14ac:dyDescent="0.25">
      <c r="A1199" t="s">
        <v>1974</v>
      </c>
      <c r="B1199" t="s">
        <v>1330</v>
      </c>
      <c r="C1199" t="s">
        <v>629</v>
      </c>
      <c r="D1199">
        <v>21.3</v>
      </c>
    </row>
    <row r="1200" spans="1:4" x14ac:dyDescent="0.25">
      <c r="A1200" t="s">
        <v>1911</v>
      </c>
      <c r="B1200" t="s">
        <v>1335</v>
      </c>
      <c r="C1200" t="s">
        <v>629</v>
      </c>
      <c r="D1200">
        <v>70.25</v>
      </c>
    </row>
    <row r="1201" spans="1:4" x14ac:dyDescent="0.25">
      <c r="A1201" t="s">
        <v>1918</v>
      </c>
      <c r="B1201" t="s">
        <v>1335</v>
      </c>
      <c r="C1201" t="s">
        <v>629</v>
      </c>
      <c r="D1201">
        <v>2.5</v>
      </c>
    </row>
    <row r="1202" spans="1:4" x14ac:dyDescent="0.25">
      <c r="A1202" t="s">
        <v>1960</v>
      </c>
      <c r="B1202" t="s">
        <v>1331</v>
      </c>
      <c r="C1202" t="s">
        <v>635</v>
      </c>
      <c r="D1202">
        <v>30</v>
      </c>
    </row>
    <row r="1203" spans="1:4" x14ac:dyDescent="0.25">
      <c r="A1203" t="s">
        <v>1913</v>
      </c>
      <c r="B1203" t="s">
        <v>1335</v>
      </c>
      <c r="C1203" t="s">
        <v>635</v>
      </c>
      <c r="D1203">
        <v>2.5</v>
      </c>
    </row>
    <row r="1204" spans="1:4" x14ac:dyDescent="0.25">
      <c r="A1204" t="s">
        <v>1929</v>
      </c>
      <c r="B1204" t="s">
        <v>1331</v>
      </c>
      <c r="C1204" t="s">
        <v>635</v>
      </c>
      <c r="D1204">
        <v>121</v>
      </c>
    </row>
    <row r="1205" spans="1:4" x14ac:dyDescent="0.25">
      <c r="A1205" t="s">
        <v>1909</v>
      </c>
      <c r="B1205" t="s">
        <v>1335</v>
      </c>
      <c r="C1205" t="s">
        <v>639</v>
      </c>
      <c r="D1205">
        <v>26.7</v>
      </c>
    </row>
    <row r="1206" spans="1:4" x14ac:dyDescent="0.25">
      <c r="A1206" t="s">
        <v>1945</v>
      </c>
      <c r="B1206" t="s">
        <v>1331</v>
      </c>
      <c r="C1206" t="s">
        <v>639</v>
      </c>
      <c r="D1206">
        <v>17</v>
      </c>
    </row>
    <row r="1207" spans="1:4" x14ac:dyDescent="0.25">
      <c r="A1207" t="s">
        <v>1911</v>
      </c>
      <c r="B1207" t="s">
        <v>1335</v>
      </c>
      <c r="C1207" t="s">
        <v>639</v>
      </c>
      <c r="D1207">
        <v>106.2</v>
      </c>
    </row>
    <row r="1208" spans="1:4" x14ac:dyDescent="0.25">
      <c r="A1208" t="s">
        <v>1974</v>
      </c>
      <c r="B1208" t="s">
        <v>1330</v>
      </c>
      <c r="C1208" t="s">
        <v>639</v>
      </c>
      <c r="D1208">
        <v>5.55</v>
      </c>
    </row>
    <row r="1209" spans="1:4" x14ac:dyDescent="0.25">
      <c r="A1209" t="s">
        <v>1966</v>
      </c>
      <c r="B1209" t="s">
        <v>1331</v>
      </c>
      <c r="C1209" t="s">
        <v>639</v>
      </c>
      <c r="D1209">
        <v>100.1</v>
      </c>
    </row>
    <row r="1210" spans="1:4" x14ac:dyDescent="0.25">
      <c r="A1210" t="s">
        <v>1960</v>
      </c>
      <c r="B1210" t="s">
        <v>1331</v>
      </c>
      <c r="C1210" t="s">
        <v>639</v>
      </c>
      <c r="D1210">
        <v>628</v>
      </c>
    </row>
    <row r="1211" spans="1:4" x14ac:dyDescent="0.25">
      <c r="A1211" t="s">
        <v>1913</v>
      </c>
      <c r="B1211" t="s">
        <v>1335</v>
      </c>
      <c r="C1211" t="s">
        <v>639</v>
      </c>
      <c r="D1211">
        <v>251.75</v>
      </c>
    </row>
    <row r="1212" spans="1:4" x14ac:dyDescent="0.25">
      <c r="A1212" t="s">
        <v>1962</v>
      </c>
      <c r="B1212" t="s">
        <v>1331</v>
      </c>
      <c r="C1212" t="s">
        <v>639</v>
      </c>
      <c r="D1212">
        <v>4.4000000000000004</v>
      </c>
    </row>
    <row r="1213" spans="1:4" x14ac:dyDescent="0.25">
      <c r="A1213" t="s">
        <v>1986</v>
      </c>
      <c r="B1213" t="s">
        <v>1331</v>
      </c>
      <c r="C1213" t="s">
        <v>639</v>
      </c>
      <c r="D1213">
        <v>7</v>
      </c>
    </row>
    <row r="1214" spans="1:4" x14ac:dyDescent="0.25">
      <c r="A1214" t="s">
        <v>1980</v>
      </c>
      <c r="B1214" t="s">
        <v>1333</v>
      </c>
      <c r="C1214" t="s">
        <v>639</v>
      </c>
      <c r="D1214">
        <v>3</v>
      </c>
    </row>
    <row r="1215" spans="1:4" x14ac:dyDescent="0.25">
      <c r="A1215" t="s">
        <v>1929</v>
      </c>
      <c r="B1215" t="s">
        <v>1331</v>
      </c>
      <c r="C1215" t="s">
        <v>639</v>
      </c>
      <c r="D1215">
        <v>646.20000000000005</v>
      </c>
    </row>
    <row r="1216" spans="1:4" x14ac:dyDescent="0.25">
      <c r="A1216" t="s">
        <v>1907</v>
      </c>
      <c r="B1216" t="s">
        <v>1335</v>
      </c>
      <c r="C1216" t="s">
        <v>639</v>
      </c>
      <c r="D1216">
        <v>4</v>
      </c>
    </row>
    <row r="1217" spans="1:4" x14ac:dyDescent="0.25">
      <c r="A1217" t="s">
        <v>1989</v>
      </c>
      <c r="B1217" t="s">
        <v>1331</v>
      </c>
      <c r="C1217" t="s">
        <v>639</v>
      </c>
      <c r="D1217">
        <v>6.2</v>
      </c>
    </row>
    <row r="1218" spans="1:4" x14ac:dyDescent="0.25">
      <c r="A1218" t="s">
        <v>1973</v>
      </c>
      <c r="B1218" t="s">
        <v>1331</v>
      </c>
      <c r="C1218" t="s">
        <v>639</v>
      </c>
      <c r="D1218">
        <v>2.5</v>
      </c>
    </row>
    <row r="1219" spans="1:4" x14ac:dyDescent="0.25">
      <c r="A1219" t="s">
        <v>1923</v>
      </c>
      <c r="B1219" t="s">
        <v>1331</v>
      </c>
      <c r="C1219" t="s">
        <v>639</v>
      </c>
      <c r="D1219">
        <v>5</v>
      </c>
    </row>
    <row r="1220" spans="1:4" x14ac:dyDescent="0.25">
      <c r="A1220" t="s">
        <v>1960</v>
      </c>
      <c r="B1220" t="s">
        <v>1333</v>
      </c>
      <c r="C1220" t="s">
        <v>639</v>
      </c>
      <c r="D1220">
        <v>17.100000000000001</v>
      </c>
    </row>
    <row r="1221" spans="1:4" x14ac:dyDescent="0.25">
      <c r="A1221" t="s">
        <v>1913</v>
      </c>
      <c r="B1221" t="s">
        <v>1335</v>
      </c>
      <c r="C1221" t="s">
        <v>650</v>
      </c>
      <c r="D1221">
        <v>4.8499999999999996</v>
      </c>
    </row>
    <row r="1222" spans="1:4" x14ac:dyDescent="0.25">
      <c r="A1222" t="s">
        <v>1921</v>
      </c>
      <c r="B1222" t="s">
        <v>1330</v>
      </c>
      <c r="C1222" t="s">
        <v>650</v>
      </c>
      <c r="D1222">
        <v>3.7</v>
      </c>
    </row>
    <row r="1223" spans="1:4" x14ac:dyDescent="0.25">
      <c r="A1223" t="s">
        <v>1909</v>
      </c>
      <c r="B1223" t="s">
        <v>1335</v>
      </c>
      <c r="C1223" t="s">
        <v>650</v>
      </c>
      <c r="D1223">
        <v>38.5</v>
      </c>
    </row>
    <row r="1224" spans="1:4" x14ac:dyDescent="0.25">
      <c r="A1224" t="s">
        <v>1973</v>
      </c>
      <c r="B1224" t="s">
        <v>1331</v>
      </c>
      <c r="C1224" t="s">
        <v>650</v>
      </c>
      <c r="D1224">
        <v>2</v>
      </c>
    </row>
    <row r="1225" spans="1:4" x14ac:dyDescent="0.25">
      <c r="A1225" t="s">
        <v>1920</v>
      </c>
      <c r="B1225" t="s">
        <v>1331</v>
      </c>
      <c r="C1225" t="s">
        <v>650</v>
      </c>
      <c r="D1225">
        <v>9.5</v>
      </c>
    </row>
    <row r="1226" spans="1:4" x14ac:dyDescent="0.25">
      <c r="A1226" t="s">
        <v>1950</v>
      </c>
      <c r="B1226" t="s">
        <v>1331</v>
      </c>
      <c r="C1226" t="s">
        <v>650</v>
      </c>
      <c r="D1226">
        <v>10.55</v>
      </c>
    </row>
    <row r="1227" spans="1:4" x14ac:dyDescent="0.25">
      <c r="A1227" t="s">
        <v>1974</v>
      </c>
      <c r="B1227" t="s">
        <v>1330</v>
      </c>
      <c r="C1227" t="s">
        <v>650</v>
      </c>
      <c r="D1227">
        <v>9.5500000000000007</v>
      </c>
    </row>
    <row r="1228" spans="1:4" x14ac:dyDescent="0.25">
      <c r="A1228" t="s">
        <v>1960</v>
      </c>
      <c r="B1228" t="s">
        <v>1333</v>
      </c>
      <c r="C1228" t="s">
        <v>650</v>
      </c>
      <c r="D1228">
        <v>27.35</v>
      </c>
    </row>
    <row r="1229" spans="1:4" x14ac:dyDescent="0.25">
      <c r="A1229" t="s">
        <v>1960</v>
      </c>
      <c r="B1229" t="s">
        <v>1331</v>
      </c>
      <c r="C1229" t="s">
        <v>650</v>
      </c>
      <c r="D1229">
        <v>287.3</v>
      </c>
    </row>
    <row r="1230" spans="1:4" x14ac:dyDescent="0.25">
      <c r="A1230" t="s">
        <v>1998</v>
      </c>
      <c r="B1230" t="s">
        <v>1331</v>
      </c>
      <c r="C1230" t="s">
        <v>650</v>
      </c>
      <c r="D1230">
        <v>15.4</v>
      </c>
    </row>
    <row r="1231" spans="1:4" x14ac:dyDescent="0.25">
      <c r="A1231" t="s">
        <v>1974</v>
      </c>
      <c r="B1231" t="s">
        <v>1330</v>
      </c>
      <c r="C1231" t="s">
        <v>656</v>
      </c>
      <c r="D1231">
        <v>48</v>
      </c>
    </row>
    <row r="1232" spans="1:4" x14ac:dyDescent="0.25">
      <c r="A1232" t="s">
        <v>1980</v>
      </c>
      <c r="B1232" t="s">
        <v>1331</v>
      </c>
      <c r="C1232" t="s">
        <v>656</v>
      </c>
      <c r="D1232">
        <v>1</v>
      </c>
    </row>
    <row r="1233" spans="1:4" x14ac:dyDescent="0.25">
      <c r="A1233" t="s">
        <v>1989</v>
      </c>
      <c r="B1233" t="s">
        <v>1333</v>
      </c>
      <c r="C1233" t="s">
        <v>656</v>
      </c>
      <c r="D1233">
        <v>341.15</v>
      </c>
    </row>
    <row r="1234" spans="1:4" x14ac:dyDescent="0.25">
      <c r="A1234" t="s">
        <v>1960</v>
      </c>
      <c r="B1234" t="s">
        <v>1333</v>
      </c>
      <c r="C1234" t="s">
        <v>656</v>
      </c>
      <c r="D1234">
        <v>2</v>
      </c>
    </row>
    <row r="1235" spans="1:4" x14ac:dyDescent="0.25">
      <c r="A1235" t="s">
        <v>1927</v>
      </c>
      <c r="B1235" t="s">
        <v>1331</v>
      </c>
      <c r="C1235" t="s">
        <v>656</v>
      </c>
      <c r="D1235">
        <v>327.25</v>
      </c>
    </row>
    <row r="1236" spans="1:4" x14ac:dyDescent="0.25">
      <c r="A1236" t="s">
        <v>1960</v>
      </c>
      <c r="B1236" t="s">
        <v>1331</v>
      </c>
      <c r="C1236" t="s">
        <v>656</v>
      </c>
      <c r="D1236">
        <v>37.049999999999997</v>
      </c>
    </row>
    <row r="1237" spans="1:4" x14ac:dyDescent="0.25">
      <c r="A1237" t="s">
        <v>1968</v>
      </c>
      <c r="B1237" t="s">
        <v>1330</v>
      </c>
      <c r="C1237" t="s">
        <v>656</v>
      </c>
      <c r="D1237">
        <v>3</v>
      </c>
    </row>
    <row r="1238" spans="1:4" x14ac:dyDescent="0.25">
      <c r="A1238" t="s">
        <v>1945</v>
      </c>
      <c r="B1238" t="s">
        <v>1331</v>
      </c>
      <c r="C1238" t="s">
        <v>656</v>
      </c>
      <c r="D1238">
        <v>29</v>
      </c>
    </row>
    <row r="1239" spans="1:4" x14ac:dyDescent="0.25">
      <c r="A1239" t="s">
        <v>1979</v>
      </c>
      <c r="B1239" t="s">
        <v>1331</v>
      </c>
      <c r="C1239" t="s">
        <v>656</v>
      </c>
      <c r="D1239">
        <v>15.1</v>
      </c>
    </row>
    <row r="1240" spans="1:4" x14ac:dyDescent="0.25">
      <c r="A1240" t="s">
        <v>1989</v>
      </c>
      <c r="B1240" t="s">
        <v>1331</v>
      </c>
      <c r="C1240" t="s">
        <v>656</v>
      </c>
      <c r="D1240">
        <v>700.1</v>
      </c>
    </row>
    <row r="1241" spans="1:4" x14ac:dyDescent="0.25">
      <c r="A1241" t="s">
        <v>1929</v>
      </c>
      <c r="B1241" t="s">
        <v>1331</v>
      </c>
      <c r="C1241" t="s">
        <v>656</v>
      </c>
      <c r="D1241">
        <v>19</v>
      </c>
    </row>
    <row r="1242" spans="1:4" x14ac:dyDescent="0.25">
      <c r="A1242" t="s">
        <v>1995</v>
      </c>
      <c r="B1242" t="s">
        <v>1331</v>
      </c>
      <c r="C1242" t="s">
        <v>656</v>
      </c>
      <c r="D1242">
        <v>1</v>
      </c>
    </row>
    <row r="1243" spans="1:4" x14ac:dyDescent="0.25">
      <c r="A1243" t="s">
        <v>2012</v>
      </c>
      <c r="B1243" t="s">
        <v>1335</v>
      </c>
      <c r="C1243" t="s">
        <v>656</v>
      </c>
      <c r="D1243">
        <v>15.4</v>
      </c>
    </row>
    <row r="1244" spans="1:4" x14ac:dyDescent="0.25">
      <c r="A1244" t="s">
        <v>1983</v>
      </c>
      <c r="B1244" t="s">
        <v>1335</v>
      </c>
      <c r="C1244" t="s">
        <v>656</v>
      </c>
      <c r="D1244">
        <v>4</v>
      </c>
    </row>
    <row r="1245" spans="1:4" x14ac:dyDescent="0.25">
      <c r="A1245" t="s">
        <v>2013</v>
      </c>
      <c r="B1245" t="s">
        <v>1335</v>
      </c>
      <c r="C1245" t="s">
        <v>656</v>
      </c>
      <c r="D1245">
        <v>14.4</v>
      </c>
    </row>
    <row r="1246" spans="1:4" x14ac:dyDescent="0.25">
      <c r="A1246" t="s">
        <v>1909</v>
      </c>
      <c r="B1246" t="s">
        <v>1335</v>
      </c>
      <c r="C1246" t="s">
        <v>656</v>
      </c>
      <c r="D1246">
        <v>1.5</v>
      </c>
    </row>
    <row r="1247" spans="1:4" x14ac:dyDescent="0.25">
      <c r="A1247" t="s">
        <v>1911</v>
      </c>
      <c r="B1247" t="s">
        <v>1335</v>
      </c>
      <c r="C1247" t="s">
        <v>656</v>
      </c>
      <c r="D1247">
        <v>1.5</v>
      </c>
    </row>
    <row r="1248" spans="1:4" x14ac:dyDescent="0.25">
      <c r="A1248" t="s">
        <v>2014</v>
      </c>
      <c r="B1248" t="s">
        <v>1335</v>
      </c>
      <c r="C1248" t="s">
        <v>656</v>
      </c>
      <c r="D1248">
        <v>3.85</v>
      </c>
    </row>
    <row r="1249" spans="1:4" x14ac:dyDescent="0.25">
      <c r="A1249" t="s">
        <v>1994</v>
      </c>
      <c r="B1249" t="s">
        <v>1331</v>
      </c>
      <c r="C1249" t="s">
        <v>656</v>
      </c>
      <c r="D1249">
        <v>355.1</v>
      </c>
    </row>
    <row r="1250" spans="1:4" x14ac:dyDescent="0.25">
      <c r="A1250" t="s">
        <v>1913</v>
      </c>
      <c r="B1250" t="s">
        <v>1335</v>
      </c>
      <c r="C1250" t="s">
        <v>656</v>
      </c>
      <c r="D1250">
        <v>316.3</v>
      </c>
    </row>
    <row r="1251" spans="1:4" x14ac:dyDescent="0.25">
      <c r="A1251" t="s">
        <v>1945</v>
      </c>
      <c r="B1251" t="s">
        <v>1333</v>
      </c>
      <c r="C1251" t="s">
        <v>656</v>
      </c>
      <c r="D1251">
        <v>2</v>
      </c>
    </row>
    <row r="1252" spans="1:4" x14ac:dyDescent="0.25">
      <c r="A1252" t="s">
        <v>1929</v>
      </c>
      <c r="B1252" t="s">
        <v>1331</v>
      </c>
      <c r="C1252" t="s">
        <v>663</v>
      </c>
      <c r="D1252">
        <v>26</v>
      </c>
    </row>
    <row r="1253" spans="1:4" x14ac:dyDescent="0.25">
      <c r="A1253" t="s">
        <v>1909</v>
      </c>
      <c r="B1253" t="s">
        <v>1335</v>
      </c>
      <c r="C1253" t="s">
        <v>663</v>
      </c>
      <c r="D1253">
        <v>2.5</v>
      </c>
    </row>
    <row r="1254" spans="1:4" x14ac:dyDescent="0.25">
      <c r="A1254" t="s">
        <v>1913</v>
      </c>
      <c r="B1254" t="s">
        <v>1335</v>
      </c>
      <c r="C1254" t="s">
        <v>663</v>
      </c>
      <c r="D1254">
        <v>6.3</v>
      </c>
    </row>
    <row r="1255" spans="1:4" x14ac:dyDescent="0.25">
      <c r="A1255" t="s">
        <v>1929</v>
      </c>
      <c r="B1255" t="s">
        <v>1331</v>
      </c>
      <c r="C1255" t="s">
        <v>667</v>
      </c>
      <c r="D1255">
        <v>46.5</v>
      </c>
    </row>
    <row r="1256" spans="1:4" x14ac:dyDescent="0.25">
      <c r="A1256" t="s">
        <v>1911</v>
      </c>
      <c r="B1256" t="s">
        <v>1335</v>
      </c>
      <c r="C1256" t="s">
        <v>667</v>
      </c>
      <c r="D1256">
        <v>5</v>
      </c>
    </row>
    <row r="1257" spans="1:4" x14ac:dyDescent="0.25">
      <c r="A1257" t="s">
        <v>1960</v>
      </c>
      <c r="B1257" t="s">
        <v>1331</v>
      </c>
      <c r="C1257" t="s">
        <v>667</v>
      </c>
      <c r="D1257">
        <v>17.05</v>
      </c>
    </row>
    <row r="1258" spans="1:4" x14ac:dyDescent="0.25">
      <c r="A1258" t="s">
        <v>1960</v>
      </c>
      <c r="B1258" t="s">
        <v>1331</v>
      </c>
      <c r="C1258" t="s">
        <v>1367</v>
      </c>
      <c r="D1258">
        <v>673.33</v>
      </c>
    </row>
    <row r="1259" spans="1:4" x14ac:dyDescent="0.25">
      <c r="A1259" t="s">
        <v>1913</v>
      </c>
      <c r="B1259" t="s">
        <v>1335</v>
      </c>
      <c r="C1259" t="s">
        <v>1367</v>
      </c>
      <c r="D1259">
        <v>34.549999999999997</v>
      </c>
    </row>
    <row r="1260" spans="1:4" x14ac:dyDescent="0.25">
      <c r="A1260" t="s">
        <v>1973</v>
      </c>
      <c r="B1260" t="s">
        <v>1333</v>
      </c>
      <c r="C1260" t="s">
        <v>1367</v>
      </c>
      <c r="D1260">
        <v>2</v>
      </c>
    </row>
    <row r="1261" spans="1:4" x14ac:dyDescent="0.25">
      <c r="A1261" t="s">
        <v>1945</v>
      </c>
      <c r="B1261" t="s">
        <v>1331</v>
      </c>
      <c r="C1261" t="s">
        <v>1367</v>
      </c>
      <c r="D1261">
        <v>1</v>
      </c>
    </row>
    <row r="1262" spans="1:4" x14ac:dyDescent="0.25">
      <c r="A1262" t="s">
        <v>1962</v>
      </c>
      <c r="B1262" t="s">
        <v>1331</v>
      </c>
      <c r="C1262" t="s">
        <v>1367</v>
      </c>
      <c r="D1262">
        <v>1</v>
      </c>
    </row>
    <row r="1263" spans="1:4" x14ac:dyDescent="0.25">
      <c r="A1263" t="s">
        <v>1968</v>
      </c>
      <c r="B1263" t="s">
        <v>1330</v>
      </c>
      <c r="C1263" t="s">
        <v>1367</v>
      </c>
      <c r="D1263">
        <v>13.2</v>
      </c>
    </row>
    <row r="1264" spans="1:4" x14ac:dyDescent="0.25">
      <c r="A1264" t="s">
        <v>1950</v>
      </c>
      <c r="B1264" t="s">
        <v>1331</v>
      </c>
      <c r="C1264" t="s">
        <v>1367</v>
      </c>
      <c r="D1264">
        <v>19.100000000000001</v>
      </c>
    </row>
    <row r="1265" spans="1:4" x14ac:dyDescent="0.25">
      <c r="A1265" t="s">
        <v>1974</v>
      </c>
      <c r="B1265" t="s">
        <v>1330</v>
      </c>
      <c r="C1265" t="s">
        <v>1367</v>
      </c>
      <c r="D1265">
        <v>7.1</v>
      </c>
    </row>
    <row r="1266" spans="1:4" x14ac:dyDescent="0.25">
      <c r="A1266" t="s">
        <v>1921</v>
      </c>
      <c r="B1266" t="s">
        <v>1330</v>
      </c>
      <c r="C1266" t="s">
        <v>1367</v>
      </c>
      <c r="D1266">
        <v>6.7</v>
      </c>
    </row>
    <row r="1267" spans="1:4" x14ac:dyDescent="0.25">
      <c r="A1267" t="s">
        <v>1927</v>
      </c>
      <c r="B1267" t="s">
        <v>1331</v>
      </c>
      <c r="C1267" t="s">
        <v>1367</v>
      </c>
      <c r="D1267">
        <v>134.75</v>
      </c>
    </row>
    <row r="1268" spans="1:4" x14ac:dyDescent="0.25">
      <c r="A1268" t="s">
        <v>1907</v>
      </c>
      <c r="B1268" t="s">
        <v>1335</v>
      </c>
      <c r="C1268" t="s">
        <v>1367</v>
      </c>
      <c r="D1268">
        <v>2</v>
      </c>
    </row>
    <row r="1269" spans="1:4" x14ac:dyDescent="0.25">
      <c r="A1269" t="s">
        <v>1973</v>
      </c>
      <c r="B1269" t="s">
        <v>1331</v>
      </c>
      <c r="C1269" t="s">
        <v>1367</v>
      </c>
      <c r="D1269">
        <v>482.9</v>
      </c>
    </row>
    <row r="1270" spans="1:4" x14ac:dyDescent="0.25">
      <c r="A1270" t="s">
        <v>1990</v>
      </c>
      <c r="B1270" t="s">
        <v>1331</v>
      </c>
      <c r="C1270" t="s">
        <v>1367</v>
      </c>
      <c r="D1270">
        <v>29.3</v>
      </c>
    </row>
    <row r="1271" spans="1:4" x14ac:dyDescent="0.25">
      <c r="A1271" t="s">
        <v>2015</v>
      </c>
      <c r="B1271" t="s">
        <v>1331</v>
      </c>
      <c r="C1271" t="s">
        <v>1367</v>
      </c>
      <c r="D1271">
        <v>126.4</v>
      </c>
    </row>
    <row r="1272" spans="1:4" x14ac:dyDescent="0.25">
      <c r="A1272" t="s">
        <v>1960</v>
      </c>
      <c r="B1272" t="s">
        <v>1333</v>
      </c>
      <c r="C1272" t="s">
        <v>1367</v>
      </c>
      <c r="D1272">
        <v>6.7</v>
      </c>
    </row>
    <row r="1273" spans="1:4" x14ac:dyDescent="0.25">
      <c r="A1273" t="s">
        <v>1911</v>
      </c>
      <c r="B1273" t="s">
        <v>1335</v>
      </c>
      <c r="C1273" t="s">
        <v>1367</v>
      </c>
      <c r="D1273">
        <v>160.55000000000001</v>
      </c>
    </row>
    <row r="1274" spans="1:4" x14ac:dyDescent="0.25">
      <c r="A1274" t="s">
        <v>1909</v>
      </c>
      <c r="B1274" t="s">
        <v>1335</v>
      </c>
      <c r="C1274" t="s">
        <v>1367</v>
      </c>
      <c r="D1274">
        <v>13.1</v>
      </c>
    </row>
    <row r="1275" spans="1:4" x14ac:dyDescent="0.25">
      <c r="A1275" t="s">
        <v>1983</v>
      </c>
      <c r="B1275" t="s">
        <v>1335</v>
      </c>
      <c r="C1275" t="s">
        <v>1367</v>
      </c>
      <c r="D1275">
        <v>20.75</v>
      </c>
    </row>
    <row r="1276" spans="1:4" x14ac:dyDescent="0.25">
      <c r="A1276" t="s">
        <v>1911</v>
      </c>
      <c r="B1276" t="s">
        <v>1335</v>
      </c>
      <c r="C1276" t="s">
        <v>672</v>
      </c>
      <c r="D1276">
        <v>118.6</v>
      </c>
    </row>
    <row r="1277" spans="1:4" x14ac:dyDescent="0.25">
      <c r="A1277" t="s">
        <v>1990</v>
      </c>
      <c r="B1277" t="s">
        <v>1331</v>
      </c>
      <c r="C1277" t="s">
        <v>672</v>
      </c>
      <c r="D1277">
        <v>11</v>
      </c>
    </row>
    <row r="1278" spans="1:4" x14ac:dyDescent="0.25">
      <c r="A1278" t="s">
        <v>1999</v>
      </c>
      <c r="B1278" t="s">
        <v>1333</v>
      </c>
      <c r="C1278" t="s">
        <v>672</v>
      </c>
      <c r="D1278">
        <v>50.35</v>
      </c>
    </row>
    <row r="1279" spans="1:4" x14ac:dyDescent="0.25">
      <c r="A1279" t="s">
        <v>1983</v>
      </c>
      <c r="B1279" t="s">
        <v>1335</v>
      </c>
      <c r="C1279" t="s">
        <v>672</v>
      </c>
      <c r="D1279">
        <v>2.5</v>
      </c>
    </row>
    <row r="1280" spans="1:4" x14ac:dyDescent="0.25">
      <c r="A1280" t="s">
        <v>1960</v>
      </c>
      <c r="B1280" t="s">
        <v>1331</v>
      </c>
      <c r="C1280" t="s">
        <v>672</v>
      </c>
      <c r="D1280">
        <v>227.75</v>
      </c>
    </row>
    <row r="1281" spans="1:4" x14ac:dyDescent="0.25">
      <c r="A1281" t="s">
        <v>1974</v>
      </c>
      <c r="B1281" t="s">
        <v>1330</v>
      </c>
      <c r="C1281" t="s">
        <v>672</v>
      </c>
      <c r="D1281">
        <v>50.4</v>
      </c>
    </row>
    <row r="1282" spans="1:4" x14ac:dyDescent="0.25">
      <c r="A1282" t="s">
        <v>1971</v>
      </c>
      <c r="B1282" t="s">
        <v>1335</v>
      </c>
      <c r="C1282" t="s">
        <v>672</v>
      </c>
      <c r="D1282">
        <v>7.7</v>
      </c>
    </row>
    <row r="1283" spans="1:4" x14ac:dyDescent="0.25">
      <c r="A1283" t="s">
        <v>1968</v>
      </c>
      <c r="B1283" t="s">
        <v>1330</v>
      </c>
      <c r="C1283" t="s">
        <v>672</v>
      </c>
      <c r="D1283">
        <v>15.4</v>
      </c>
    </row>
    <row r="1284" spans="1:4" x14ac:dyDescent="0.25">
      <c r="A1284" t="s">
        <v>1913</v>
      </c>
      <c r="B1284" t="s">
        <v>1335</v>
      </c>
      <c r="C1284" t="s">
        <v>672</v>
      </c>
      <c r="D1284">
        <v>240.05</v>
      </c>
    </row>
    <row r="1285" spans="1:4" x14ac:dyDescent="0.25">
      <c r="A1285" t="s">
        <v>1927</v>
      </c>
      <c r="B1285" t="s">
        <v>1330</v>
      </c>
      <c r="C1285" t="s">
        <v>672</v>
      </c>
      <c r="D1285">
        <v>46.2</v>
      </c>
    </row>
    <row r="1286" spans="1:4" x14ac:dyDescent="0.25">
      <c r="A1286" t="s">
        <v>1978</v>
      </c>
      <c r="B1286" t="s">
        <v>1335</v>
      </c>
      <c r="C1286" t="s">
        <v>672</v>
      </c>
      <c r="D1286">
        <v>2</v>
      </c>
    </row>
    <row r="1287" spans="1:4" x14ac:dyDescent="0.25">
      <c r="A1287" t="s">
        <v>1980</v>
      </c>
      <c r="B1287" t="s">
        <v>1331</v>
      </c>
      <c r="C1287" t="s">
        <v>672</v>
      </c>
      <c r="D1287">
        <v>3.5</v>
      </c>
    </row>
    <row r="1288" spans="1:4" x14ac:dyDescent="0.25">
      <c r="A1288" t="s">
        <v>1927</v>
      </c>
      <c r="B1288" t="s">
        <v>1331</v>
      </c>
      <c r="C1288" t="s">
        <v>672</v>
      </c>
      <c r="D1288">
        <v>427.35</v>
      </c>
    </row>
    <row r="1289" spans="1:4" x14ac:dyDescent="0.25">
      <c r="A1289" t="s">
        <v>1998</v>
      </c>
      <c r="B1289" t="s">
        <v>1331</v>
      </c>
      <c r="C1289" t="s">
        <v>672</v>
      </c>
      <c r="D1289">
        <v>7.7</v>
      </c>
    </row>
    <row r="1290" spans="1:4" x14ac:dyDescent="0.25">
      <c r="A1290" t="s">
        <v>1923</v>
      </c>
      <c r="B1290" t="s">
        <v>1331</v>
      </c>
      <c r="C1290" t="s">
        <v>672</v>
      </c>
      <c r="D1290">
        <v>123.6</v>
      </c>
    </row>
    <row r="1291" spans="1:4" x14ac:dyDescent="0.25">
      <c r="A1291" t="s">
        <v>1909</v>
      </c>
      <c r="B1291" t="s">
        <v>1335</v>
      </c>
      <c r="C1291" t="s">
        <v>672</v>
      </c>
      <c r="D1291">
        <v>22.5</v>
      </c>
    </row>
    <row r="1292" spans="1:4" x14ac:dyDescent="0.25">
      <c r="A1292" t="s">
        <v>1974</v>
      </c>
      <c r="B1292" t="s">
        <v>1333</v>
      </c>
      <c r="C1292" t="s">
        <v>672</v>
      </c>
      <c r="D1292">
        <v>3.85</v>
      </c>
    </row>
    <row r="1293" spans="1:4" x14ac:dyDescent="0.25">
      <c r="A1293" t="s">
        <v>1904</v>
      </c>
      <c r="B1293" t="s">
        <v>1331</v>
      </c>
      <c r="C1293" t="s">
        <v>672</v>
      </c>
      <c r="D1293">
        <v>49</v>
      </c>
    </row>
    <row r="1294" spans="1:4" x14ac:dyDescent="0.25">
      <c r="A1294" t="s">
        <v>1929</v>
      </c>
      <c r="B1294" t="s">
        <v>1331</v>
      </c>
      <c r="C1294" t="s">
        <v>672</v>
      </c>
      <c r="D1294">
        <v>43</v>
      </c>
    </row>
    <row r="1295" spans="1:4" x14ac:dyDescent="0.25">
      <c r="A1295" t="s">
        <v>1980</v>
      </c>
      <c r="B1295" t="s">
        <v>1333</v>
      </c>
      <c r="C1295" t="s">
        <v>672</v>
      </c>
      <c r="D1295">
        <v>11.35</v>
      </c>
    </row>
    <row r="1296" spans="1:4" x14ac:dyDescent="0.25">
      <c r="A1296" t="s">
        <v>1999</v>
      </c>
      <c r="B1296" t="s">
        <v>1331</v>
      </c>
      <c r="C1296" t="s">
        <v>672</v>
      </c>
      <c r="D1296">
        <v>1782.6</v>
      </c>
    </row>
    <row r="1297" spans="1:4" x14ac:dyDescent="0.25">
      <c r="A1297" t="s">
        <v>1921</v>
      </c>
      <c r="B1297" t="s">
        <v>1330</v>
      </c>
      <c r="C1297" t="s">
        <v>672</v>
      </c>
      <c r="D1297">
        <v>7.7</v>
      </c>
    </row>
    <row r="1298" spans="1:4" x14ac:dyDescent="0.25">
      <c r="A1298" t="s">
        <v>1960</v>
      </c>
      <c r="B1298" t="s">
        <v>1333</v>
      </c>
      <c r="C1298" t="s">
        <v>672</v>
      </c>
      <c r="D1298">
        <v>12.7</v>
      </c>
    </row>
    <row r="1299" spans="1:4" x14ac:dyDescent="0.25">
      <c r="A1299" t="s">
        <v>1927</v>
      </c>
      <c r="B1299" t="s">
        <v>1333</v>
      </c>
      <c r="C1299" t="s">
        <v>672</v>
      </c>
      <c r="D1299">
        <v>77</v>
      </c>
    </row>
    <row r="1300" spans="1:4" x14ac:dyDescent="0.25">
      <c r="A1300" t="s">
        <v>2000</v>
      </c>
      <c r="B1300" t="s">
        <v>1331</v>
      </c>
      <c r="C1300" t="s">
        <v>672</v>
      </c>
      <c r="D1300">
        <v>537.70000000000005</v>
      </c>
    </row>
    <row r="1301" spans="1:4" x14ac:dyDescent="0.25">
      <c r="A1301" t="s">
        <v>1950</v>
      </c>
      <c r="B1301" t="s">
        <v>1331</v>
      </c>
      <c r="C1301" t="s">
        <v>672</v>
      </c>
      <c r="D1301">
        <v>3.55</v>
      </c>
    </row>
    <row r="1302" spans="1:4" x14ac:dyDescent="0.25">
      <c r="A1302" t="s">
        <v>1945</v>
      </c>
      <c r="B1302" t="s">
        <v>1331</v>
      </c>
      <c r="C1302" t="s">
        <v>672</v>
      </c>
      <c r="D1302">
        <v>128.44999999999999</v>
      </c>
    </row>
    <row r="1303" spans="1:4" x14ac:dyDescent="0.25">
      <c r="A1303" t="s">
        <v>1956</v>
      </c>
      <c r="B1303" t="s">
        <v>1330</v>
      </c>
      <c r="C1303" t="s">
        <v>672</v>
      </c>
      <c r="D1303">
        <v>3.7</v>
      </c>
    </row>
    <row r="1304" spans="1:4" x14ac:dyDescent="0.25">
      <c r="A1304" t="s">
        <v>1979</v>
      </c>
      <c r="B1304" t="s">
        <v>1331</v>
      </c>
      <c r="C1304" t="s">
        <v>672</v>
      </c>
      <c r="D1304">
        <v>67.150000000000006</v>
      </c>
    </row>
    <row r="1305" spans="1:4" x14ac:dyDescent="0.25">
      <c r="A1305" t="s">
        <v>1960</v>
      </c>
      <c r="B1305" t="s">
        <v>1331</v>
      </c>
      <c r="C1305" t="s">
        <v>1554</v>
      </c>
      <c r="D1305">
        <v>38.5</v>
      </c>
    </row>
    <row r="1306" spans="1:4" x14ac:dyDescent="0.25">
      <c r="A1306" t="s">
        <v>1913</v>
      </c>
      <c r="B1306" t="s">
        <v>1335</v>
      </c>
      <c r="C1306" t="s">
        <v>1554</v>
      </c>
      <c r="D1306">
        <v>27.2</v>
      </c>
    </row>
    <row r="1307" spans="1:4" x14ac:dyDescent="0.25">
      <c r="A1307" t="s">
        <v>1973</v>
      </c>
      <c r="B1307" t="s">
        <v>1331</v>
      </c>
      <c r="C1307" t="s">
        <v>1554</v>
      </c>
      <c r="D1307">
        <v>3</v>
      </c>
    </row>
    <row r="1308" spans="1:4" x14ac:dyDescent="0.25">
      <c r="A1308" t="s">
        <v>1960</v>
      </c>
      <c r="B1308" t="s">
        <v>1333</v>
      </c>
      <c r="C1308" t="s">
        <v>1554</v>
      </c>
      <c r="D1308">
        <v>3</v>
      </c>
    </row>
    <row r="1309" spans="1:4" x14ac:dyDescent="0.25">
      <c r="A1309" t="s">
        <v>1909</v>
      </c>
      <c r="B1309" t="s">
        <v>1335</v>
      </c>
      <c r="C1309" t="s">
        <v>1554</v>
      </c>
      <c r="D1309">
        <v>1.5</v>
      </c>
    </row>
    <row r="1310" spans="1:4" x14ac:dyDescent="0.25">
      <c r="A1310" t="s">
        <v>1911</v>
      </c>
      <c r="B1310" t="s">
        <v>1335</v>
      </c>
      <c r="C1310" t="s">
        <v>1554</v>
      </c>
      <c r="D1310">
        <v>3.2</v>
      </c>
    </row>
    <row r="1311" spans="1:4" x14ac:dyDescent="0.25">
      <c r="A1311" t="s">
        <v>1945</v>
      </c>
      <c r="B1311" t="s">
        <v>1331</v>
      </c>
      <c r="C1311" t="s">
        <v>1554</v>
      </c>
      <c r="D1311">
        <v>4</v>
      </c>
    </row>
    <row r="1312" spans="1:4" x14ac:dyDescent="0.25">
      <c r="A1312" t="s">
        <v>1909</v>
      </c>
      <c r="B1312" t="s">
        <v>1335</v>
      </c>
      <c r="C1312" t="s">
        <v>1649</v>
      </c>
      <c r="D1312">
        <v>1</v>
      </c>
    </row>
    <row r="1313" spans="1:4" x14ac:dyDescent="0.25">
      <c r="A1313" t="s">
        <v>1913</v>
      </c>
      <c r="B1313" t="s">
        <v>1335</v>
      </c>
      <c r="C1313" t="s">
        <v>1649</v>
      </c>
      <c r="D1313">
        <v>11.15</v>
      </c>
    </row>
    <row r="1314" spans="1:4" x14ac:dyDescent="0.25">
      <c r="A1314" t="s">
        <v>1960</v>
      </c>
      <c r="B1314" t="s">
        <v>1331</v>
      </c>
      <c r="C1314" t="s">
        <v>1649</v>
      </c>
      <c r="D1314">
        <v>16.5</v>
      </c>
    </row>
    <row r="1315" spans="1:4" x14ac:dyDescent="0.25">
      <c r="A1315" t="s">
        <v>1911</v>
      </c>
      <c r="B1315" t="s">
        <v>1335</v>
      </c>
      <c r="C1315" t="s">
        <v>1649</v>
      </c>
      <c r="D1315">
        <v>1</v>
      </c>
    </row>
    <row r="1316" spans="1:4" x14ac:dyDescent="0.25">
      <c r="A1316" t="s">
        <v>1973</v>
      </c>
      <c r="B1316" t="s">
        <v>1331</v>
      </c>
      <c r="C1316" t="s">
        <v>679</v>
      </c>
      <c r="D1316">
        <v>418.1</v>
      </c>
    </row>
    <row r="1317" spans="1:4" x14ac:dyDescent="0.25">
      <c r="A1317" t="s">
        <v>1956</v>
      </c>
      <c r="B1317" t="s">
        <v>1333</v>
      </c>
      <c r="C1317" t="s">
        <v>679</v>
      </c>
      <c r="D1317">
        <v>2.85</v>
      </c>
    </row>
    <row r="1318" spans="1:4" x14ac:dyDescent="0.25">
      <c r="A1318" t="s">
        <v>2003</v>
      </c>
      <c r="B1318" t="s">
        <v>1331</v>
      </c>
      <c r="C1318" t="s">
        <v>679</v>
      </c>
      <c r="D1318">
        <v>120.2</v>
      </c>
    </row>
    <row r="1319" spans="1:4" x14ac:dyDescent="0.25">
      <c r="A1319" t="s">
        <v>2007</v>
      </c>
      <c r="B1319" t="s">
        <v>1331</v>
      </c>
      <c r="C1319" t="s">
        <v>679</v>
      </c>
      <c r="D1319">
        <v>561.29999999999995</v>
      </c>
    </row>
    <row r="1320" spans="1:4" x14ac:dyDescent="0.25">
      <c r="A1320" t="s">
        <v>1914</v>
      </c>
      <c r="B1320" t="s">
        <v>1335</v>
      </c>
      <c r="C1320" t="s">
        <v>679</v>
      </c>
      <c r="D1320">
        <v>3.7</v>
      </c>
    </row>
    <row r="1321" spans="1:4" x14ac:dyDescent="0.25">
      <c r="A1321" t="s">
        <v>1989</v>
      </c>
      <c r="B1321" t="s">
        <v>1333</v>
      </c>
      <c r="C1321" t="s">
        <v>679</v>
      </c>
      <c r="D1321">
        <v>2.5</v>
      </c>
    </row>
    <row r="1322" spans="1:4" x14ac:dyDescent="0.25">
      <c r="A1322" t="s">
        <v>1960</v>
      </c>
      <c r="B1322" t="s">
        <v>1333</v>
      </c>
      <c r="C1322" t="s">
        <v>679</v>
      </c>
      <c r="D1322">
        <v>131.1</v>
      </c>
    </row>
    <row r="1323" spans="1:4" x14ac:dyDescent="0.25">
      <c r="A1323" t="s">
        <v>1979</v>
      </c>
      <c r="B1323" t="s">
        <v>1331</v>
      </c>
      <c r="C1323" t="s">
        <v>679</v>
      </c>
      <c r="D1323">
        <v>36.200000000000003</v>
      </c>
    </row>
    <row r="1324" spans="1:4" x14ac:dyDescent="0.25">
      <c r="A1324" t="s">
        <v>1909</v>
      </c>
      <c r="B1324" t="s">
        <v>1335</v>
      </c>
      <c r="C1324" t="s">
        <v>679</v>
      </c>
      <c r="D1324">
        <v>2.5</v>
      </c>
    </row>
    <row r="1325" spans="1:4" x14ac:dyDescent="0.25">
      <c r="A1325" t="s">
        <v>1960</v>
      </c>
      <c r="B1325" t="s">
        <v>1331</v>
      </c>
      <c r="C1325" t="s">
        <v>679</v>
      </c>
      <c r="D1325">
        <v>2302.3000000000002</v>
      </c>
    </row>
    <row r="1326" spans="1:4" x14ac:dyDescent="0.25">
      <c r="A1326" t="s">
        <v>1945</v>
      </c>
      <c r="B1326" t="s">
        <v>1331</v>
      </c>
      <c r="C1326" t="s">
        <v>679</v>
      </c>
      <c r="D1326">
        <v>169</v>
      </c>
    </row>
    <row r="1327" spans="1:4" x14ac:dyDescent="0.25">
      <c r="A1327" t="s">
        <v>1980</v>
      </c>
      <c r="B1327" t="s">
        <v>1331</v>
      </c>
      <c r="C1327" t="s">
        <v>679</v>
      </c>
      <c r="D1327">
        <v>13.4</v>
      </c>
    </row>
    <row r="1328" spans="1:4" x14ac:dyDescent="0.25">
      <c r="A1328" t="s">
        <v>1913</v>
      </c>
      <c r="B1328" t="s">
        <v>1333</v>
      </c>
      <c r="C1328" t="s">
        <v>679</v>
      </c>
      <c r="D1328">
        <v>6</v>
      </c>
    </row>
    <row r="1329" spans="1:4" x14ac:dyDescent="0.25">
      <c r="A1329" t="s">
        <v>1911</v>
      </c>
      <c r="B1329" t="s">
        <v>1335</v>
      </c>
      <c r="C1329" t="s">
        <v>679</v>
      </c>
      <c r="D1329">
        <v>32.950000000000003</v>
      </c>
    </row>
    <row r="1330" spans="1:4" x14ac:dyDescent="0.25">
      <c r="A1330" t="s">
        <v>1913</v>
      </c>
      <c r="B1330" t="s">
        <v>1335</v>
      </c>
      <c r="C1330" t="s">
        <v>679</v>
      </c>
      <c r="D1330">
        <v>571.45000000000005</v>
      </c>
    </row>
    <row r="1331" spans="1:4" x14ac:dyDescent="0.25">
      <c r="A1331" t="s">
        <v>1989</v>
      </c>
      <c r="B1331" t="s">
        <v>1331</v>
      </c>
      <c r="C1331" t="s">
        <v>679</v>
      </c>
      <c r="D1331">
        <v>7.5</v>
      </c>
    </row>
    <row r="1332" spans="1:4" x14ac:dyDescent="0.25">
      <c r="A1332" t="s">
        <v>1945</v>
      </c>
      <c r="B1332" t="s">
        <v>1333</v>
      </c>
      <c r="C1332" t="s">
        <v>679</v>
      </c>
      <c r="D1332">
        <v>6</v>
      </c>
    </row>
    <row r="1333" spans="1:4" x14ac:dyDescent="0.25">
      <c r="A1333" t="s">
        <v>1979</v>
      </c>
      <c r="B1333" t="s">
        <v>1331</v>
      </c>
      <c r="C1333" t="s">
        <v>1652</v>
      </c>
      <c r="D1333">
        <v>2.7</v>
      </c>
    </row>
    <row r="1334" spans="1:4" x14ac:dyDescent="0.25">
      <c r="A1334" t="s">
        <v>1960</v>
      </c>
      <c r="B1334" t="s">
        <v>1331</v>
      </c>
      <c r="C1334" t="s">
        <v>1652</v>
      </c>
      <c r="D1334">
        <v>6.35</v>
      </c>
    </row>
    <row r="1335" spans="1:4" x14ac:dyDescent="0.25">
      <c r="A1335" t="s">
        <v>1960</v>
      </c>
      <c r="B1335" t="s">
        <v>1333</v>
      </c>
      <c r="C1335" t="s">
        <v>1652</v>
      </c>
      <c r="D1335">
        <v>14.25</v>
      </c>
    </row>
    <row r="1336" spans="1:4" x14ac:dyDescent="0.25">
      <c r="A1336" t="s">
        <v>1945</v>
      </c>
      <c r="B1336" t="s">
        <v>1331</v>
      </c>
      <c r="C1336" t="s">
        <v>1652</v>
      </c>
      <c r="D1336">
        <v>5</v>
      </c>
    </row>
    <row r="1337" spans="1:4" x14ac:dyDescent="0.25">
      <c r="A1337" t="s">
        <v>1945</v>
      </c>
      <c r="B1337" t="s">
        <v>1333</v>
      </c>
      <c r="C1337" t="s">
        <v>1652</v>
      </c>
      <c r="D1337">
        <v>1</v>
      </c>
    </row>
    <row r="1338" spans="1:4" x14ac:dyDescent="0.25">
      <c r="A1338" t="s">
        <v>1960</v>
      </c>
      <c r="B1338" t="s">
        <v>1331</v>
      </c>
      <c r="C1338" t="s">
        <v>695</v>
      </c>
      <c r="D1338">
        <v>15.05</v>
      </c>
    </row>
    <row r="1339" spans="1:4" x14ac:dyDescent="0.25">
      <c r="A1339" t="s">
        <v>1913</v>
      </c>
      <c r="B1339" t="s">
        <v>1335</v>
      </c>
      <c r="C1339" t="s">
        <v>695</v>
      </c>
      <c r="D1339">
        <v>11.85</v>
      </c>
    </row>
    <row r="1340" spans="1:4" x14ac:dyDescent="0.25">
      <c r="A1340" t="s">
        <v>1960</v>
      </c>
      <c r="B1340" t="s">
        <v>1333</v>
      </c>
      <c r="C1340" t="s">
        <v>695</v>
      </c>
      <c r="D1340">
        <v>8.6999999999999993</v>
      </c>
    </row>
    <row r="1341" spans="1:4" x14ac:dyDescent="0.25">
      <c r="A1341" t="s">
        <v>1945</v>
      </c>
      <c r="B1341" t="s">
        <v>1331</v>
      </c>
      <c r="C1341" t="s">
        <v>695</v>
      </c>
      <c r="D1341">
        <v>35.5</v>
      </c>
    </row>
    <row r="1342" spans="1:4" x14ac:dyDescent="0.25">
      <c r="A1342" t="s">
        <v>1974</v>
      </c>
      <c r="B1342" t="s">
        <v>1330</v>
      </c>
      <c r="C1342" t="s">
        <v>697</v>
      </c>
      <c r="D1342">
        <v>132.9</v>
      </c>
    </row>
    <row r="1343" spans="1:4" x14ac:dyDescent="0.25">
      <c r="A1343" t="s">
        <v>1995</v>
      </c>
      <c r="B1343" t="s">
        <v>1330</v>
      </c>
      <c r="C1343" t="s">
        <v>697</v>
      </c>
      <c r="D1343">
        <v>97.3</v>
      </c>
    </row>
    <row r="1344" spans="1:4" x14ac:dyDescent="0.25">
      <c r="A1344" t="s">
        <v>1960</v>
      </c>
      <c r="B1344" t="s">
        <v>1331</v>
      </c>
      <c r="C1344" t="s">
        <v>697</v>
      </c>
      <c r="D1344">
        <v>8.1999999999999993</v>
      </c>
    </row>
    <row r="1345" spans="1:4" x14ac:dyDescent="0.25">
      <c r="A1345" t="s">
        <v>1918</v>
      </c>
      <c r="B1345" t="s">
        <v>1335</v>
      </c>
      <c r="C1345" t="s">
        <v>697</v>
      </c>
      <c r="D1345">
        <v>8.65</v>
      </c>
    </row>
    <row r="1346" spans="1:4" x14ac:dyDescent="0.25">
      <c r="A1346" t="s">
        <v>1990</v>
      </c>
      <c r="B1346" t="s">
        <v>1331</v>
      </c>
      <c r="C1346" t="s">
        <v>697</v>
      </c>
      <c r="D1346">
        <v>312.3</v>
      </c>
    </row>
    <row r="1347" spans="1:4" x14ac:dyDescent="0.25">
      <c r="A1347" t="s">
        <v>2016</v>
      </c>
      <c r="B1347" t="s">
        <v>1331</v>
      </c>
      <c r="C1347" t="s">
        <v>697</v>
      </c>
      <c r="D1347">
        <v>0.7</v>
      </c>
    </row>
    <row r="1348" spans="1:4" x14ac:dyDescent="0.25">
      <c r="A1348" t="s">
        <v>1956</v>
      </c>
      <c r="B1348" t="s">
        <v>1330</v>
      </c>
      <c r="C1348" t="s">
        <v>697</v>
      </c>
      <c r="D1348">
        <v>6.7</v>
      </c>
    </row>
    <row r="1349" spans="1:4" x14ac:dyDescent="0.25">
      <c r="A1349" t="s">
        <v>1999</v>
      </c>
      <c r="B1349" t="s">
        <v>1331</v>
      </c>
      <c r="C1349" t="s">
        <v>697</v>
      </c>
      <c r="D1349">
        <v>1399.15</v>
      </c>
    </row>
    <row r="1350" spans="1:4" x14ac:dyDescent="0.25">
      <c r="A1350" t="s">
        <v>2001</v>
      </c>
      <c r="B1350" t="s">
        <v>1330</v>
      </c>
      <c r="C1350" t="s">
        <v>697</v>
      </c>
      <c r="D1350">
        <v>480.4</v>
      </c>
    </row>
    <row r="1351" spans="1:4" x14ac:dyDescent="0.25">
      <c r="A1351" t="s">
        <v>1980</v>
      </c>
      <c r="B1351" t="s">
        <v>1331</v>
      </c>
      <c r="C1351" t="s">
        <v>697</v>
      </c>
      <c r="D1351">
        <v>21.55</v>
      </c>
    </row>
    <row r="1352" spans="1:4" x14ac:dyDescent="0.25">
      <c r="A1352" t="s">
        <v>2001</v>
      </c>
      <c r="B1352" t="s">
        <v>1331</v>
      </c>
      <c r="C1352" t="s">
        <v>697</v>
      </c>
      <c r="D1352">
        <v>548.79999999999995</v>
      </c>
    </row>
    <row r="1353" spans="1:4" x14ac:dyDescent="0.25">
      <c r="A1353" t="s">
        <v>1921</v>
      </c>
      <c r="B1353" t="s">
        <v>1330</v>
      </c>
      <c r="C1353" t="s">
        <v>697</v>
      </c>
      <c r="D1353">
        <v>30.8</v>
      </c>
    </row>
    <row r="1354" spans="1:4" x14ac:dyDescent="0.25">
      <c r="A1354" t="s">
        <v>1916</v>
      </c>
      <c r="B1354" t="s">
        <v>1331</v>
      </c>
      <c r="C1354" t="s">
        <v>697</v>
      </c>
      <c r="D1354">
        <v>2247.6999999999998</v>
      </c>
    </row>
    <row r="1355" spans="1:4" x14ac:dyDescent="0.25">
      <c r="A1355" t="s">
        <v>1983</v>
      </c>
      <c r="B1355" t="s">
        <v>1330</v>
      </c>
      <c r="C1355" t="s">
        <v>697</v>
      </c>
      <c r="D1355">
        <v>0.5</v>
      </c>
    </row>
    <row r="1356" spans="1:4" x14ac:dyDescent="0.25">
      <c r="A1356" t="s">
        <v>1973</v>
      </c>
      <c r="B1356" t="s">
        <v>1331</v>
      </c>
      <c r="C1356" t="s">
        <v>697</v>
      </c>
      <c r="D1356">
        <v>11.55</v>
      </c>
    </row>
    <row r="1357" spans="1:4" x14ac:dyDescent="0.25">
      <c r="A1357" t="s">
        <v>1989</v>
      </c>
      <c r="B1357" t="s">
        <v>1331</v>
      </c>
      <c r="C1357" t="s">
        <v>697</v>
      </c>
      <c r="D1357">
        <v>0.5</v>
      </c>
    </row>
    <row r="1358" spans="1:4" x14ac:dyDescent="0.25">
      <c r="A1358" t="s">
        <v>1950</v>
      </c>
      <c r="B1358" t="s">
        <v>1331</v>
      </c>
      <c r="C1358" t="s">
        <v>697</v>
      </c>
      <c r="D1358">
        <v>130.80000000000001</v>
      </c>
    </row>
    <row r="1359" spans="1:4" x14ac:dyDescent="0.25">
      <c r="A1359" t="s">
        <v>1927</v>
      </c>
      <c r="B1359" t="s">
        <v>1331</v>
      </c>
      <c r="C1359" t="s">
        <v>697</v>
      </c>
      <c r="D1359">
        <v>130.9</v>
      </c>
    </row>
    <row r="1360" spans="1:4" x14ac:dyDescent="0.25">
      <c r="A1360" t="s">
        <v>2017</v>
      </c>
      <c r="B1360" t="s">
        <v>1331</v>
      </c>
      <c r="C1360" t="s">
        <v>697</v>
      </c>
      <c r="D1360">
        <v>140.69999999999999</v>
      </c>
    </row>
    <row r="1361" spans="1:4" x14ac:dyDescent="0.25">
      <c r="A1361" t="s">
        <v>1945</v>
      </c>
      <c r="B1361" t="s">
        <v>1331</v>
      </c>
      <c r="C1361" t="s">
        <v>697</v>
      </c>
      <c r="D1361">
        <v>8</v>
      </c>
    </row>
    <row r="1362" spans="1:4" x14ac:dyDescent="0.25">
      <c r="A1362" t="s">
        <v>2007</v>
      </c>
      <c r="B1362" t="s">
        <v>1331</v>
      </c>
      <c r="C1362" t="s">
        <v>697</v>
      </c>
      <c r="D1362">
        <v>32.4</v>
      </c>
    </row>
    <row r="1363" spans="1:4" x14ac:dyDescent="0.25">
      <c r="A1363" t="s">
        <v>1911</v>
      </c>
      <c r="B1363" t="s">
        <v>1335</v>
      </c>
      <c r="C1363" t="s">
        <v>697</v>
      </c>
      <c r="D1363">
        <v>3.85</v>
      </c>
    </row>
    <row r="1364" spans="1:4" x14ac:dyDescent="0.25">
      <c r="A1364" t="s">
        <v>1945</v>
      </c>
      <c r="B1364" t="s">
        <v>1331</v>
      </c>
      <c r="C1364" t="s">
        <v>701</v>
      </c>
      <c r="D1364">
        <v>14.5</v>
      </c>
    </row>
    <row r="1365" spans="1:4" x14ac:dyDescent="0.25">
      <c r="A1365" t="s">
        <v>1960</v>
      </c>
      <c r="B1365" t="s">
        <v>1331</v>
      </c>
      <c r="C1365" t="s">
        <v>701</v>
      </c>
      <c r="D1365">
        <v>204.45</v>
      </c>
    </row>
    <row r="1366" spans="1:4" x14ac:dyDescent="0.25">
      <c r="A1366" t="s">
        <v>1990</v>
      </c>
      <c r="B1366" t="s">
        <v>1331</v>
      </c>
      <c r="C1366" t="s">
        <v>701</v>
      </c>
      <c r="D1366">
        <v>2</v>
      </c>
    </row>
    <row r="1367" spans="1:4" x14ac:dyDescent="0.25">
      <c r="A1367" t="s">
        <v>1960</v>
      </c>
      <c r="B1367" t="s">
        <v>1331</v>
      </c>
      <c r="C1367" t="s">
        <v>706</v>
      </c>
      <c r="D1367">
        <v>162.9</v>
      </c>
    </row>
    <row r="1368" spans="1:4" x14ac:dyDescent="0.25">
      <c r="A1368" t="s">
        <v>1945</v>
      </c>
      <c r="B1368" t="s">
        <v>1331</v>
      </c>
      <c r="C1368" t="s">
        <v>706</v>
      </c>
      <c r="D1368">
        <v>0.5</v>
      </c>
    </row>
    <row r="1369" spans="1:4" x14ac:dyDescent="0.25">
      <c r="A1369" t="s">
        <v>1992</v>
      </c>
      <c r="B1369" t="s">
        <v>1335</v>
      </c>
      <c r="C1369" t="s">
        <v>1475</v>
      </c>
      <c r="D1369">
        <v>28.4</v>
      </c>
    </row>
    <row r="1370" spans="1:4" x14ac:dyDescent="0.25">
      <c r="A1370" t="s">
        <v>1945</v>
      </c>
      <c r="B1370" t="s">
        <v>1331</v>
      </c>
      <c r="C1370" t="s">
        <v>1475</v>
      </c>
      <c r="D1370">
        <v>34.5</v>
      </c>
    </row>
    <row r="1371" spans="1:4" x14ac:dyDescent="0.25">
      <c r="A1371" t="s">
        <v>1907</v>
      </c>
      <c r="B1371" t="s">
        <v>1335</v>
      </c>
      <c r="C1371" t="s">
        <v>1475</v>
      </c>
      <c r="D1371">
        <v>102.6</v>
      </c>
    </row>
    <row r="1372" spans="1:4" x14ac:dyDescent="0.25">
      <c r="A1372" t="s">
        <v>1960</v>
      </c>
      <c r="B1372" t="s">
        <v>1331</v>
      </c>
      <c r="C1372" t="s">
        <v>1475</v>
      </c>
      <c r="D1372">
        <v>20.25</v>
      </c>
    </row>
    <row r="1373" spans="1:4" x14ac:dyDescent="0.25">
      <c r="A1373" t="s">
        <v>1913</v>
      </c>
      <c r="B1373" t="s">
        <v>1335</v>
      </c>
      <c r="C1373" t="s">
        <v>1462</v>
      </c>
      <c r="D1373">
        <v>39.35</v>
      </c>
    </row>
    <row r="1374" spans="1:4" x14ac:dyDescent="0.25">
      <c r="A1374" t="s">
        <v>1927</v>
      </c>
      <c r="B1374" t="s">
        <v>1331</v>
      </c>
      <c r="C1374" t="s">
        <v>1462</v>
      </c>
      <c r="D1374">
        <v>3.85</v>
      </c>
    </row>
    <row r="1375" spans="1:4" x14ac:dyDescent="0.25">
      <c r="A1375" t="s">
        <v>1911</v>
      </c>
      <c r="B1375" t="s">
        <v>1335</v>
      </c>
      <c r="C1375" t="s">
        <v>1462</v>
      </c>
      <c r="D1375">
        <v>50.35</v>
      </c>
    </row>
    <row r="1376" spans="1:4" x14ac:dyDescent="0.25">
      <c r="A1376" t="s">
        <v>1960</v>
      </c>
      <c r="B1376" t="s">
        <v>1331</v>
      </c>
      <c r="C1376" t="s">
        <v>1462</v>
      </c>
      <c r="D1376">
        <v>10.9</v>
      </c>
    </row>
    <row r="1377" spans="1:4" x14ac:dyDescent="0.25">
      <c r="A1377" t="s">
        <v>2018</v>
      </c>
      <c r="B1377" t="s">
        <v>1335</v>
      </c>
      <c r="C1377" t="s">
        <v>1462</v>
      </c>
      <c r="D1377">
        <v>39.200000000000003</v>
      </c>
    </row>
    <row r="1378" spans="1:4" x14ac:dyDescent="0.25">
      <c r="A1378" t="s">
        <v>1907</v>
      </c>
      <c r="B1378" t="s">
        <v>1335</v>
      </c>
      <c r="C1378" t="s">
        <v>1462</v>
      </c>
      <c r="D1378">
        <v>87.3</v>
      </c>
    </row>
    <row r="1379" spans="1:4" x14ac:dyDescent="0.25">
      <c r="A1379" t="s">
        <v>1960</v>
      </c>
      <c r="B1379" t="s">
        <v>1331</v>
      </c>
      <c r="C1379" t="s">
        <v>1520</v>
      </c>
      <c r="D1379">
        <v>19.25</v>
      </c>
    </row>
    <row r="1380" spans="1:4" x14ac:dyDescent="0.25">
      <c r="A1380" t="s">
        <v>1945</v>
      </c>
      <c r="B1380" t="s">
        <v>1331</v>
      </c>
      <c r="C1380" t="s">
        <v>1520</v>
      </c>
      <c r="D1380">
        <v>94.5</v>
      </c>
    </row>
    <row r="1381" spans="1:4" x14ac:dyDescent="0.25">
      <c r="A1381" t="s">
        <v>1945</v>
      </c>
      <c r="B1381" t="s">
        <v>1331</v>
      </c>
      <c r="C1381" t="s">
        <v>709</v>
      </c>
      <c r="D1381">
        <v>3</v>
      </c>
    </row>
    <row r="1382" spans="1:4" x14ac:dyDescent="0.25">
      <c r="A1382" t="s">
        <v>1960</v>
      </c>
      <c r="B1382" t="s">
        <v>1331</v>
      </c>
      <c r="C1382" t="s">
        <v>709</v>
      </c>
      <c r="D1382">
        <v>12.55</v>
      </c>
    </row>
    <row r="1383" spans="1:4" x14ac:dyDescent="0.25">
      <c r="A1383" t="s">
        <v>1971</v>
      </c>
      <c r="B1383" t="s">
        <v>1330</v>
      </c>
      <c r="C1383" t="s">
        <v>1548</v>
      </c>
      <c r="D1383">
        <v>84.7</v>
      </c>
    </row>
    <row r="1384" spans="1:4" x14ac:dyDescent="0.25">
      <c r="A1384" t="s">
        <v>1956</v>
      </c>
      <c r="B1384" t="s">
        <v>1331</v>
      </c>
      <c r="C1384" t="s">
        <v>719</v>
      </c>
      <c r="D1384">
        <v>47.05</v>
      </c>
    </row>
    <row r="1385" spans="1:4" x14ac:dyDescent="0.25">
      <c r="A1385" t="s">
        <v>1995</v>
      </c>
      <c r="B1385" t="s">
        <v>1330</v>
      </c>
      <c r="C1385" t="s">
        <v>719</v>
      </c>
      <c r="D1385">
        <v>1.5</v>
      </c>
    </row>
    <row r="1386" spans="1:4" x14ac:dyDescent="0.25">
      <c r="A1386" t="s">
        <v>1900</v>
      </c>
      <c r="B1386" t="s">
        <v>1335</v>
      </c>
      <c r="C1386" t="s">
        <v>719</v>
      </c>
      <c r="D1386">
        <v>2.85</v>
      </c>
    </row>
    <row r="1387" spans="1:4" x14ac:dyDescent="0.25">
      <c r="A1387" t="s">
        <v>1963</v>
      </c>
      <c r="B1387" t="s">
        <v>1331</v>
      </c>
      <c r="C1387" t="s">
        <v>719</v>
      </c>
      <c r="D1387">
        <v>78.3</v>
      </c>
    </row>
    <row r="1388" spans="1:4" x14ac:dyDescent="0.25">
      <c r="A1388" t="s">
        <v>1952</v>
      </c>
      <c r="B1388" t="s">
        <v>1331</v>
      </c>
      <c r="C1388" t="s">
        <v>719</v>
      </c>
      <c r="D1388">
        <v>78.400000000000006</v>
      </c>
    </row>
    <row r="1389" spans="1:4" x14ac:dyDescent="0.25">
      <c r="A1389" t="s">
        <v>1950</v>
      </c>
      <c r="B1389" t="s">
        <v>1334</v>
      </c>
      <c r="C1389" t="s">
        <v>719</v>
      </c>
      <c r="D1389">
        <v>18.8</v>
      </c>
    </row>
    <row r="1390" spans="1:4" x14ac:dyDescent="0.25">
      <c r="A1390" t="s">
        <v>1920</v>
      </c>
      <c r="B1390" t="s">
        <v>1331</v>
      </c>
      <c r="C1390" t="s">
        <v>719</v>
      </c>
      <c r="D1390">
        <v>16.7</v>
      </c>
    </row>
    <row r="1391" spans="1:4" x14ac:dyDescent="0.25">
      <c r="A1391" t="s">
        <v>1941</v>
      </c>
      <c r="B1391" t="s">
        <v>1330</v>
      </c>
      <c r="C1391" t="s">
        <v>719</v>
      </c>
      <c r="D1391">
        <v>61.6</v>
      </c>
    </row>
    <row r="1392" spans="1:4" x14ac:dyDescent="0.25">
      <c r="A1392" t="s">
        <v>1956</v>
      </c>
      <c r="B1392" t="s">
        <v>1335</v>
      </c>
      <c r="C1392" t="s">
        <v>719</v>
      </c>
      <c r="D1392">
        <v>246.55</v>
      </c>
    </row>
    <row r="1393" spans="1:4" x14ac:dyDescent="0.25">
      <c r="A1393" t="s">
        <v>1902</v>
      </c>
      <c r="B1393" t="s">
        <v>1335</v>
      </c>
      <c r="C1393" t="s">
        <v>719</v>
      </c>
      <c r="D1393">
        <v>7.7</v>
      </c>
    </row>
    <row r="1394" spans="1:4" x14ac:dyDescent="0.25">
      <c r="A1394" t="s">
        <v>1980</v>
      </c>
      <c r="B1394" t="s">
        <v>1331</v>
      </c>
      <c r="C1394" t="s">
        <v>724</v>
      </c>
      <c r="D1394">
        <v>38.9</v>
      </c>
    </row>
    <row r="1395" spans="1:4" x14ac:dyDescent="0.25">
      <c r="A1395" t="s">
        <v>1995</v>
      </c>
      <c r="B1395" t="s">
        <v>1330</v>
      </c>
      <c r="C1395" t="s">
        <v>724</v>
      </c>
      <c r="D1395">
        <v>4</v>
      </c>
    </row>
    <row r="1396" spans="1:4" x14ac:dyDescent="0.25">
      <c r="A1396" t="s">
        <v>1950</v>
      </c>
      <c r="B1396" t="s">
        <v>1334</v>
      </c>
      <c r="C1396" t="s">
        <v>724</v>
      </c>
      <c r="D1396">
        <v>62.6</v>
      </c>
    </row>
    <row r="1397" spans="1:4" x14ac:dyDescent="0.25">
      <c r="A1397" t="s">
        <v>1921</v>
      </c>
      <c r="B1397" t="s">
        <v>1330</v>
      </c>
      <c r="C1397" t="s">
        <v>724</v>
      </c>
      <c r="D1397">
        <v>58.9</v>
      </c>
    </row>
    <row r="1398" spans="1:4" x14ac:dyDescent="0.25">
      <c r="A1398" t="s">
        <v>1941</v>
      </c>
      <c r="B1398" t="s">
        <v>1330</v>
      </c>
      <c r="C1398" t="s">
        <v>724</v>
      </c>
      <c r="D1398">
        <v>138.30000000000001</v>
      </c>
    </row>
    <row r="1399" spans="1:4" x14ac:dyDescent="0.25">
      <c r="A1399" t="s">
        <v>1902</v>
      </c>
      <c r="B1399" t="s">
        <v>1331</v>
      </c>
      <c r="C1399" t="s">
        <v>724</v>
      </c>
      <c r="D1399">
        <v>2.85</v>
      </c>
    </row>
    <row r="1400" spans="1:4" x14ac:dyDescent="0.25">
      <c r="A1400" t="s">
        <v>1920</v>
      </c>
      <c r="B1400" t="s">
        <v>1331</v>
      </c>
      <c r="C1400" t="s">
        <v>724</v>
      </c>
      <c r="D1400">
        <v>8.85</v>
      </c>
    </row>
    <row r="1401" spans="1:4" x14ac:dyDescent="0.25">
      <c r="A1401" t="s">
        <v>1982</v>
      </c>
      <c r="B1401" t="s">
        <v>1334</v>
      </c>
      <c r="C1401" t="s">
        <v>724</v>
      </c>
      <c r="D1401">
        <v>62.4</v>
      </c>
    </row>
    <row r="1402" spans="1:4" x14ac:dyDescent="0.25">
      <c r="A1402" t="s">
        <v>1929</v>
      </c>
      <c r="B1402" t="s">
        <v>1331</v>
      </c>
      <c r="C1402" t="s">
        <v>724</v>
      </c>
      <c r="D1402">
        <v>1</v>
      </c>
    </row>
    <row r="1403" spans="1:4" x14ac:dyDescent="0.25">
      <c r="A1403" t="s">
        <v>1956</v>
      </c>
      <c r="B1403" t="s">
        <v>1331</v>
      </c>
      <c r="C1403" t="s">
        <v>724</v>
      </c>
      <c r="D1403">
        <v>192.35</v>
      </c>
    </row>
    <row r="1404" spans="1:4" x14ac:dyDescent="0.25">
      <c r="A1404" t="s">
        <v>1987</v>
      </c>
      <c r="B1404" t="s">
        <v>1331</v>
      </c>
      <c r="C1404" t="s">
        <v>728</v>
      </c>
      <c r="D1404">
        <v>433.6</v>
      </c>
    </row>
    <row r="1405" spans="1:4" x14ac:dyDescent="0.25">
      <c r="A1405" t="s">
        <v>1921</v>
      </c>
      <c r="B1405" t="s">
        <v>1331</v>
      </c>
      <c r="C1405" t="s">
        <v>728</v>
      </c>
      <c r="D1405">
        <v>34.5</v>
      </c>
    </row>
    <row r="1406" spans="1:4" x14ac:dyDescent="0.25">
      <c r="A1406" t="s">
        <v>1939</v>
      </c>
      <c r="B1406" t="s">
        <v>1331</v>
      </c>
      <c r="C1406" t="s">
        <v>728</v>
      </c>
      <c r="D1406">
        <v>640.9</v>
      </c>
    </row>
    <row r="1407" spans="1:4" x14ac:dyDescent="0.25">
      <c r="A1407" t="s">
        <v>1927</v>
      </c>
      <c r="B1407" t="s">
        <v>1331</v>
      </c>
      <c r="C1407" t="s">
        <v>728</v>
      </c>
      <c r="D1407">
        <v>220.2</v>
      </c>
    </row>
    <row r="1408" spans="1:4" x14ac:dyDescent="0.25">
      <c r="A1408" t="s">
        <v>1956</v>
      </c>
      <c r="B1408" t="s">
        <v>1331</v>
      </c>
      <c r="C1408" t="s">
        <v>728</v>
      </c>
      <c r="D1408">
        <v>11.55</v>
      </c>
    </row>
    <row r="1409" spans="1:4" x14ac:dyDescent="0.25">
      <c r="A1409" t="s">
        <v>1966</v>
      </c>
      <c r="B1409" t="s">
        <v>1331</v>
      </c>
      <c r="C1409" t="s">
        <v>728</v>
      </c>
      <c r="D1409">
        <v>11.55</v>
      </c>
    </row>
    <row r="1410" spans="1:4" x14ac:dyDescent="0.25">
      <c r="A1410" t="s">
        <v>1995</v>
      </c>
      <c r="B1410" t="s">
        <v>1330</v>
      </c>
      <c r="C1410" t="s">
        <v>728</v>
      </c>
      <c r="D1410">
        <v>24.2</v>
      </c>
    </row>
    <row r="1411" spans="1:4" x14ac:dyDescent="0.25">
      <c r="A1411" t="s">
        <v>1982</v>
      </c>
      <c r="B1411" t="s">
        <v>1334</v>
      </c>
      <c r="C1411" t="s">
        <v>728</v>
      </c>
      <c r="D1411">
        <v>17.7</v>
      </c>
    </row>
    <row r="1412" spans="1:4" x14ac:dyDescent="0.25">
      <c r="A1412" t="s">
        <v>1921</v>
      </c>
      <c r="B1412" t="s">
        <v>1330</v>
      </c>
      <c r="C1412" t="s">
        <v>728</v>
      </c>
      <c r="D1412">
        <v>210</v>
      </c>
    </row>
    <row r="1413" spans="1:4" x14ac:dyDescent="0.25">
      <c r="A1413" t="s">
        <v>1920</v>
      </c>
      <c r="B1413" t="s">
        <v>1331</v>
      </c>
      <c r="C1413" t="s">
        <v>728</v>
      </c>
      <c r="D1413">
        <v>269.75</v>
      </c>
    </row>
    <row r="1414" spans="1:4" x14ac:dyDescent="0.25">
      <c r="A1414" t="s">
        <v>1902</v>
      </c>
      <c r="B1414" t="s">
        <v>1331</v>
      </c>
      <c r="C1414" t="s">
        <v>728</v>
      </c>
      <c r="D1414">
        <v>8.6999999999999993</v>
      </c>
    </row>
    <row r="1415" spans="1:4" x14ac:dyDescent="0.25">
      <c r="A1415" t="s">
        <v>1945</v>
      </c>
      <c r="B1415" t="s">
        <v>1331</v>
      </c>
      <c r="C1415" t="s">
        <v>728</v>
      </c>
      <c r="D1415">
        <v>3.5</v>
      </c>
    </row>
    <row r="1416" spans="1:4" x14ac:dyDescent="0.25">
      <c r="A1416" t="s">
        <v>1952</v>
      </c>
      <c r="B1416" t="s">
        <v>1331</v>
      </c>
      <c r="C1416" t="s">
        <v>728</v>
      </c>
      <c r="D1416">
        <v>164.85</v>
      </c>
    </row>
    <row r="1417" spans="1:4" x14ac:dyDescent="0.25">
      <c r="A1417" t="s">
        <v>1939</v>
      </c>
      <c r="B1417" t="s">
        <v>1334</v>
      </c>
      <c r="C1417" t="s">
        <v>728</v>
      </c>
      <c r="D1417">
        <v>5.7</v>
      </c>
    </row>
    <row r="1418" spans="1:4" x14ac:dyDescent="0.25">
      <c r="A1418" t="s">
        <v>1950</v>
      </c>
      <c r="B1418" t="s">
        <v>1334</v>
      </c>
      <c r="C1418" t="s">
        <v>728</v>
      </c>
      <c r="D1418">
        <v>235.8</v>
      </c>
    </row>
    <row r="1419" spans="1:4" x14ac:dyDescent="0.25">
      <c r="A1419" t="s">
        <v>1956</v>
      </c>
      <c r="B1419" t="s">
        <v>1335</v>
      </c>
      <c r="C1419" t="s">
        <v>734</v>
      </c>
      <c r="D1419">
        <v>1.5</v>
      </c>
    </row>
    <row r="1420" spans="1:4" x14ac:dyDescent="0.25">
      <c r="A1420" t="s">
        <v>1941</v>
      </c>
      <c r="B1420" t="s">
        <v>1330</v>
      </c>
      <c r="C1420" t="s">
        <v>734</v>
      </c>
      <c r="D1420">
        <v>61.6</v>
      </c>
    </row>
    <row r="1421" spans="1:4" x14ac:dyDescent="0.25">
      <c r="A1421" t="s">
        <v>1982</v>
      </c>
      <c r="B1421" t="s">
        <v>1334</v>
      </c>
      <c r="C1421" t="s">
        <v>734</v>
      </c>
      <c r="D1421">
        <v>80.400000000000006</v>
      </c>
    </row>
    <row r="1422" spans="1:4" x14ac:dyDescent="0.25">
      <c r="A1422" t="s">
        <v>1950</v>
      </c>
      <c r="B1422" t="s">
        <v>1334</v>
      </c>
      <c r="C1422" t="s">
        <v>734</v>
      </c>
      <c r="D1422">
        <v>188.55</v>
      </c>
    </row>
    <row r="1423" spans="1:4" x14ac:dyDescent="0.25">
      <c r="A1423" t="s">
        <v>2019</v>
      </c>
      <c r="B1423" t="s">
        <v>1334</v>
      </c>
      <c r="C1423" t="s">
        <v>734</v>
      </c>
      <c r="D1423">
        <v>10.7</v>
      </c>
    </row>
    <row r="1424" spans="1:4" x14ac:dyDescent="0.25">
      <c r="A1424" t="s">
        <v>1920</v>
      </c>
      <c r="B1424" t="s">
        <v>1331</v>
      </c>
      <c r="C1424" t="s">
        <v>734</v>
      </c>
      <c r="D1424">
        <v>44</v>
      </c>
    </row>
    <row r="1425" spans="1:4" x14ac:dyDescent="0.25">
      <c r="A1425" t="s">
        <v>1956</v>
      </c>
      <c r="B1425" t="s">
        <v>1331</v>
      </c>
      <c r="C1425" t="s">
        <v>734</v>
      </c>
      <c r="D1425">
        <v>36.5</v>
      </c>
    </row>
    <row r="1426" spans="1:4" x14ac:dyDescent="0.25">
      <c r="A1426" t="s">
        <v>1947</v>
      </c>
      <c r="B1426" t="s">
        <v>1331</v>
      </c>
      <c r="C1426" t="s">
        <v>734</v>
      </c>
      <c r="D1426">
        <v>7.7</v>
      </c>
    </row>
    <row r="1427" spans="1:4" x14ac:dyDescent="0.25">
      <c r="A1427" t="s">
        <v>1995</v>
      </c>
      <c r="B1427" t="s">
        <v>1330</v>
      </c>
      <c r="C1427" t="s">
        <v>734</v>
      </c>
      <c r="D1427">
        <v>3</v>
      </c>
    </row>
    <row r="1428" spans="1:4" x14ac:dyDescent="0.25">
      <c r="A1428" t="s">
        <v>1929</v>
      </c>
      <c r="B1428" t="s">
        <v>1331</v>
      </c>
      <c r="C1428" t="s">
        <v>734</v>
      </c>
      <c r="D1428">
        <v>258.85000000000002</v>
      </c>
    </row>
    <row r="1429" spans="1:4" x14ac:dyDescent="0.25">
      <c r="A1429" t="s">
        <v>1952</v>
      </c>
      <c r="B1429" t="s">
        <v>1331</v>
      </c>
      <c r="C1429" t="s">
        <v>734</v>
      </c>
      <c r="D1429">
        <v>46.2</v>
      </c>
    </row>
    <row r="1430" spans="1:4" x14ac:dyDescent="0.25">
      <c r="A1430" t="s">
        <v>1950</v>
      </c>
      <c r="B1430" t="s">
        <v>1331</v>
      </c>
      <c r="C1430" t="s">
        <v>734</v>
      </c>
      <c r="D1430">
        <v>7.7</v>
      </c>
    </row>
    <row r="1431" spans="1:4" x14ac:dyDescent="0.25">
      <c r="A1431" t="s">
        <v>1929</v>
      </c>
      <c r="B1431" t="s">
        <v>1334</v>
      </c>
      <c r="C1431" t="s">
        <v>734</v>
      </c>
      <c r="D1431">
        <v>5</v>
      </c>
    </row>
    <row r="1432" spans="1:4" x14ac:dyDescent="0.25">
      <c r="A1432" t="s">
        <v>1980</v>
      </c>
      <c r="B1432" t="s">
        <v>1331</v>
      </c>
      <c r="C1432" t="s">
        <v>734</v>
      </c>
      <c r="D1432">
        <v>7.7</v>
      </c>
    </row>
    <row r="1433" spans="1:4" x14ac:dyDescent="0.25">
      <c r="A1433" t="s">
        <v>1950</v>
      </c>
      <c r="B1433" t="s">
        <v>1334</v>
      </c>
      <c r="C1433" t="s">
        <v>738</v>
      </c>
      <c r="D1433">
        <v>15.4</v>
      </c>
    </row>
    <row r="1434" spans="1:4" x14ac:dyDescent="0.25">
      <c r="A1434" t="s">
        <v>1966</v>
      </c>
      <c r="B1434" t="s">
        <v>1334</v>
      </c>
      <c r="C1434" t="s">
        <v>738</v>
      </c>
      <c r="D1434">
        <v>15.4</v>
      </c>
    </row>
    <row r="1435" spans="1:4" x14ac:dyDescent="0.25">
      <c r="A1435" t="s">
        <v>1966</v>
      </c>
      <c r="B1435" t="s">
        <v>1333</v>
      </c>
      <c r="C1435" t="s">
        <v>738</v>
      </c>
      <c r="D1435">
        <v>53.9</v>
      </c>
    </row>
    <row r="1436" spans="1:4" x14ac:dyDescent="0.25">
      <c r="A1436" t="s">
        <v>1995</v>
      </c>
      <c r="B1436" t="s">
        <v>1330</v>
      </c>
      <c r="C1436" t="s">
        <v>738</v>
      </c>
      <c r="D1436">
        <v>9</v>
      </c>
    </row>
    <row r="1437" spans="1:4" x14ac:dyDescent="0.25">
      <c r="A1437" t="s">
        <v>1982</v>
      </c>
      <c r="B1437" t="s">
        <v>1331</v>
      </c>
      <c r="C1437" t="s">
        <v>738</v>
      </c>
      <c r="D1437">
        <v>2</v>
      </c>
    </row>
    <row r="1438" spans="1:4" x14ac:dyDescent="0.25">
      <c r="A1438" t="s">
        <v>1920</v>
      </c>
      <c r="B1438" t="s">
        <v>1331</v>
      </c>
      <c r="C1438" t="s">
        <v>738</v>
      </c>
      <c r="D1438">
        <v>83.5</v>
      </c>
    </row>
    <row r="1439" spans="1:4" x14ac:dyDescent="0.25">
      <c r="A1439" t="s">
        <v>1939</v>
      </c>
      <c r="B1439" t="s">
        <v>1331</v>
      </c>
      <c r="C1439" t="s">
        <v>738</v>
      </c>
      <c r="D1439">
        <v>3</v>
      </c>
    </row>
    <row r="1440" spans="1:4" x14ac:dyDescent="0.25">
      <c r="A1440" t="s">
        <v>1987</v>
      </c>
      <c r="B1440" t="s">
        <v>1331</v>
      </c>
      <c r="C1440" t="s">
        <v>738</v>
      </c>
      <c r="D1440">
        <v>8</v>
      </c>
    </row>
    <row r="1441" spans="1:4" x14ac:dyDescent="0.25">
      <c r="A1441" t="s">
        <v>1966</v>
      </c>
      <c r="B1441" t="s">
        <v>1331</v>
      </c>
      <c r="C1441" t="s">
        <v>738</v>
      </c>
      <c r="D1441">
        <v>626.15</v>
      </c>
    </row>
    <row r="1442" spans="1:4" x14ac:dyDescent="0.25">
      <c r="A1442" t="s">
        <v>1927</v>
      </c>
      <c r="B1442" t="s">
        <v>1331</v>
      </c>
      <c r="C1442" t="s">
        <v>738</v>
      </c>
      <c r="D1442">
        <v>53.9</v>
      </c>
    </row>
    <row r="1443" spans="1:4" x14ac:dyDescent="0.25">
      <c r="A1443" t="s">
        <v>1927</v>
      </c>
      <c r="B1443" t="s">
        <v>1330</v>
      </c>
      <c r="C1443" t="s">
        <v>738</v>
      </c>
      <c r="D1443">
        <v>13.9</v>
      </c>
    </row>
    <row r="1444" spans="1:4" x14ac:dyDescent="0.25">
      <c r="A1444" t="s">
        <v>1939</v>
      </c>
      <c r="B1444" t="s">
        <v>1333</v>
      </c>
      <c r="C1444" t="s">
        <v>738</v>
      </c>
      <c r="D1444">
        <v>3</v>
      </c>
    </row>
    <row r="1445" spans="1:4" x14ac:dyDescent="0.25">
      <c r="A1445" t="s">
        <v>1982</v>
      </c>
      <c r="B1445" t="s">
        <v>1334</v>
      </c>
      <c r="C1445" t="s">
        <v>738</v>
      </c>
      <c r="D1445">
        <v>311.05</v>
      </c>
    </row>
    <row r="1446" spans="1:4" x14ac:dyDescent="0.25">
      <c r="A1446" t="s">
        <v>1925</v>
      </c>
      <c r="B1446" t="s">
        <v>1331</v>
      </c>
      <c r="C1446" t="s">
        <v>746</v>
      </c>
      <c r="D1446">
        <v>698.95</v>
      </c>
    </row>
    <row r="1447" spans="1:4" x14ac:dyDescent="0.25">
      <c r="A1447" t="s">
        <v>1931</v>
      </c>
      <c r="B1447" t="s">
        <v>1335</v>
      </c>
      <c r="C1447" t="s">
        <v>746</v>
      </c>
      <c r="D1447">
        <v>57.75</v>
      </c>
    </row>
    <row r="1448" spans="1:4" x14ac:dyDescent="0.25">
      <c r="A1448" t="s">
        <v>1980</v>
      </c>
      <c r="B1448" t="s">
        <v>1331</v>
      </c>
      <c r="C1448" t="s">
        <v>746</v>
      </c>
      <c r="D1448">
        <v>1560.55</v>
      </c>
    </row>
    <row r="1449" spans="1:4" x14ac:dyDescent="0.25">
      <c r="A1449" t="s">
        <v>1931</v>
      </c>
      <c r="B1449" t="s">
        <v>1330</v>
      </c>
      <c r="C1449" t="s">
        <v>746</v>
      </c>
      <c r="D1449">
        <v>7.7</v>
      </c>
    </row>
    <row r="1450" spans="1:4" x14ac:dyDescent="0.25">
      <c r="A1450" t="s">
        <v>1925</v>
      </c>
      <c r="B1450" t="s">
        <v>1333</v>
      </c>
      <c r="C1450" t="s">
        <v>746</v>
      </c>
      <c r="D1450">
        <v>12.2</v>
      </c>
    </row>
    <row r="1451" spans="1:4" x14ac:dyDescent="0.25">
      <c r="A1451" t="s">
        <v>1939</v>
      </c>
      <c r="B1451" t="s">
        <v>1333</v>
      </c>
      <c r="C1451" t="s">
        <v>746</v>
      </c>
      <c r="D1451">
        <v>55.6</v>
      </c>
    </row>
    <row r="1452" spans="1:4" x14ac:dyDescent="0.25">
      <c r="A1452" t="s">
        <v>1982</v>
      </c>
      <c r="B1452" t="s">
        <v>1334</v>
      </c>
      <c r="C1452" t="s">
        <v>746</v>
      </c>
      <c r="D1452">
        <v>95.8</v>
      </c>
    </row>
    <row r="1453" spans="1:4" x14ac:dyDescent="0.25">
      <c r="A1453" t="s">
        <v>1902</v>
      </c>
      <c r="B1453" t="s">
        <v>1335</v>
      </c>
      <c r="C1453" t="s">
        <v>746</v>
      </c>
      <c r="D1453">
        <v>1.7</v>
      </c>
    </row>
    <row r="1454" spans="1:4" x14ac:dyDescent="0.25">
      <c r="A1454" t="s">
        <v>1913</v>
      </c>
      <c r="B1454" t="s">
        <v>1335</v>
      </c>
      <c r="C1454" t="s">
        <v>746</v>
      </c>
      <c r="D1454">
        <v>3</v>
      </c>
    </row>
    <row r="1455" spans="1:4" x14ac:dyDescent="0.25">
      <c r="A1455" t="s">
        <v>1941</v>
      </c>
      <c r="B1455" t="s">
        <v>1330</v>
      </c>
      <c r="C1455" t="s">
        <v>746</v>
      </c>
      <c r="D1455">
        <v>61.6</v>
      </c>
    </row>
    <row r="1456" spans="1:4" x14ac:dyDescent="0.25">
      <c r="A1456" t="s">
        <v>1902</v>
      </c>
      <c r="B1456" t="s">
        <v>1331</v>
      </c>
      <c r="C1456" t="s">
        <v>746</v>
      </c>
      <c r="D1456">
        <v>7.7</v>
      </c>
    </row>
    <row r="1457" spans="1:4" x14ac:dyDescent="0.25">
      <c r="A1457" t="s">
        <v>1927</v>
      </c>
      <c r="B1457" t="s">
        <v>1331</v>
      </c>
      <c r="C1457" t="s">
        <v>746</v>
      </c>
      <c r="D1457">
        <v>480.6</v>
      </c>
    </row>
    <row r="1458" spans="1:4" x14ac:dyDescent="0.25">
      <c r="A1458" t="s">
        <v>1980</v>
      </c>
      <c r="B1458" t="s">
        <v>1334</v>
      </c>
      <c r="C1458" t="s">
        <v>746</v>
      </c>
      <c r="D1458">
        <v>20.100000000000001</v>
      </c>
    </row>
    <row r="1459" spans="1:4" x14ac:dyDescent="0.25">
      <c r="A1459" t="s">
        <v>1935</v>
      </c>
      <c r="B1459" t="s">
        <v>1331</v>
      </c>
      <c r="C1459" t="s">
        <v>746</v>
      </c>
      <c r="D1459">
        <v>28.8</v>
      </c>
    </row>
    <row r="1460" spans="1:4" x14ac:dyDescent="0.25">
      <c r="A1460" t="s">
        <v>1967</v>
      </c>
      <c r="B1460" t="s">
        <v>1331</v>
      </c>
      <c r="C1460" t="s">
        <v>746</v>
      </c>
      <c r="D1460">
        <v>25.3</v>
      </c>
    </row>
    <row r="1461" spans="1:4" x14ac:dyDescent="0.25">
      <c r="A1461" t="s">
        <v>1967</v>
      </c>
      <c r="B1461" t="s">
        <v>1333</v>
      </c>
      <c r="C1461" t="s">
        <v>746</v>
      </c>
      <c r="D1461">
        <v>22.6</v>
      </c>
    </row>
    <row r="1462" spans="1:4" x14ac:dyDescent="0.25">
      <c r="A1462" t="s">
        <v>1950</v>
      </c>
      <c r="B1462" t="s">
        <v>1334</v>
      </c>
      <c r="C1462" t="s">
        <v>746</v>
      </c>
      <c r="D1462">
        <v>534.29999999999995</v>
      </c>
    </row>
    <row r="1463" spans="1:4" x14ac:dyDescent="0.25">
      <c r="A1463" t="s">
        <v>1947</v>
      </c>
      <c r="B1463" t="s">
        <v>1331</v>
      </c>
      <c r="C1463" t="s">
        <v>746</v>
      </c>
      <c r="D1463">
        <v>253.55</v>
      </c>
    </row>
    <row r="1464" spans="1:4" x14ac:dyDescent="0.25">
      <c r="A1464" t="s">
        <v>1995</v>
      </c>
      <c r="B1464" t="s">
        <v>1330</v>
      </c>
      <c r="C1464" t="s">
        <v>746</v>
      </c>
      <c r="D1464">
        <v>22.1</v>
      </c>
    </row>
    <row r="1465" spans="1:4" x14ac:dyDescent="0.25">
      <c r="A1465" t="s">
        <v>1979</v>
      </c>
      <c r="B1465" t="s">
        <v>1331</v>
      </c>
      <c r="C1465" t="s">
        <v>746</v>
      </c>
      <c r="D1465">
        <v>66.2</v>
      </c>
    </row>
    <row r="1466" spans="1:4" x14ac:dyDescent="0.25">
      <c r="A1466" t="s">
        <v>1920</v>
      </c>
      <c r="B1466" t="s">
        <v>1331</v>
      </c>
      <c r="C1466" t="s">
        <v>746</v>
      </c>
      <c r="D1466">
        <v>208.7</v>
      </c>
    </row>
    <row r="1467" spans="1:4" x14ac:dyDescent="0.25">
      <c r="A1467" t="s">
        <v>1920</v>
      </c>
      <c r="B1467" t="s">
        <v>1330</v>
      </c>
      <c r="C1467" t="s">
        <v>746</v>
      </c>
      <c r="D1467">
        <v>1</v>
      </c>
    </row>
    <row r="1468" spans="1:4" x14ac:dyDescent="0.25">
      <c r="A1468" t="s">
        <v>1921</v>
      </c>
      <c r="B1468" t="s">
        <v>1330</v>
      </c>
      <c r="C1468" t="s">
        <v>746</v>
      </c>
      <c r="D1468">
        <v>115.8</v>
      </c>
    </row>
    <row r="1469" spans="1:4" x14ac:dyDescent="0.25">
      <c r="A1469" t="s">
        <v>1900</v>
      </c>
      <c r="B1469" t="s">
        <v>1335</v>
      </c>
      <c r="C1469" t="s">
        <v>746</v>
      </c>
      <c r="D1469">
        <v>18.899999999999999</v>
      </c>
    </row>
    <row r="1470" spans="1:4" x14ac:dyDescent="0.25">
      <c r="A1470" t="s">
        <v>1950</v>
      </c>
      <c r="B1470" t="s">
        <v>1331</v>
      </c>
      <c r="C1470" t="s">
        <v>746</v>
      </c>
      <c r="D1470">
        <v>31.5</v>
      </c>
    </row>
    <row r="1471" spans="1:4" x14ac:dyDescent="0.25">
      <c r="A1471" t="s">
        <v>1927</v>
      </c>
      <c r="B1471" t="s">
        <v>1330</v>
      </c>
      <c r="C1471" t="s">
        <v>746</v>
      </c>
      <c r="D1471">
        <v>23.1</v>
      </c>
    </row>
    <row r="1472" spans="1:4" x14ac:dyDescent="0.25">
      <c r="A1472" t="s">
        <v>1923</v>
      </c>
      <c r="B1472" t="s">
        <v>1331</v>
      </c>
      <c r="C1472" t="s">
        <v>746</v>
      </c>
      <c r="D1472">
        <v>920</v>
      </c>
    </row>
    <row r="1473" spans="1:4" x14ac:dyDescent="0.25">
      <c r="A1473" t="s">
        <v>1961</v>
      </c>
      <c r="B1473" t="s">
        <v>1331</v>
      </c>
      <c r="C1473" t="s">
        <v>746</v>
      </c>
      <c r="D1473">
        <v>9.1999999999999993</v>
      </c>
    </row>
    <row r="1474" spans="1:4" x14ac:dyDescent="0.25">
      <c r="A1474" t="s">
        <v>2020</v>
      </c>
      <c r="B1474" t="s">
        <v>1334</v>
      </c>
      <c r="C1474" t="s">
        <v>1348</v>
      </c>
      <c r="D1474">
        <v>878.2</v>
      </c>
    </row>
    <row r="1475" spans="1:4" x14ac:dyDescent="0.25">
      <c r="A1475" t="s">
        <v>2020</v>
      </c>
      <c r="B1475" t="s">
        <v>1333</v>
      </c>
      <c r="C1475" t="s">
        <v>1348</v>
      </c>
      <c r="D1475">
        <v>2.7</v>
      </c>
    </row>
    <row r="1476" spans="1:4" x14ac:dyDescent="0.25">
      <c r="A1476" t="s">
        <v>2021</v>
      </c>
      <c r="B1476" t="s">
        <v>1334</v>
      </c>
      <c r="C1476" t="s">
        <v>1348</v>
      </c>
      <c r="D1476">
        <v>196.35</v>
      </c>
    </row>
    <row r="1477" spans="1:4" x14ac:dyDescent="0.25">
      <c r="A1477" t="s">
        <v>2004</v>
      </c>
      <c r="B1477" t="s">
        <v>1331</v>
      </c>
      <c r="C1477" t="s">
        <v>1348</v>
      </c>
      <c r="D1477">
        <v>143.30000000000001</v>
      </c>
    </row>
    <row r="1478" spans="1:4" x14ac:dyDescent="0.25">
      <c r="A1478" t="s">
        <v>2022</v>
      </c>
      <c r="B1478" t="s">
        <v>1331</v>
      </c>
      <c r="C1478" t="s">
        <v>1348</v>
      </c>
      <c r="D1478">
        <v>15.4</v>
      </c>
    </row>
    <row r="1479" spans="1:4" x14ac:dyDescent="0.25">
      <c r="A1479" t="s">
        <v>1913</v>
      </c>
      <c r="B1479" t="s">
        <v>1335</v>
      </c>
      <c r="C1479" t="s">
        <v>1348</v>
      </c>
      <c r="D1479">
        <v>45.2</v>
      </c>
    </row>
    <row r="1480" spans="1:4" x14ac:dyDescent="0.25">
      <c r="A1480" t="s">
        <v>2023</v>
      </c>
      <c r="B1480" t="s">
        <v>1330</v>
      </c>
      <c r="C1480" t="s">
        <v>1348</v>
      </c>
      <c r="D1480">
        <v>65.45</v>
      </c>
    </row>
    <row r="1481" spans="1:4" x14ac:dyDescent="0.25">
      <c r="A1481" t="s">
        <v>2024</v>
      </c>
      <c r="B1481" t="s">
        <v>1334</v>
      </c>
      <c r="C1481" t="s">
        <v>1348</v>
      </c>
      <c r="D1481">
        <v>557.54999999999995</v>
      </c>
    </row>
    <row r="1482" spans="1:4" x14ac:dyDescent="0.25">
      <c r="A1482" t="s">
        <v>1961</v>
      </c>
      <c r="B1482" t="s">
        <v>1331</v>
      </c>
      <c r="C1482" t="s">
        <v>1348</v>
      </c>
      <c r="D1482">
        <v>146.30000000000001</v>
      </c>
    </row>
    <row r="1483" spans="1:4" x14ac:dyDescent="0.25">
      <c r="A1483" t="s">
        <v>2024</v>
      </c>
      <c r="B1483" t="s">
        <v>1330</v>
      </c>
      <c r="C1483" t="s">
        <v>1348</v>
      </c>
      <c r="D1483">
        <v>10.4</v>
      </c>
    </row>
    <row r="1484" spans="1:4" x14ac:dyDescent="0.25">
      <c r="A1484" t="s">
        <v>1949</v>
      </c>
      <c r="B1484" t="s">
        <v>1333</v>
      </c>
      <c r="C1484" t="s">
        <v>1348</v>
      </c>
      <c r="D1484">
        <v>15.7</v>
      </c>
    </row>
    <row r="1485" spans="1:4" x14ac:dyDescent="0.25">
      <c r="A1485" t="s">
        <v>1961</v>
      </c>
      <c r="B1485" t="s">
        <v>1333</v>
      </c>
      <c r="C1485" t="s">
        <v>1348</v>
      </c>
      <c r="D1485">
        <v>7.7</v>
      </c>
    </row>
    <row r="1486" spans="1:4" x14ac:dyDescent="0.25">
      <c r="A1486" t="s">
        <v>2025</v>
      </c>
      <c r="B1486" t="s">
        <v>1334</v>
      </c>
      <c r="C1486" t="s">
        <v>1348</v>
      </c>
      <c r="D1486">
        <v>152</v>
      </c>
    </row>
    <row r="1487" spans="1:4" x14ac:dyDescent="0.25">
      <c r="A1487" t="s">
        <v>1995</v>
      </c>
      <c r="B1487" t="s">
        <v>1330</v>
      </c>
      <c r="C1487" t="s">
        <v>1348</v>
      </c>
      <c r="D1487">
        <v>2</v>
      </c>
    </row>
    <row r="1488" spans="1:4" x14ac:dyDescent="0.25">
      <c r="A1488" t="s">
        <v>2019</v>
      </c>
      <c r="B1488" t="s">
        <v>1334</v>
      </c>
      <c r="C1488" t="s">
        <v>1348</v>
      </c>
      <c r="D1488">
        <v>37.299999999999997</v>
      </c>
    </row>
    <row r="1489" spans="1:4" x14ac:dyDescent="0.25">
      <c r="A1489" t="s">
        <v>2022</v>
      </c>
      <c r="B1489" t="s">
        <v>1334</v>
      </c>
      <c r="C1489" t="s">
        <v>1348</v>
      </c>
      <c r="D1489">
        <v>111.8</v>
      </c>
    </row>
    <row r="1490" spans="1:4" x14ac:dyDescent="0.25">
      <c r="A1490" t="s">
        <v>2026</v>
      </c>
      <c r="B1490" t="s">
        <v>1334</v>
      </c>
      <c r="C1490" t="s">
        <v>1348</v>
      </c>
      <c r="D1490">
        <v>18</v>
      </c>
    </row>
    <row r="1491" spans="1:4" x14ac:dyDescent="0.25">
      <c r="A1491" t="s">
        <v>1904</v>
      </c>
      <c r="B1491" t="s">
        <v>1331</v>
      </c>
      <c r="C1491" t="s">
        <v>1348</v>
      </c>
      <c r="D1491">
        <v>38</v>
      </c>
    </row>
    <row r="1492" spans="1:4" x14ac:dyDescent="0.25">
      <c r="A1492" t="s">
        <v>1968</v>
      </c>
      <c r="B1492" t="s">
        <v>1331</v>
      </c>
      <c r="C1492" t="s">
        <v>1348</v>
      </c>
      <c r="D1492">
        <v>24.1</v>
      </c>
    </row>
    <row r="1493" spans="1:4" x14ac:dyDescent="0.25">
      <c r="A1493" t="s">
        <v>1973</v>
      </c>
      <c r="B1493" t="s">
        <v>1331</v>
      </c>
      <c r="C1493" t="s">
        <v>1348</v>
      </c>
      <c r="D1493">
        <v>7.7</v>
      </c>
    </row>
    <row r="1494" spans="1:4" x14ac:dyDescent="0.25">
      <c r="A1494" t="s">
        <v>2027</v>
      </c>
      <c r="B1494" t="s">
        <v>1334</v>
      </c>
      <c r="C1494" t="s">
        <v>1348</v>
      </c>
      <c r="D1494">
        <v>23.1</v>
      </c>
    </row>
    <row r="1495" spans="1:4" x14ac:dyDescent="0.25">
      <c r="A1495" t="s">
        <v>1949</v>
      </c>
      <c r="B1495" t="s">
        <v>1331</v>
      </c>
      <c r="C1495" t="s">
        <v>1348</v>
      </c>
      <c r="D1495">
        <v>688.18</v>
      </c>
    </row>
    <row r="1496" spans="1:4" x14ac:dyDescent="0.25">
      <c r="A1496" t="s">
        <v>2028</v>
      </c>
      <c r="B1496" t="s">
        <v>1334</v>
      </c>
      <c r="C1496" t="s">
        <v>1348</v>
      </c>
      <c r="D1496">
        <v>414.95</v>
      </c>
    </row>
    <row r="1497" spans="1:4" x14ac:dyDescent="0.25">
      <c r="A1497" t="s">
        <v>2020</v>
      </c>
      <c r="B1497" t="s">
        <v>1331</v>
      </c>
      <c r="C1497" t="s">
        <v>1348</v>
      </c>
      <c r="D1497">
        <v>18.399999999999999</v>
      </c>
    </row>
    <row r="1498" spans="1:4" x14ac:dyDescent="0.25">
      <c r="A1498" t="s">
        <v>1902</v>
      </c>
      <c r="B1498" t="s">
        <v>1335</v>
      </c>
      <c r="C1498" t="s">
        <v>1348</v>
      </c>
      <c r="D1498">
        <v>196.8</v>
      </c>
    </row>
    <row r="1499" spans="1:4" x14ac:dyDescent="0.25">
      <c r="A1499" t="s">
        <v>2029</v>
      </c>
      <c r="B1499" t="s">
        <v>1334</v>
      </c>
      <c r="C1499" t="s">
        <v>1348</v>
      </c>
      <c r="D1499">
        <v>858.625</v>
      </c>
    </row>
    <row r="1500" spans="1:4" x14ac:dyDescent="0.25">
      <c r="A1500" t="s">
        <v>1923</v>
      </c>
      <c r="B1500" t="s">
        <v>1331</v>
      </c>
      <c r="C1500" t="s">
        <v>1348</v>
      </c>
      <c r="D1500">
        <v>142.69999999999999</v>
      </c>
    </row>
    <row r="1501" spans="1:4" x14ac:dyDescent="0.25">
      <c r="A1501" t="s">
        <v>2024</v>
      </c>
      <c r="B1501" t="s">
        <v>1331</v>
      </c>
      <c r="C1501" t="s">
        <v>1348</v>
      </c>
      <c r="D1501">
        <v>9.6999999999999993</v>
      </c>
    </row>
    <row r="1502" spans="1:4" x14ac:dyDescent="0.25">
      <c r="A1502" t="s">
        <v>2025</v>
      </c>
      <c r="B1502" t="s">
        <v>1334</v>
      </c>
      <c r="C1502" t="s">
        <v>1344</v>
      </c>
      <c r="D1502">
        <v>213.2</v>
      </c>
    </row>
    <row r="1503" spans="1:4" x14ac:dyDescent="0.25">
      <c r="A1503" t="s">
        <v>1972</v>
      </c>
      <c r="B1503" t="s">
        <v>1334</v>
      </c>
      <c r="C1503" t="s">
        <v>1344</v>
      </c>
      <c r="D1503">
        <v>107.2</v>
      </c>
    </row>
    <row r="1504" spans="1:4" x14ac:dyDescent="0.25">
      <c r="A1504" t="s">
        <v>1900</v>
      </c>
      <c r="B1504" t="s">
        <v>1330</v>
      </c>
      <c r="C1504" t="s">
        <v>1344</v>
      </c>
      <c r="D1504">
        <v>9.0500000000000007</v>
      </c>
    </row>
    <row r="1505" spans="1:4" x14ac:dyDescent="0.25">
      <c r="A1505" t="s">
        <v>2020</v>
      </c>
      <c r="B1505" t="s">
        <v>1331</v>
      </c>
      <c r="C1505" t="s">
        <v>1344</v>
      </c>
      <c r="D1505">
        <v>43.6</v>
      </c>
    </row>
    <row r="1506" spans="1:4" x14ac:dyDescent="0.25">
      <c r="A1506" t="s">
        <v>1929</v>
      </c>
      <c r="B1506" t="s">
        <v>1331</v>
      </c>
      <c r="C1506" t="s">
        <v>1344</v>
      </c>
      <c r="D1506">
        <v>13</v>
      </c>
    </row>
    <row r="1507" spans="1:4" x14ac:dyDescent="0.25">
      <c r="A1507" t="s">
        <v>1949</v>
      </c>
      <c r="B1507" t="s">
        <v>1331</v>
      </c>
      <c r="C1507" t="s">
        <v>1344</v>
      </c>
      <c r="D1507">
        <v>15.7</v>
      </c>
    </row>
    <row r="1508" spans="1:4" x14ac:dyDescent="0.25">
      <c r="A1508" t="s">
        <v>2026</v>
      </c>
      <c r="B1508" t="s">
        <v>1334</v>
      </c>
      <c r="C1508" t="s">
        <v>1344</v>
      </c>
      <c r="D1508">
        <v>525.1</v>
      </c>
    </row>
    <row r="1509" spans="1:4" x14ac:dyDescent="0.25">
      <c r="A1509" t="s">
        <v>2023</v>
      </c>
      <c r="B1509" t="s">
        <v>1334</v>
      </c>
      <c r="C1509" t="s">
        <v>1344</v>
      </c>
      <c r="D1509">
        <v>73.150000000000006</v>
      </c>
    </row>
    <row r="1510" spans="1:4" x14ac:dyDescent="0.25">
      <c r="A1510" t="s">
        <v>1973</v>
      </c>
      <c r="B1510" t="s">
        <v>1331</v>
      </c>
      <c r="C1510" t="s">
        <v>1344</v>
      </c>
      <c r="D1510">
        <v>12.4</v>
      </c>
    </row>
    <row r="1511" spans="1:4" x14ac:dyDescent="0.25">
      <c r="A1511" t="s">
        <v>2029</v>
      </c>
      <c r="B1511" t="s">
        <v>1334</v>
      </c>
      <c r="C1511" t="s">
        <v>1344</v>
      </c>
      <c r="D1511">
        <v>121.19499999999999</v>
      </c>
    </row>
    <row r="1512" spans="1:4" x14ac:dyDescent="0.25">
      <c r="A1512" t="s">
        <v>1902</v>
      </c>
      <c r="B1512" t="s">
        <v>1335</v>
      </c>
      <c r="C1512" t="s">
        <v>1344</v>
      </c>
      <c r="D1512">
        <v>217.7</v>
      </c>
    </row>
    <row r="1513" spans="1:4" x14ac:dyDescent="0.25">
      <c r="A1513" t="s">
        <v>1907</v>
      </c>
      <c r="B1513" t="s">
        <v>1335</v>
      </c>
      <c r="C1513" t="s">
        <v>1344</v>
      </c>
      <c r="D1513">
        <v>2.7</v>
      </c>
    </row>
    <row r="1514" spans="1:4" x14ac:dyDescent="0.25">
      <c r="A1514" t="s">
        <v>1980</v>
      </c>
      <c r="B1514" t="s">
        <v>1331</v>
      </c>
      <c r="C1514" t="s">
        <v>1344</v>
      </c>
      <c r="D1514">
        <v>30.8</v>
      </c>
    </row>
    <row r="1515" spans="1:4" x14ac:dyDescent="0.25">
      <c r="A1515" t="s">
        <v>1961</v>
      </c>
      <c r="B1515" t="s">
        <v>1331</v>
      </c>
      <c r="C1515" t="s">
        <v>1344</v>
      </c>
      <c r="D1515">
        <v>293.64999999999998</v>
      </c>
    </row>
    <row r="1516" spans="1:4" x14ac:dyDescent="0.25">
      <c r="A1516" t="s">
        <v>2024</v>
      </c>
      <c r="B1516" t="s">
        <v>1334</v>
      </c>
      <c r="C1516" t="s">
        <v>1344</v>
      </c>
      <c r="D1516">
        <v>696.6</v>
      </c>
    </row>
    <row r="1517" spans="1:4" x14ac:dyDescent="0.25">
      <c r="A1517" t="s">
        <v>1972</v>
      </c>
      <c r="B1517" t="s">
        <v>1330</v>
      </c>
      <c r="C1517" t="s">
        <v>1344</v>
      </c>
      <c r="D1517">
        <v>7.7</v>
      </c>
    </row>
    <row r="1518" spans="1:4" x14ac:dyDescent="0.25">
      <c r="A1518" t="s">
        <v>1918</v>
      </c>
      <c r="B1518" t="s">
        <v>1335</v>
      </c>
      <c r="C1518" t="s">
        <v>1344</v>
      </c>
      <c r="D1518">
        <v>2.85</v>
      </c>
    </row>
    <row r="1519" spans="1:4" x14ac:dyDescent="0.25">
      <c r="A1519" t="s">
        <v>2022</v>
      </c>
      <c r="B1519" t="s">
        <v>1334</v>
      </c>
      <c r="C1519" t="s">
        <v>1344</v>
      </c>
      <c r="D1519">
        <v>215.6</v>
      </c>
    </row>
    <row r="1520" spans="1:4" x14ac:dyDescent="0.25">
      <c r="A1520" t="s">
        <v>2030</v>
      </c>
      <c r="B1520" t="s">
        <v>1334</v>
      </c>
      <c r="C1520" t="s">
        <v>1344</v>
      </c>
      <c r="D1520">
        <v>38.5</v>
      </c>
    </row>
    <row r="1521" spans="1:4" x14ac:dyDescent="0.25">
      <c r="A1521" t="s">
        <v>1931</v>
      </c>
      <c r="B1521" t="s">
        <v>1335</v>
      </c>
      <c r="C1521" t="s">
        <v>1344</v>
      </c>
      <c r="D1521">
        <v>127.05</v>
      </c>
    </row>
    <row r="1522" spans="1:4" x14ac:dyDescent="0.25">
      <c r="A1522" t="s">
        <v>1925</v>
      </c>
      <c r="B1522" t="s">
        <v>1331</v>
      </c>
      <c r="C1522" t="s">
        <v>1344</v>
      </c>
      <c r="D1522">
        <v>11.55</v>
      </c>
    </row>
    <row r="1523" spans="1:4" x14ac:dyDescent="0.25">
      <c r="A1523" t="s">
        <v>1990</v>
      </c>
      <c r="B1523" t="s">
        <v>1331</v>
      </c>
      <c r="C1523" t="s">
        <v>1344</v>
      </c>
      <c r="D1523">
        <v>7.2</v>
      </c>
    </row>
    <row r="1524" spans="1:4" x14ac:dyDescent="0.25">
      <c r="A1524" t="s">
        <v>2021</v>
      </c>
      <c r="B1524" t="s">
        <v>1334</v>
      </c>
      <c r="C1524" t="s">
        <v>1344</v>
      </c>
      <c r="D1524">
        <v>61.6</v>
      </c>
    </row>
    <row r="1525" spans="1:4" x14ac:dyDescent="0.25">
      <c r="A1525" t="s">
        <v>1902</v>
      </c>
      <c r="B1525" t="s">
        <v>1331</v>
      </c>
      <c r="C1525" t="s">
        <v>1344</v>
      </c>
      <c r="D1525">
        <v>15.9</v>
      </c>
    </row>
    <row r="1526" spans="1:4" x14ac:dyDescent="0.25">
      <c r="A1526" t="s">
        <v>2004</v>
      </c>
      <c r="B1526" t="s">
        <v>1331</v>
      </c>
      <c r="C1526" t="s">
        <v>1344</v>
      </c>
      <c r="D1526">
        <v>262.83999999999997</v>
      </c>
    </row>
    <row r="1527" spans="1:4" x14ac:dyDescent="0.25">
      <c r="A1527" t="s">
        <v>1990</v>
      </c>
      <c r="B1527" t="s">
        <v>1334</v>
      </c>
      <c r="C1527" t="s">
        <v>1344</v>
      </c>
      <c r="D1527">
        <v>3.7</v>
      </c>
    </row>
    <row r="1528" spans="1:4" x14ac:dyDescent="0.25">
      <c r="A1528" t="s">
        <v>2020</v>
      </c>
      <c r="B1528" t="s">
        <v>1334</v>
      </c>
      <c r="C1528" t="s">
        <v>1344</v>
      </c>
      <c r="D1528">
        <v>2160.9</v>
      </c>
    </row>
    <row r="1529" spans="1:4" x14ac:dyDescent="0.25">
      <c r="A1529" t="s">
        <v>1966</v>
      </c>
      <c r="B1529" t="s">
        <v>1331</v>
      </c>
      <c r="C1529" t="s">
        <v>1344</v>
      </c>
      <c r="D1529">
        <v>1</v>
      </c>
    </row>
    <row r="1530" spans="1:4" x14ac:dyDescent="0.25">
      <c r="A1530" t="s">
        <v>1911</v>
      </c>
      <c r="B1530" t="s">
        <v>1335</v>
      </c>
      <c r="C1530" t="s">
        <v>1344</v>
      </c>
      <c r="D1530">
        <v>79.599999999999994</v>
      </c>
    </row>
    <row r="1531" spans="1:4" x14ac:dyDescent="0.25">
      <c r="A1531" t="s">
        <v>1963</v>
      </c>
      <c r="B1531" t="s">
        <v>1331</v>
      </c>
      <c r="C1531" t="s">
        <v>1344</v>
      </c>
      <c r="D1531">
        <v>1248.8</v>
      </c>
    </row>
    <row r="1532" spans="1:4" x14ac:dyDescent="0.25">
      <c r="A1532" t="s">
        <v>1900</v>
      </c>
      <c r="B1532" t="s">
        <v>1335</v>
      </c>
      <c r="C1532" t="s">
        <v>1344</v>
      </c>
      <c r="D1532">
        <v>110.45</v>
      </c>
    </row>
    <row r="1533" spans="1:4" x14ac:dyDescent="0.25">
      <c r="A1533" t="s">
        <v>1904</v>
      </c>
      <c r="B1533" t="s">
        <v>1331</v>
      </c>
      <c r="C1533" t="s">
        <v>1344</v>
      </c>
      <c r="D1533">
        <v>6.7</v>
      </c>
    </row>
    <row r="1534" spans="1:4" x14ac:dyDescent="0.25">
      <c r="A1534" t="s">
        <v>2010</v>
      </c>
      <c r="B1534" t="s">
        <v>1331</v>
      </c>
      <c r="C1534" t="s">
        <v>1344</v>
      </c>
      <c r="D1534">
        <v>35</v>
      </c>
    </row>
    <row r="1535" spans="1:4" x14ac:dyDescent="0.25">
      <c r="A1535" t="s">
        <v>1971</v>
      </c>
      <c r="B1535" t="s">
        <v>1330</v>
      </c>
      <c r="C1535" t="s">
        <v>1344</v>
      </c>
      <c r="D1535">
        <v>35.5</v>
      </c>
    </row>
    <row r="1536" spans="1:4" x14ac:dyDescent="0.25">
      <c r="A1536" t="s">
        <v>1952</v>
      </c>
      <c r="B1536" t="s">
        <v>1334</v>
      </c>
      <c r="C1536" t="s">
        <v>1344</v>
      </c>
      <c r="D1536">
        <v>35</v>
      </c>
    </row>
    <row r="1537" spans="1:4" x14ac:dyDescent="0.25">
      <c r="A1537" t="s">
        <v>1972</v>
      </c>
      <c r="B1537" t="s">
        <v>1331</v>
      </c>
      <c r="C1537" t="s">
        <v>1344</v>
      </c>
      <c r="D1537">
        <v>4.7</v>
      </c>
    </row>
    <row r="1538" spans="1:4" x14ac:dyDescent="0.25">
      <c r="A1538" t="s">
        <v>1935</v>
      </c>
      <c r="B1538" t="s">
        <v>1331</v>
      </c>
      <c r="C1538" t="s">
        <v>1344</v>
      </c>
      <c r="D1538">
        <v>108.8</v>
      </c>
    </row>
    <row r="1539" spans="1:4" x14ac:dyDescent="0.25">
      <c r="A1539" t="s">
        <v>1921</v>
      </c>
      <c r="B1539" t="s">
        <v>1330</v>
      </c>
      <c r="C1539" t="s">
        <v>1344</v>
      </c>
      <c r="D1539">
        <v>2.5</v>
      </c>
    </row>
    <row r="1540" spans="1:4" x14ac:dyDescent="0.25">
      <c r="A1540" t="s">
        <v>1909</v>
      </c>
      <c r="B1540" t="s">
        <v>1335</v>
      </c>
      <c r="C1540" t="s">
        <v>1344</v>
      </c>
      <c r="D1540">
        <v>22.25</v>
      </c>
    </row>
    <row r="1541" spans="1:4" x14ac:dyDescent="0.25">
      <c r="A1541" t="s">
        <v>2023</v>
      </c>
      <c r="B1541" t="s">
        <v>1330</v>
      </c>
      <c r="C1541" t="s">
        <v>1344</v>
      </c>
      <c r="D1541">
        <v>624.85</v>
      </c>
    </row>
    <row r="1542" spans="1:4" x14ac:dyDescent="0.25">
      <c r="A1542" t="s">
        <v>1952</v>
      </c>
      <c r="B1542" t="s">
        <v>1331</v>
      </c>
      <c r="C1542" t="s">
        <v>1344</v>
      </c>
      <c r="D1542">
        <v>329.35</v>
      </c>
    </row>
    <row r="1543" spans="1:4" x14ac:dyDescent="0.25">
      <c r="A1543" t="s">
        <v>2028</v>
      </c>
      <c r="B1543" t="s">
        <v>1334</v>
      </c>
      <c r="C1543" t="s">
        <v>1344</v>
      </c>
      <c r="D1543">
        <v>816.9</v>
      </c>
    </row>
    <row r="1544" spans="1:4" x14ac:dyDescent="0.25">
      <c r="A1544" t="s">
        <v>1927</v>
      </c>
      <c r="B1544" t="s">
        <v>1331</v>
      </c>
      <c r="C1544" t="s">
        <v>1344</v>
      </c>
      <c r="D1544">
        <v>34.5</v>
      </c>
    </row>
    <row r="1545" spans="1:4" x14ac:dyDescent="0.25">
      <c r="A1545" t="s">
        <v>2019</v>
      </c>
      <c r="B1545" t="s">
        <v>1334</v>
      </c>
      <c r="C1545" t="s">
        <v>1344</v>
      </c>
      <c r="D1545">
        <v>1</v>
      </c>
    </row>
    <row r="1546" spans="1:4" x14ac:dyDescent="0.25">
      <c r="A1546" t="s">
        <v>1913</v>
      </c>
      <c r="B1546" t="s">
        <v>1335</v>
      </c>
      <c r="C1546" t="s">
        <v>1344</v>
      </c>
      <c r="D1546">
        <v>340.1</v>
      </c>
    </row>
    <row r="1547" spans="1:4" x14ac:dyDescent="0.25">
      <c r="A1547" t="s">
        <v>2023</v>
      </c>
      <c r="B1547" t="s">
        <v>1331</v>
      </c>
      <c r="C1547" t="s">
        <v>1344</v>
      </c>
      <c r="D1547">
        <v>115.5</v>
      </c>
    </row>
    <row r="1548" spans="1:4" x14ac:dyDescent="0.25">
      <c r="A1548" t="s">
        <v>1968</v>
      </c>
      <c r="B1548" t="s">
        <v>1331</v>
      </c>
      <c r="C1548" t="s">
        <v>1344</v>
      </c>
      <c r="D1548">
        <v>25.5</v>
      </c>
    </row>
    <row r="1549" spans="1:4" x14ac:dyDescent="0.25">
      <c r="A1549" t="s">
        <v>2027</v>
      </c>
      <c r="B1549" t="s">
        <v>1334</v>
      </c>
      <c r="C1549" t="s">
        <v>1344</v>
      </c>
      <c r="D1549">
        <v>74.05</v>
      </c>
    </row>
    <row r="1550" spans="1:4" x14ac:dyDescent="0.25">
      <c r="A1550" t="s">
        <v>2031</v>
      </c>
      <c r="B1550" t="s">
        <v>1334</v>
      </c>
      <c r="C1550" t="s">
        <v>1344</v>
      </c>
      <c r="D1550">
        <v>7.7</v>
      </c>
    </row>
    <row r="1551" spans="1:4" x14ac:dyDescent="0.25">
      <c r="A1551" t="s">
        <v>1982</v>
      </c>
      <c r="B1551" t="s">
        <v>1334</v>
      </c>
      <c r="C1551" t="s">
        <v>750</v>
      </c>
      <c r="D1551">
        <v>485.05</v>
      </c>
    </row>
    <row r="1552" spans="1:4" x14ac:dyDescent="0.25">
      <c r="A1552" t="s">
        <v>1925</v>
      </c>
      <c r="B1552" t="s">
        <v>1331</v>
      </c>
      <c r="C1552" t="s">
        <v>750</v>
      </c>
      <c r="D1552">
        <v>11.7</v>
      </c>
    </row>
    <row r="1553" spans="1:4" x14ac:dyDescent="0.25">
      <c r="A1553" t="s">
        <v>1995</v>
      </c>
      <c r="B1553" t="s">
        <v>1331</v>
      </c>
      <c r="C1553" t="s">
        <v>750</v>
      </c>
      <c r="D1553">
        <v>5</v>
      </c>
    </row>
    <row r="1554" spans="1:4" x14ac:dyDescent="0.25">
      <c r="A1554" t="s">
        <v>1939</v>
      </c>
      <c r="B1554" t="s">
        <v>1333</v>
      </c>
      <c r="C1554" t="s">
        <v>750</v>
      </c>
      <c r="D1554">
        <v>3</v>
      </c>
    </row>
    <row r="1555" spans="1:4" x14ac:dyDescent="0.25">
      <c r="A1555" t="s">
        <v>1939</v>
      </c>
      <c r="B1555" t="s">
        <v>1331</v>
      </c>
      <c r="C1555" t="s">
        <v>750</v>
      </c>
      <c r="D1555">
        <v>4</v>
      </c>
    </row>
    <row r="1556" spans="1:4" x14ac:dyDescent="0.25">
      <c r="A1556" t="s">
        <v>1913</v>
      </c>
      <c r="B1556" t="s">
        <v>1335</v>
      </c>
      <c r="C1556" t="s">
        <v>750</v>
      </c>
      <c r="D1556">
        <v>47.6</v>
      </c>
    </row>
    <row r="1557" spans="1:4" x14ac:dyDescent="0.25">
      <c r="A1557" t="s">
        <v>1959</v>
      </c>
      <c r="B1557" t="s">
        <v>1330</v>
      </c>
      <c r="C1557" t="s">
        <v>750</v>
      </c>
      <c r="D1557">
        <v>7.7</v>
      </c>
    </row>
    <row r="1558" spans="1:4" x14ac:dyDescent="0.25">
      <c r="A1558" t="s">
        <v>1907</v>
      </c>
      <c r="B1558" t="s">
        <v>1335</v>
      </c>
      <c r="C1558" t="s">
        <v>750</v>
      </c>
      <c r="D1558">
        <v>78.849999999999994</v>
      </c>
    </row>
    <row r="1559" spans="1:4" x14ac:dyDescent="0.25">
      <c r="A1559" t="s">
        <v>1923</v>
      </c>
      <c r="B1559" t="s">
        <v>1331</v>
      </c>
      <c r="C1559" t="s">
        <v>750</v>
      </c>
      <c r="D1559">
        <v>12.4</v>
      </c>
    </row>
    <row r="1560" spans="1:4" x14ac:dyDescent="0.25">
      <c r="A1560" t="s">
        <v>1969</v>
      </c>
      <c r="B1560" t="s">
        <v>1331</v>
      </c>
      <c r="C1560" t="s">
        <v>750</v>
      </c>
      <c r="D1560">
        <v>40.200000000000003</v>
      </c>
    </row>
    <row r="1561" spans="1:4" x14ac:dyDescent="0.25">
      <c r="A1561" t="s">
        <v>1931</v>
      </c>
      <c r="B1561" t="s">
        <v>1335</v>
      </c>
      <c r="C1561" t="s">
        <v>750</v>
      </c>
      <c r="D1561">
        <v>506.75</v>
      </c>
    </row>
    <row r="1562" spans="1:4" x14ac:dyDescent="0.25">
      <c r="A1562" t="s">
        <v>1950</v>
      </c>
      <c r="B1562" t="s">
        <v>1334</v>
      </c>
      <c r="C1562" t="s">
        <v>750</v>
      </c>
      <c r="D1562">
        <v>481.25</v>
      </c>
    </row>
    <row r="1563" spans="1:4" x14ac:dyDescent="0.25">
      <c r="A1563" t="s">
        <v>1966</v>
      </c>
      <c r="B1563" t="s">
        <v>1333</v>
      </c>
      <c r="C1563" t="s">
        <v>750</v>
      </c>
      <c r="D1563">
        <v>42.35</v>
      </c>
    </row>
    <row r="1564" spans="1:4" x14ac:dyDescent="0.25">
      <c r="A1564" t="s">
        <v>1900</v>
      </c>
      <c r="B1564" t="s">
        <v>1335</v>
      </c>
      <c r="C1564" t="s">
        <v>750</v>
      </c>
      <c r="D1564">
        <v>225.1</v>
      </c>
    </row>
    <row r="1565" spans="1:4" x14ac:dyDescent="0.25">
      <c r="A1565" t="s">
        <v>1935</v>
      </c>
      <c r="B1565" t="s">
        <v>1331</v>
      </c>
      <c r="C1565" t="s">
        <v>750</v>
      </c>
      <c r="D1565">
        <v>107.8</v>
      </c>
    </row>
    <row r="1566" spans="1:4" x14ac:dyDescent="0.25">
      <c r="A1566" t="s">
        <v>1933</v>
      </c>
      <c r="B1566" t="s">
        <v>1330</v>
      </c>
      <c r="C1566" t="s">
        <v>750</v>
      </c>
      <c r="D1566">
        <v>1.5</v>
      </c>
    </row>
    <row r="1567" spans="1:4" x14ac:dyDescent="0.25">
      <c r="A1567" t="s">
        <v>2029</v>
      </c>
      <c r="B1567" t="s">
        <v>1334</v>
      </c>
      <c r="C1567" t="s">
        <v>750</v>
      </c>
      <c r="D1567">
        <v>3.85</v>
      </c>
    </row>
    <row r="1568" spans="1:4" x14ac:dyDescent="0.25">
      <c r="A1568" t="s">
        <v>2026</v>
      </c>
      <c r="B1568" t="s">
        <v>1334</v>
      </c>
      <c r="C1568" t="s">
        <v>750</v>
      </c>
      <c r="D1568">
        <v>2</v>
      </c>
    </row>
    <row r="1569" spans="1:4" x14ac:dyDescent="0.25">
      <c r="A1569" t="s">
        <v>1972</v>
      </c>
      <c r="B1569" t="s">
        <v>1334</v>
      </c>
      <c r="C1569" t="s">
        <v>750</v>
      </c>
      <c r="D1569">
        <v>1.7</v>
      </c>
    </row>
    <row r="1570" spans="1:4" x14ac:dyDescent="0.25">
      <c r="A1570" t="s">
        <v>1995</v>
      </c>
      <c r="B1570" t="s">
        <v>1330</v>
      </c>
      <c r="C1570" t="s">
        <v>750</v>
      </c>
      <c r="D1570">
        <v>2028.8</v>
      </c>
    </row>
    <row r="1571" spans="1:4" x14ac:dyDescent="0.25">
      <c r="A1571" t="s">
        <v>2022</v>
      </c>
      <c r="B1571" t="s">
        <v>1334</v>
      </c>
      <c r="C1571" t="s">
        <v>750</v>
      </c>
      <c r="D1571">
        <v>61.6</v>
      </c>
    </row>
    <row r="1572" spans="1:4" x14ac:dyDescent="0.25">
      <c r="A1572" t="s">
        <v>1927</v>
      </c>
      <c r="B1572" t="s">
        <v>1331</v>
      </c>
      <c r="C1572" t="s">
        <v>750</v>
      </c>
      <c r="D1572">
        <v>207.35</v>
      </c>
    </row>
    <row r="1573" spans="1:4" x14ac:dyDescent="0.25">
      <c r="A1573" t="s">
        <v>1950</v>
      </c>
      <c r="B1573" t="s">
        <v>1331</v>
      </c>
      <c r="C1573" t="s">
        <v>750</v>
      </c>
      <c r="D1573">
        <v>18.100000000000001</v>
      </c>
    </row>
    <row r="1574" spans="1:4" x14ac:dyDescent="0.25">
      <c r="A1574" t="s">
        <v>2025</v>
      </c>
      <c r="B1574" t="s">
        <v>1334</v>
      </c>
      <c r="C1574" t="s">
        <v>750</v>
      </c>
      <c r="D1574">
        <v>34.65</v>
      </c>
    </row>
    <row r="1575" spans="1:4" x14ac:dyDescent="0.25">
      <c r="A1575" t="s">
        <v>1921</v>
      </c>
      <c r="B1575" t="s">
        <v>1330</v>
      </c>
      <c r="C1575" t="s">
        <v>750</v>
      </c>
      <c r="D1575">
        <v>134.30000000000001</v>
      </c>
    </row>
    <row r="1576" spans="1:4" x14ac:dyDescent="0.25">
      <c r="A1576" t="s">
        <v>1920</v>
      </c>
      <c r="B1576" t="s">
        <v>1331</v>
      </c>
      <c r="C1576" t="s">
        <v>750</v>
      </c>
      <c r="D1576">
        <v>74.400000000000006</v>
      </c>
    </row>
    <row r="1577" spans="1:4" x14ac:dyDescent="0.25">
      <c r="A1577" t="s">
        <v>2021</v>
      </c>
      <c r="B1577" t="s">
        <v>1334</v>
      </c>
      <c r="C1577" t="s">
        <v>750</v>
      </c>
      <c r="D1577">
        <v>82.9</v>
      </c>
    </row>
    <row r="1578" spans="1:4" x14ac:dyDescent="0.25">
      <c r="A1578" t="s">
        <v>1966</v>
      </c>
      <c r="B1578" t="s">
        <v>1331</v>
      </c>
      <c r="C1578" t="s">
        <v>750</v>
      </c>
      <c r="D1578">
        <v>1325.15</v>
      </c>
    </row>
    <row r="1579" spans="1:4" x14ac:dyDescent="0.25">
      <c r="A1579" t="s">
        <v>1931</v>
      </c>
      <c r="B1579" t="s">
        <v>1330</v>
      </c>
      <c r="C1579" t="s">
        <v>750</v>
      </c>
      <c r="D1579">
        <v>23.1</v>
      </c>
    </row>
    <row r="1580" spans="1:4" x14ac:dyDescent="0.25">
      <c r="A1580" t="s">
        <v>1902</v>
      </c>
      <c r="B1580" t="s">
        <v>1335</v>
      </c>
      <c r="C1580" t="s">
        <v>750</v>
      </c>
      <c r="D1580">
        <v>39.35</v>
      </c>
    </row>
    <row r="1581" spans="1:4" x14ac:dyDescent="0.25">
      <c r="A1581" t="s">
        <v>1982</v>
      </c>
      <c r="B1581" t="s">
        <v>1331</v>
      </c>
      <c r="C1581" t="s">
        <v>750</v>
      </c>
      <c r="D1581">
        <v>12</v>
      </c>
    </row>
    <row r="1582" spans="1:4" x14ac:dyDescent="0.25">
      <c r="A1582" t="s">
        <v>1950</v>
      </c>
      <c r="B1582" t="s">
        <v>1330</v>
      </c>
      <c r="C1582" t="s">
        <v>750</v>
      </c>
      <c r="D1582">
        <v>25.1</v>
      </c>
    </row>
    <row r="1583" spans="1:4" x14ac:dyDescent="0.25">
      <c r="A1583" t="s">
        <v>1920</v>
      </c>
      <c r="B1583" t="s">
        <v>1334</v>
      </c>
      <c r="C1583" t="s">
        <v>750</v>
      </c>
      <c r="D1583">
        <v>6</v>
      </c>
    </row>
    <row r="1584" spans="1:4" x14ac:dyDescent="0.25">
      <c r="A1584" t="s">
        <v>2032</v>
      </c>
      <c r="B1584" t="s">
        <v>1335</v>
      </c>
      <c r="C1584" t="s">
        <v>750</v>
      </c>
      <c r="D1584">
        <v>392.7</v>
      </c>
    </row>
    <row r="1585" spans="1:4" x14ac:dyDescent="0.25">
      <c r="A1585" t="s">
        <v>1987</v>
      </c>
      <c r="B1585" t="s">
        <v>1331</v>
      </c>
      <c r="C1585" t="s">
        <v>750</v>
      </c>
      <c r="D1585">
        <v>219.72</v>
      </c>
    </row>
    <row r="1586" spans="1:4" x14ac:dyDescent="0.25">
      <c r="A1586" t="s">
        <v>1927</v>
      </c>
      <c r="B1586" t="s">
        <v>1330</v>
      </c>
      <c r="C1586" t="s">
        <v>750</v>
      </c>
      <c r="D1586">
        <v>7.7</v>
      </c>
    </row>
    <row r="1587" spans="1:4" x14ac:dyDescent="0.25">
      <c r="A1587" t="s">
        <v>1995</v>
      </c>
      <c r="B1587" t="s">
        <v>1330</v>
      </c>
      <c r="C1587" t="s">
        <v>752</v>
      </c>
      <c r="D1587">
        <v>13</v>
      </c>
    </row>
    <row r="1588" spans="1:4" x14ac:dyDescent="0.25">
      <c r="A1588" t="s">
        <v>1921</v>
      </c>
      <c r="B1588" t="s">
        <v>1330</v>
      </c>
      <c r="C1588" t="s">
        <v>752</v>
      </c>
      <c r="D1588">
        <v>70.7</v>
      </c>
    </row>
    <row r="1589" spans="1:4" x14ac:dyDescent="0.25">
      <c r="A1589" t="s">
        <v>1900</v>
      </c>
      <c r="B1589" t="s">
        <v>1331</v>
      </c>
      <c r="C1589" t="s">
        <v>752</v>
      </c>
      <c r="D1589">
        <v>2.85</v>
      </c>
    </row>
    <row r="1590" spans="1:4" x14ac:dyDescent="0.25">
      <c r="A1590" t="s">
        <v>1956</v>
      </c>
      <c r="B1590" t="s">
        <v>1331</v>
      </c>
      <c r="C1590" t="s">
        <v>752</v>
      </c>
      <c r="D1590">
        <v>3.85</v>
      </c>
    </row>
    <row r="1591" spans="1:4" x14ac:dyDescent="0.25">
      <c r="A1591" t="s">
        <v>1947</v>
      </c>
      <c r="B1591" t="s">
        <v>1331</v>
      </c>
      <c r="C1591" t="s">
        <v>752</v>
      </c>
      <c r="D1591">
        <v>99.45</v>
      </c>
    </row>
    <row r="1592" spans="1:4" x14ac:dyDescent="0.25">
      <c r="A1592" t="s">
        <v>1900</v>
      </c>
      <c r="B1592" t="s">
        <v>1330</v>
      </c>
      <c r="C1592" t="s">
        <v>752</v>
      </c>
      <c r="D1592">
        <v>2.85</v>
      </c>
    </row>
    <row r="1593" spans="1:4" x14ac:dyDescent="0.25">
      <c r="A1593" t="s">
        <v>1995</v>
      </c>
      <c r="B1593" t="s">
        <v>1334</v>
      </c>
      <c r="C1593" t="s">
        <v>752</v>
      </c>
      <c r="D1593">
        <v>5</v>
      </c>
    </row>
    <row r="1594" spans="1:4" x14ac:dyDescent="0.25">
      <c r="A1594" t="s">
        <v>1927</v>
      </c>
      <c r="B1594" t="s">
        <v>1331</v>
      </c>
      <c r="C1594" t="s">
        <v>752</v>
      </c>
      <c r="D1594">
        <v>41.35</v>
      </c>
    </row>
    <row r="1595" spans="1:4" x14ac:dyDescent="0.25">
      <c r="A1595" t="s">
        <v>1921</v>
      </c>
      <c r="B1595" t="s">
        <v>1331</v>
      </c>
      <c r="C1595" t="s">
        <v>752</v>
      </c>
      <c r="D1595">
        <v>2.7</v>
      </c>
    </row>
    <row r="1596" spans="1:4" x14ac:dyDescent="0.25">
      <c r="A1596" t="s">
        <v>1950</v>
      </c>
      <c r="B1596" t="s">
        <v>1334</v>
      </c>
      <c r="C1596" t="s">
        <v>752</v>
      </c>
      <c r="D1596">
        <v>214.65</v>
      </c>
    </row>
    <row r="1597" spans="1:4" x14ac:dyDescent="0.25">
      <c r="A1597" t="s">
        <v>1980</v>
      </c>
      <c r="B1597" t="s">
        <v>1334</v>
      </c>
      <c r="C1597" t="s">
        <v>752</v>
      </c>
      <c r="D1597">
        <v>7.7</v>
      </c>
    </row>
    <row r="1598" spans="1:4" x14ac:dyDescent="0.25">
      <c r="A1598" t="s">
        <v>1929</v>
      </c>
      <c r="B1598" t="s">
        <v>1331</v>
      </c>
      <c r="C1598" t="s">
        <v>752</v>
      </c>
      <c r="D1598">
        <v>9.6999999999999993</v>
      </c>
    </row>
    <row r="1599" spans="1:4" x14ac:dyDescent="0.25">
      <c r="A1599" t="s">
        <v>1980</v>
      </c>
      <c r="B1599" t="s">
        <v>1331</v>
      </c>
      <c r="C1599" t="s">
        <v>752</v>
      </c>
      <c r="D1599">
        <v>239.9</v>
      </c>
    </row>
    <row r="1600" spans="1:4" x14ac:dyDescent="0.25">
      <c r="A1600" t="s">
        <v>1945</v>
      </c>
      <c r="B1600" t="s">
        <v>1331</v>
      </c>
      <c r="C1600" t="s">
        <v>752</v>
      </c>
      <c r="D1600">
        <v>3.5</v>
      </c>
    </row>
    <row r="1601" spans="1:4" x14ac:dyDescent="0.25">
      <c r="A1601" t="s">
        <v>1950</v>
      </c>
      <c r="B1601" t="s">
        <v>1331</v>
      </c>
      <c r="C1601" t="s">
        <v>752</v>
      </c>
      <c r="D1601">
        <v>10</v>
      </c>
    </row>
    <row r="1602" spans="1:4" x14ac:dyDescent="0.25">
      <c r="A1602" t="s">
        <v>1982</v>
      </c>
      <c r="B1602" t="s">
        <v>1334</v>
      </c>
      <c r="C1602" t="s">
        <v>752</v>
      </c>
      <c r="D1602">
        <v>252.5</v>
      </c>
    </row>
    <row r="1603" spans="1:4" x14ac:dyDescent="0.25">
      <c r="A1603" t="s">
        <v>1920</v>
      </c>
      <c r="B1603" t="s">
        <v>1331</v>
      </c>
      <c r="C1603" t="s">
        <v>752</v>
      </c>
      <c r="D1603">
        <v>44</v>
      </c>
    </row>
    <row r="1604" spans="1:4" x14ac:dyDescent="0.25">
      <c r="A1604" t="s">
        <v>1902</v>
      </c>
      <c r="B1604" t="s">
        <v>1331</v>
      </c>
      <c r="C1604" t="s">
        <v>752</v>
      </c>
      <c r="D1604">
        <v>2.5</v>
      </c>
    </row>
    <row r="1605" spans="1:4" x14ac:dyDescent="0.25">
      <c r="A1605" t="s">
        <v>1939</v>
      </c>
      <c r="B1605" t="s">
        <v>1331</v>
      </c>
      <c r="C1605" t="s">
        <v>1375</v>
      </c>
      <c r="D1605">
        <v>2</v>
      </c>
    </row>
    <row r="1606" spans="1:4" x14ac:dyDescent="0.25">
      <c r="A1606" t="s">
        <v>2028</v>
      </c>
      <c r="B1606" t="s">
        <v>1334</v>
      </c>
      <c r="C1606" t="s">
        <v>1375</v>
      </c>
      <c r="D1606">
        <v>82.7</v>
      </c>
    </row>
    <row r="1607" spans="1:4" x14ac:dyDescent="0.25">
      <c r="A1607" t="s">
        <v>2022</v>
      </c>
      <c r="B1607" t="s">
        <v>1334</v>
      </c>
      <c r="C1607" t="s">
        <v>1375</v>
      </c>
      <c r="D1607">
        <v>77</v>
      </c>
    </row>
    <row r="1608" spans="1:4" x14ac:dyDescent="0.25">
      <c r="A1608" t="s">
        <v>1949</v>
      </c>
      <c r="B1608" t="s">
        <v>1331</v>
      </c>
      <c r="C1608" t="s">
        <v>1375</v>
      </c>
      <c r="D1608">
        <v>248.35</v>
      </c>
    </row>
    <row r="1609" spans="1:4" x14ac:dyDescent="0.25">
      <c r="A1609" t="s">
        <v>1962</v>
      </c>
      <c r="B1609" t="s">
        <v>1331</v>
      </c>
      <c r="C1609" t="s">
        <v>1375</v>
      </c>
      <c r="D1609">
        <v>12.4</v>
      </c>
    </row>
    <row r="1610" spans="1:4" x14ac:dyDescent="0.25">
      <c r="A1610" t="s">
        <v>1920</v>
      </c>
      <c r="B1610" t="s">
        <v>1334</v>
      </c>
      <c r="C1610" t="s">
        <v>1375</v>
      </c>
      <c r="D1610">
        <v>29.5</v>
      </c>
    </row>
    <row r="1611" spans="1:4" x14ac:dyDescent="0.25">
      <c r="A1611" t="s">
        <v>2024</v>
      </c>
      <c r="B1611" t="s">
        <v>1334</v>
      </c>
      <c r="C1611" t="s">
        <v>1375</v>
      </c>
      <c r="D1611">
        <v>1.7</v>
      </c>
    </row>
    <row r="1612" spans="1:4" x14ac:dyDescent="0.25">
      <c r="A1612" t="s">
        <v>1913</v>
      </c>
      <c r="B1612" t="s">
        <v>1335</v>
      </c>
      <c r="C1612" t="s">
        <v>1375</v>
      </c>
      <c r="D1612">
        <v>2</v>
      </c>
    </row>
    <row r="1613" spans="1:4" x14ac:dyDescent="0.25">
      <c r="A1613" t="s">
        <v>2023</v>
      </c>
      <c r="B1613" t="s">
        <v>1330</v>
      </c>
      <c r="C1613" t="s">
        <v>1375</v>
      </c>
      <c r="D1613">
        <v>221.15</v>
      </c>
    </row>
    <row r="1614" spans="1:4" x14ac:dyDescent="0.25">
      <c r="A1614" t="s">
        <v>1961</v>
      </c>
      <c r="B1614" t="s">
        <v>1331</v>
      </c>
      <c r="C1614" t="s">
        <v>1375</v>
      </c>
      <c r="D1614">
        <v>100.35</v>
      </c>
    </row>
    <row r="1615" spans="1:4" x14ac:dyDescent="0.25">
      <c r="A1615" t="s">
        <v>2023</v>
      </c>
      <c r="B1615" t="s">
        <v>1331</v>
      </c>
      <c r="C1615" t="s">
        <v>1375</v>
      </c>
      <c r="D1615">
        <v>7.7</v>
      </c>
    </row>
    <row r="1616" spans="1:4" x14ac:dyDescent="0.25">
      <c r="A1616" t="s">
        <v>1927</v>
      </c>
      <c r="B1616" t="s">
        <v>1331</v>
      </c>
      <c r="C1616" t="s">
        <v>1375</v>
      </c>
      <c r="D1616">
        <v>196.35</v>
      </c>
    </row>
    <row r="1617" spans="1:4" x14ac:dyDescent="0.25">
      <c r="A1617" t="s">
        <v>2033</v>
      </c>
      <c r="B1617" t="s">
        <v>1334</v>
      </c>
      <c r="C1617" t="s">
        <v>1375</v>
      </c>
      <c r="D1617">
        <v>317.55</v>
      </c>
    </row>
    <row r="1618" spans="1:4" x14ac:dyDescent="0.25">
      <c r="A1618" t="s">
        <v>1902</v>
      </c>
      <c r="B1618" t="s">
        <v>1335</v>
      </c>
      <c r="C1618" t="s">
        <v>1375</v>
      </c>
      <c r="D1618">
        <v>10.85</v>
      </c>
    </row>
    <row r="1619" spans="1:4" x14ac:dyDescent="0.25">
      <c r="A1619" t="s">
        <v>1904</v>
      </c>
      <c r="B1619" t="s">
        <v>1331</v>
      </c>
      <c r="C1619" t="s">
        <v>1375</v>
      </c>
      <c r="D1619">
        <v>23</v>
      </c>
    </row>
    <row r="1620" spans="1:4" x14ac:dyDescent="0.25">
      <c r="A1620" t="s">
        <v>1973</v>
      </c>
      <c r="B1620" t="s">
        <v>1331</v>
      </c>
      <c r="C1620" t="s">
        <v>1375</v>
      </c>
      <c r="D1620">
        <v>91.1</v>
      </c>
    </row>
    <row r="1621" spans="1:4" x14ac:dyDescent="0.25">
      <c r="A1621" t="s">
        <v>1920</v>
      </c>
      <c r="B1621" t="s">
        <v>1331</v>
      </c>
      <c r="C1621" t="s">
        <v>755</v>
      </c>
      <c r="D1621">
        <v>65.349999999999994</v>
      </c>
    </row>
    <row r="1622" spans="1:4" x14ac:dyDescent="0.25">
      <c r="A1622" t="s">
        <v>1966</v>
      </c>
      <c r="B1622" t="s">
        <v>1334</v>
      </c>
      <c r="C1622" t="s">
        <v>755</v>
      </c>
      <c r="D1622">
        <v>23.1</v>
      </c>
    </row>
    <row r="1623" spans="1:4" x14ac:dyDescent="0.25">
      <c r="A1623" t="s">
        <v>1966</v>
      </c>
      <c r="B1623" t="s">
        <v>1331</v>
      </c>
      <c r="C1623" t="s">
        <v>755</v>
      </c>
      <c r="D1623">
        <v>277.2</v>
      </c>
    </row>
    <row r="1624" spans="1:4" x14ac:dyDescent="0.25">
      <c r="A1624" t="s">
        <v>1966</v>
      </c>
      <c r="B1624" t="s">
        <v>1333</v>
      </c>
      <c r="C1624" t="s">
        <v>755</v>
      </c>
      <c r="D1624">
        <v>7.7</v>
      </c>
    </row>
    <row r="1625" spans="1:4" x14ac:dyDescent="0.25">
      <c r="A1625" t="s">
        <v>1982</v>
      </c>
      <c r="B1625" t="s">
        <v>1334</v>
      </c>
      <c r="C1625" t="s">
        <v>755</v>
      </c>
      <c r="D1625">
        <v>173.2</v>
      </c>
    </row>
    <row r="1626" spans="1:4" x14ac:dyDescent="0.25">
      <c r="A1626" t="s">
        <v>1921</v>
      </c>
      <c r="B1626" t="s">
        <v>1330</v>
      </c>
      <c r="C1626" t="s">
        <v>755</v>
      </c>
      <c r="D1626">
        <v>35.5</v>
      </c>
    </row>
    <row r="1627" spans="1:4" x14ac:dyDescent="0.25">
      <c r="A1627" t="s">
        <v>1929</v>
      </c>
      <c r="B1627" t="s">
        <v>1331</v>
      </c>
      <c r="C1627" t="s">
        <v>755</v>
      </c>
      <c r="D1627">
        <v>10</v>
      </c>
    </row>
    <row r="1628" spans="1:4" x14ac:dyDescent="0.25">
      <c r="A1628" t="s">
        <v>1950</v>
      </c>
      <c r="B1628" t="s">
        <v>1334</v>
      </c>
      <c r="C1628" t="s">
        <v>755</v>
      </c>
      <c r="D1628">
        <v>65</v>
      </c>
    </row>
    <row r="1629" spans="1:4" x14ac:dyDescent="0.25">
      <c r="A1629" t="s">
        <v>1950</v>
      </c>
      <c r="B1629" t="s">
        <v>1331</v>
      </c>
      <c r="C1629" t="s">
        <v>755</v>
      </c>
      <c r="D1629">
        <v>11.7</v>
      </c>
    </row>
    <row r="1630" spans="1:4" x14ac:dyDescent="0.25">
      <c r="A1630" t="s">
        <v>1995</v>
      </c>
      <c r="B1630" t="s">
        <v>1330</v>
      </c>
      <c r="C1630" t="s">
        <v>755</v>
      </c>
      <c r="D1630">
        <v>20.25</v>
      </c>
    </row>
    <row r="1631" spans="1:4" x14ac:dyDescent="0.25">
      <c r="A1631" t="s">
        <v>1947</v>
      </c>
      <c r="B1631" t="s">
        <v>1331</v>
      </c>
      <c r="C1631" t="s">
        <v>755</v>
      </c>
      <c r="D1631">
        <v>15.4</v>
      </c>
    </row>
    <row r="1632" spans="1:4" x14ac:dyDescent="0.25">
      <c r="A1632" t="s">
        <v>1927</v>
      </c>
      <c r="B1632" t="s">
        <v>1331</v>
      </c>
      <c r="C1632" t="s">
        <v>755</v>
      </c>
      <c r="D1632">
        <v>29.1</v>
      </c>
    </row>
    <row r="1633" spans="1:4" x14ac:dyDescent="0.25">
      <c r="A1633" t="s">
        <v>1952</v>
      </c>
      <c r="B1633" t="s">
        <v>1331</v>
      </c>
      <c r="C1633" t="s">
        <v>755</v>
      </c>
      <c r="D1633">
        <v>3.85</v>
      </c>
    </row>
    <row r="1634" spans="1:4" x14ac:dyDescent="0.25">
      <c r="A1634" t="s">
        <v>1950</v>
      </c>
      <c r="B1634" t="s">
        <v>1331</v>
      </c>
      <c r="C1634" t="s">
        <v>762</v>
      </c>
      <c r="D1634">
        <v>28.8</v>
      </c>
    </row>
    <row r="1635" spans="1:4" x14ac:dyDescent="0.25">
      <c r="A1635" t="s">
        <v>1901</v>
      </c>
      <c r="B1635" t="s">
        <v>1331</v>
      </c>
      <c r="C1635" t="s">
        <v>762</v>
      </c>
      <c r="D1635">
        <v>58.3</v>
      </c>
    </row>
    <row r="1636" spans="1:4" x14ac:dyDescent="0.25">
      <c r="A1636" t="s">
        <v>1921</v>
      </c>
      <c r="B1636" t="s">
        <v>1330</v>
      </c>
      <c r="C1636" t="s">
        <v>762</v>
      </c>
      <c r="D1636">
        <v>142.15</v>
      </c>
    </row>
    <row r="1637" spans="1:4" x14ac:dyDescent="0.25">
      <c r="A1637" t="s">
        <v>1987</v>
      </c>
      <c r="B1637" t="s">
        <v>1334</v>
      </c>
      <c r="C1637" t="s">
        <v>762</v>
      </c>
      <c r="D1637">
        <v>6.7</v>
      </c>
    </row>
    <row r="1638" spans="1:4" x14ac:dyDescent="0.25">
      <c r="A1638" t="s">
        <v>1913</v>
      </c>
      <c r="B1638" t="s">
        <v>1335</v>
      </c>
      <c r="C1638" t="s">
        <v>762</v>
      </c>
      <c r="D1638">
        <v>8.3000000000000007</v>
      </c>
    </row>
    <row r="1639" spans="1:4" x14ac:dyDescent="0.25">
      <c r="A1639" t="s">
        <v>1995</v>
      </c>
      <c r="B1639" t="s">
        <v>1330</v>
      </c>
      <c r="C1639" t="s">
        <v>762</v>
      </c>
      <c r="D1639">
        <v>46.5</v>
      </c>
    </row>
    <row r="1640" spans="1:4" x14ac:dyDescent="0.25">
      <c r="A1640" t="s">
        <v>1920</v>
      </c>
      <c r="B1640" t="s">
        <v>1331</v>
      </c>
      <c r="C1640" t="s">
        <v>762</v>
      </c>
      <c r="D1640">
        <v>290.5</v>
      </c>
    </row>
    <row r="1641" spans="1:4" x14ac:dyDescent="0.25">
      <c r="A1641" t="s">
        <v>1982</v>
      </c>
      <c r="B1641" t="s">
        <v>1334</v>
      </c>
      <c r="C1641" t="s">
        <v>762</v>
      </c>
      <c r="D1641">
        <v>317.89999999999998</v>
      </c>
    </row>
    <row r="1642" spans="1:4" x14ac:dyDescent="0.25">
      <c r="A1642" t="s">
        <v>2034</v>
      </c>
      <c r="B1642" t="s">
        <v>1334</v>
      </c>
      <c r="C1642" t="s">
        <v>762</v>
      </c>
      <c r="D1642">
        <v>12</v>
      </c>
    </row>
    <row r="1643" spans="1:4" x14ac:dyDescent="0.25">
      <c r="A1643" t="s">
        <v>1945</v>
      </c>
      <c r="B1643" t="s">
        <v>1331</v>
      </c>
      <c r="C1643" t="s">
        <v>762</v>
      </c>
      <c r="D1643">
        <v>3.5</v>
      </c>
    </row>
    <row r="1644" spans="1:4" x14ac:dyDescent="0.25">
      <c r="A1644" t="s">
        <v>1921</v>
      </c>
      <c r="B1644" t="s">
        <v>1334</v>
      </c>
      <c r="C1644" t="s">
        <v>762</v>
      </c>
      <c r="D1644">
        <v>33.5</v>
      </c>
    </row>
    <row r="1645" spans="1:4" x14ac:dyDescent="0.25">
      <c r="A1645" t="s">
        <v>1950</v>
      </c>
      <c r="B1645" t="s">
        <v>1334</v>
      </c>
      <c r="C1645" t="s">
        <v>762</v>
      </c>
      <c r="D1645">
        <v>202</v>
      </c>
    </row>
    <row r="1646" spans="1:4" x14ac:dyDescent="0.25">
      <c r="A1646" t="s">
        <v>1958</v>
      </c>
      <c r="B1646" t="s">
        <v>1330</v>
      </c>
      <c r="C1646" t="s">
        <v>762</v>
      </c>
      <c r="D1646">
        <v>14.5</v>
      </c>
    </row>
    <row r="1647" spans="1:4" x14ac:dyDescent="0.25">
      <c r="A1647" t="s">
        <v>1902</v>
      </c>
      <c r="B1647" t="s">
        <v>1335</v>
      </c>
      <c r="C1647" t="s">
        <v>762</v>
      </c>
      <c r="D1647">
        <v>11.55</v>
      </c>
    </row>
    <row r="1648" spans="1:4" x14ac:dyDescent="0.25">
      <c r="A1648" t="s">
        <v>1935</v>
      </c>
      <c r="B1648" t="s">
        <v>1331</v>
      </c>
      <c r="C1648" t="s">
        <v>762</v>
      </c>
      <c r="D1648">
        <v>450</v>
      </c>
    </row>
    <row r="1649" spans="1:4" x14ac:dyDescent="0.25">
      <c r="A1649" t="s">
        <v>2004</v>
      </c>
      <c r="B1649" t="s">
        <v>1331</v>
      </c>
      <c r="C1649" t="s">
        <v>762</v>
      </c>
      <c r="D1649">
        <v>46.2</v>
      </c>
    </row>
    <row r="1650" spans="1:4" x14ac:dyDescent="0.25">
      <c r="A1650" t="s">
        <v>2034</v>
      </c>
      <c r="B1650" t="s">
        <v>1331</v>
      </c>
      <c r="C1650" t="s">
        <v>762</v>
      </c>
      <c r="D1650">
        <v>930.7</v>
      </c>
    </row>
    <row r="1651" spans="1:4" x14ac:dyDescent="0.25">
      <c r="A1651" t="s">
        <v>1927</v>
      </c>
      <c r="B1651" t="s">
        <v>1331</v>
      </c>
      <c r="C1651" t="s">
        <v>762</v>
      </c>
      <c r="D1651">
        <v>269.85000000000002</v>
      </c>
    </row>
    <row r="1652" spans="1:4" x14ac:dyDescent="0.25">
      <c r="A1652" t="s">
        <v>1979</v>
      </c>
      <c r="B1652" t="s">
        <v>1331</v>
      </c>
      <c r="C1652" t="s">
        <v>762</v>
      </c>
      <c r="D1652">
        <v>2.5</v>
      </c>
    </row>
    <row r="1653" spans="1:4" x14ac:dyDescent="0.25">
      <c r="A1653" t="s">
        <v>1900</v>
      </c>
      <c r="B1653" t="s">
        <v>1335</v>
      </c>
      <c r="C1653" t="s">
        <v>762</v>
      </c>
      <c r="D1653">
        <v>3</v>
      </c>
    </row>
    <row r="1654" spans="1:4" x14ac:dyDescent="0.25">
      <c r="A1654" t="s">
        <v>1987</v>
      </c>
      <c r="B1654" t="s">
        <v>1331</v>
      </c>
      <c r="C1654" t="s">
        <v>762</v>
      </c>
      <c r="D1654">
        <v>691.55</v>
      </c>
    </row>
    <row r="1655" spans="1:4" x14ac:dyDescent="0.25">
      <c r="A1655" t="s">
        <v>1958</v>
      </c>
      <c r="B1655" t="s">
        <v>1331</v>
      </c>
      <c r="C1655" t="s">
        <v>762</v>
      </c>
      <c r="D1655">
        <v>5.7</v>
      </c>
    </row>
    <row r="1656" spans="1:4" x14ac:dyDescent="0.25">
      <c r="A1656" t="s">
        <v>1920</v>
      </c>
      <c r="B1656" t="s">
        <v>1331</v>
      </c>
      <c r="C1656" t="s">
        <v>770</v>
      </c>
      <c r="D1656">
        <v>112</v>
      </c>
    </row>
    <row r="1657" spans="1:4" x14ac:dyDescent="0.25">
      <c r="A1657" t="s">
        <v>1987</v>
      </c>
      <c r="B1657" t="s">
        <v>1331</v>
      </c>
      <c r="C1657" t="s">
        <v>770</v>
      </c>
      <c r="D1657">
        <v>508.68</v>
      </c>
    </row>
    <row r="1658" spans="1:4" x14ac:dyDescent="0.25">
      <c r="A1658" t="s">
        <v>1927</v>
      </c>
      <c r="B1658" t="s">
        <v>1331</v>
      </c>
      <c r="C1658" t="s">
        <v>770</v>
      </c>
      <c r="D1658">
        <v>75.2</v>
      </c>
    </row>
    <row r="1659" spans="1:4" x14ac:dyDescent="0.25">
      <c r="A1659" t="s">
        <v>1982</v>
      </c>
      <c r="B1659" t="s">
        <v>1331</v>
      </c>
      <c r="C1659" t="s">
        <v>770</v>
      </c>
      <c r="D1659">
        <v>2</v>
      </c>
    </row>
    <row r="1660" spans="1:4" x14ac:dyDescent="0.25">
      <c r="A1660" t="s">
        <v>1980</v>
      </c>
      <c r="B1660" t="s">
        <v>1331</v>
      </c>
      <c r="C1660" t="s">
        <v>770</v>
      </c>
      <c r="D1660">
        <v>872.55</v>
      </c>
    </row>
    <row r="1661" spans="1:4" x14ac:dyDescent="0.25">
      <c r="A1661" t="s">
        <v>1921</v>
      </c>
      <c r="B1661" t="s">
        <v>1330</v>
      </c>
      <c r="C1661" t="s">
        <v>770</v>
      </c>
      <c r="D1661">
        <v>198.8</v>
      </c>
    </row>
    <row r="1662" spans="1:4" x14ac:dyDescent="0.25">
      <c r="A1662" t="s">
        <v>1982</v>
      </c>
      <c r="B1662" t="s">
        <v>1334</v>
      </c>
      <c r="C1662" t="s">
        <v>770</v>
      </c>
      <c r="D1662">
        <v>17</v>
      </c>
    </row>
    <row r="1663" spans="1:4" x14ac:dyDescent="0.25">
      <c r="A1663" t="s">
        <v>1995</v>
      </c>
      <c r="B1663" t="s">
        <v>1330</v>
      </c>
      <c r="C1663" t="s">
        <v>770</v>
      </c>
      <c r="D1663">
        <v>17</v>
      </c>
    </row>
    <row r="1664" spans="1:4" x14ac:dyDescent="0.25">
      <c r="A1664" t="s">
        <v>2027</v>
      </c>
      <c r="B1664" t="s">
        <v>1334</v>
      </c>
      <c r="C1664" t="s">
        <v>770</v>
      </c>
      <c r="D1664">
        <v>10.7</v>
      </c>
    </row>
    <row r="1665" spans="1:4" x14ac:dyDescent="0.25">
      <c r="A1665" t="s">
        <v>1950</v>
      </c>
      <c r="B1665" t="s">
        <v>1334</v>
      </c>
      <c r="C1665" t="s">
        <v>770</v>
      </c>
      <c r="D1665">
        <v>106.8</v>
      </c>
    </row>
    <row r="1666" spans="1:4" x14ac:dyDescent="0.25">
      <c r="A1666" t="s">
        <v>1935</v>
      </c>
      <c r="B1666" t="s">
        <v>1331</v>
      </c>
      <c r="C1666" t="s">
        <v>770</v>
      </c>
      <c r="D1666">
        <v>80.099999999999994</v>
      </c>
    </row>
    <row r="1667" spans="1:4" x14ac:dyDescent="0.25">
      <c r="A1667" t="s">
        <v>1980</v>
      </c>
      <c r="B1667" t="s">
        <v>1334</v>
      </c>
      <c r="C1667" t="s">
        <v>770</v>
      </c>
      <c r="D1667">
        <v>43.05</v>
      </c>
    </row>
    <row r="1668" spans="1:4" x14ac:dyDescent="0.25">
      <c r="A1668" t="s">
        <v>1956</v>
      </c>
      <c r="B1668" t="s">
        <v>1331</v>
      </c>
      <c r="C1668" t="s">
        <v>774</v>
      </c>
      <c r="D1668">
        <v>10.199999999999999</v>
      </c>
    </row>
    <row r="1669" spans="1:4" x14ac:dyDescent="0.25">
      <c r="A1669" t="s">
        <v>1950</v>
      </c>
      <c r="B1669" t="s">
        <v>1334</v>
      </c>
      <c r="C1669" t="s">
        <v>774</v>
      </c>
      <c r="D1669">
        <v>32.799999999999997</v>
      </c>
    </row>
    <row r="1670" spans="1:4" x14ac:dyDescent="0.25">
      <c r="A1670" t="s">
        <v>1916</v>
      </c>
      <c r="B1670" t="s">
        <v>1335</v>
      </c>
      <c r="C1670" t="s">
        <v>774</v>
      </c>
      <c r="D1670">
        <v>3</v>
      </c>
    </row>
    <row r="1671" spans="1:4" x14ac:dyDescent="0.25">
      <c r="A1671" t="s">
        <v>2022</v>
      </c>
      <c r="B1671" t="s">
        <v>1334</v>
      </c>
      <c r="C1671" t="s">
        <v>774</v>
      </c>
      <c r="D1671">
        <v>7.7</v>
      </c>
    </row>
    <row r="1672" spans="1:4" x14ac:dyDescent="0.25">
      <c r="A1672" t="s">
        <v>1931</v>
      </c>
      <c r="B1672" t="s">
        <v>1335</v>
      </c>
      <c r="C1672" t="s">
        <v>774</v>
      </c>
      <c r="D1672">
        <v>3.85</v>
      </c>
    </row>
    <row r="1673" spans="1:4" x14ac:dyDescent="0.25">
      <c r="A1673" t="s">
        <v>1995</v>
      </c>
      <c r="B1673" t="s">
        <v>1330</v>
      </c>
      <c r="C1673" t="s">
        <v>774</v>
      </c>
      <c r="D1673">
        <v>15.7</v>
      </c>
    </row>
    <row r="1674" spans="1:4" x14ac:dyDescent="0.25">
      <c r="A1674" t="s">
        <v>1982</v>
      </c>
      <c r="B1674" t="s">
        <v>1334</v>
      </c>
      <c r="C1674" t="s">
        <v>774</v>
      </c>
      <c r="D1674">
        <v>31</v>
      </c>
    </row>
    <row r="1675" spans="1:4" x14ac:dyDescent="0.25">
      <c r="A1675" t="s">
        <v>1921</v>
      </c>
      <c r="B1675" t="s">
        <v>1330</v>
      </c>
      <c r="C1675" t="s">
        <v>774</v>
      </c>
      <c r="D1675">
        <v>102.2</v>
      </c>
    </row>
    <row r="1676" spans="1:4" x14ac:dyDescent="0.25">
      <c r="A1676" t="s">
        <v>1953</v>
      </c>
      <c r="B1676" t="s">
        <v>1335</v>
      </c>
      <c r="C1676" t="s">
        <v>774</v>
      </c>
      <c r="D1676">
        <v>19.100000000000001</v>
      </c>
    </row>
    <row r="1677" spans="1:4" x14ac:dyDescent="0.25">
      <c r="A1677" t="s">
        <v>2028</v>
      </c>
      <c r="B1677" t="s">
        <v>1334</v>
      </c>
      <c r="C1677" t="s">
        <v>1343</v>
      </c>
      <c r="D1677">
        <v>480.7</v>
      </c>
    </row>
    <row r="1678" spans="1:4" x14ac:dyDescent="0.25">
      <c r="A1678" t="s">
        <v>1904</v>
      </c>
      <c r="B1678" t="s">
        <v>1331</v>
      </c>
      <c r="C1678" t="s">
        <v>1343</v>
      </c>
      <c r="D1678">
        <v>3</v>
      </c>
    </row>
    <row r="1679" spans="1:4" x14ac:dyDescent="0.25">
      <c r="A1679" t="s">
        <v>1963</v>
      </c>
      <c r="B1679" t="s">
        <v>1331</v>
      </c>
      <c r="C1679" t="s">
        <v>1343</v>
      </c>
      <c r="D1679">
        <v>1026.1500000000001</v>
      </c>
    </row>
    <row r="1680" spans="1:4" x14ac:dyDescent="0.25">
      <c r="A1680" t="s">
        <v>2020</v>
      </c>
      <c r="B1680" t="s">
        <v>1333</v>
      </c>
      <c r="C1680" t="s">
        <v>1343</v>
      </c>
      <c r="D1680">
        <v>10</v>
      </c>
    </row>
    <row r="1681" spans="1:4" x14ac:dyDescent="0.25">
      <c r="A1681" t="s">
        <v>1990</v>
      </c>
      <c r="B1681" t="s">
        <v>1334</v>
      </c>
      <c r="C1681" t="s">
        <v>1343</v>
      </c>
      <c r="D1681">
        <v>23.1</v>
      </c>
    </row>
    <row r="1682" spans="1:4" x14ac:dyDescent="0.25">
      <c r="A1682" t="s">
        <v>1972</v>
      </c>
      <c r="B1682" t="s">
        <v>1334</v>
      </c>
      <c r="C1682" t="s">
        <v>1343</v>
      </c>
      <c r="D1682">
        <v>15.4</v>
      </c>
    </row>
    <row r="1683" spans="1:4" x14ac:dyDescent="0.25">
      <c r="A1683" t="s">
        <v>1900</v>
      </c>
      <c r="B1683" t="s">
        <v>1335</v>
      </c>
      <c r="C1683" t="s">
        <v>1343</v>
      </c>
      <c r="D1683">
        <v>23.4</v>
      </c>
    </row>
    <row r="1684" spans="1:4" x14ac:dyDescent="0.25">
      <c r="A1684" t="s">
        <v>1913</v>
      </c>
      <c r="B1684" t="s">
        <v>1334</v>
      </c>
      <c r="C1684" t="s">
        <v>1343</v>
      </c>
      <c r="D1684">
        <v>7.7</v>
      </c>
    </row>
    <row r="1685" spans="1:4" x14ac:dyDescent="0.25">
      <c r="A1685" t="s">
        <v>2035</v>
      </c>
      <c r="B1685" t="s">
        <v>1334</v>
      </c>
      <c r="C1685" t="s">
        <v>1343</v>
      </c>
      <c r="D1685">
        <v>23.35</v>
      </c>
    </row>
    <row r="1686" spans="1:4" x14ac:dyDescent="0.25">
      <c r="A1686" t="s">
        <v>2000</v>
      </c>
      <c r="B1686" t="s">
        <v>1331</v>
      </c>
      <c r="C1686" t="s">
        <v>1343</v>
      </c>
      <c r="D1686">
        <v>1</v>
      </c>
    </row>
    <row r="1687" spans="1:4" x14ac:dyDescent="0.25">
      <c r="A1687" t="s">
        <v>2025</v>
      </c>
      <c r="B1687" t="s">
        <v>1330</v>
      </c>
      <c r="C1687" t="s">
        <v>1343</v>
      </c>
      <c r="D1687">
        <v>2</v>
      </c>
    </row>
    <row r="1688" spans="1:4" x14ac:dyDescent="0.25">
      <c r="A1688" t="s">
        <v>2025</v>
      </c>
      <c r="B1688" t="s">
        <v>1334</v>
      </c>
      <c r="C1688" t="s">
        <v>1343</v>
      </c>
      <c r="D1688">
        <v>1565.8</v>
      </c>
    </row>
    <row r="1689" spans="1:4" x14ac:dyDescent="0.25">
      <c r="A1689" t="s">
        <v>2022</v>
      </c>
      <c r="B1689" t="s">
        <v>1334</v>
      </c>
      <c r="C1689" t="s">
        <v>1343</v>
      </c>
      <c r="D1689">
        <v>558.4</v>
      </c>
    </row>
    <row r="1690" spans="1:4" x14ac:dyDescent="0.25">
      <c r="A1690" t="s">
        <v>2023</v>
      </c>
      <c r="B1690" t="s">
        <v>1330</v>
      </c>
      <c r="C1690" t="s">
        <v>1343</v>
      </c>
      <c r="D1690">
        <v>206.75</v>
      </c>
    </row>
    <row r="1691" spans="1:4" x14ac:dyDescent="0.25">
      <c r="A1691" t="s">
        <v>2021</v>
      </c>
      <c r="B1691" t="s">
        <v>1334</v>
      </c>
      <c r="C1691" t="s">
        <v>1343</v>
      </c>
      <c r="D1691">
        <v>773.1</v>
      </c>
    </row>
    <row r="1692" spans="1:4" x14ac:dyDescent="0.25">
      <c r="A1692" t="s">
        <v>1961</v>
      </c>
      <c r="B1692" t="s">
        <v>1331</v>
      </c>
      <c r="C1692" t="s">
        <v>1343</v>
      </c>
      <c r="D1692">
        <v>203.35</v>
      </c>
    </row>
    <row r="1693" spans="1:4" x14ac:dyDescent="0.25">
      <c r="A1693" t="s">
        <v>2023</v>
      </c>
      <c r="B1693" t="s">
        <v>1331</v>
      </c>
      <c r="C1693" t="s">
        <v>1343</v>
      </c>
      <c r="D1693">
        <v>56.8</v>
      </c>
    </row>
    <row r="1694" spans="1:4" x14ac:dyDescent="0.25">
      <c r="A1694" t="s">
        <v>1902</v>
      </c>
      <c r="B1694" t="s">
        <v>1334</v>
      </c>
      <c r="C1694" t="s">
        <v>1343</v>
      </c>
      <c r="D1694">
        <v>13.4</v>
      </c>
    </row>
    <row r="1695" spans="1:4" x14ac:dyDescent="0.25">
      <c r="A1695" t="s">
        <v>1918</v>
      </c>
      <c r="B1695" t="s">
        <v>1335</v>
      </c>
      <c r="C1695" t="s">
        <v>1343</v>
      </c>
      <c r="D1695">
        <v>11.65</v>
      </c>
    </row>
    <row r="1696" spans="1:4" x14ac:dyDescent="0.25">
      <c r="A1696" t="s">
        <v>1984</v>
      </c>
      <c r="B1696" t="s">
        <v>1331</v>
      </c>
      <c r="C1696" t="s">
        <v>1343</v>
      </c>
      <c r="D1696">
        <v>4</v>
      </c>
    </row>
    <row r="1697" spans="1:4" x14ac:dyDescent="0.25">
      <c r="A1697" t="s">
        <v>2029</v>
      </c>
      <c r="B1697" t="s">
        <v>1333</v>
      </c>
      <c r="C1697" t="s">
        <v>1343</v>
      </c>
      <c r="D1697">
        <v>69.45</v>
      </c>
    </row>
    <row r="1698" spans="1:4" x14ac:dyDescent="0.25">
      <c r="A1698" t="s">
        <v>1990</v>
      </c>
      <c r="B1698" t="s">
        <v>1331</v>
      </c>
      <c r="C1698" t="s">
        <v>1343</v>
      </c>
      <c r="D1698">
        <v>2</v>
      </c>
    </row>
    <row r="1699" spans="1:4" x14ac:dyDescent="0.25">
      <c r="A1699" t="s">
        <v>1902</v>
      </c>
      <c r="B1699" t="s">
        <v>1335</v>
      </c>
      <c r="C1699" t="s">
        <v>1343</v>
      </c>
      <c r="D1699">
        <v>295.2</v>
      </c>
    </row>
    <row r="1700" spans="1:4" x14ac:dyDescent="0.25">
      <c r="A1700" t="s">
        <v>1949</v>
      </c>
      <c r="B1700" t="s">
        <v>1331</v>
      </c>
      <c r="C1700" t="s">
        <v>1343</v>
      </c>
      <c r="D1700">
        <v>56.9</v>
      </c>
    </row>
    <row r="1701" spans="1:4" x14ac:dyDescent="0.25">
      <c r="A1701" t="s">
        <v>1931</v>
      </c>
      <c r="B1701" t="s">
        <v>1335</v>
      </c>
      <c r="C1701" t="s">
        <v>1343</v>
      </c>
      <c r="D1701">
        <v>46.2</v>
      </c>
    </row>
    <row r="1702" spans="1:4" x14ac:dyDescent="0.25">
      <c r="A1702" t="s">
        <v>1963</v>
      </c>
      <c r="B1702" t="s">
        <v>1333</v>
      </c>
      <c r="C1702" t="s">
        <v>1343</v>
      </c>
      <c r="D1702">
        <v>83.7</v>
      </c>
    </row>
    <row r="1703" spans="1:4" x14ac:dyDescent="0.25">
      <c r="A1703" t="s">
        <v>1921</v>
      </c>
      <c r="B1703" t="s">
        <v>1330</v>
      </c>
      <c r="C1703" t="s">
        <v>1343</v>
      </c>
      <c r="D1703">
        <v>3</v>
      </c>
    </row>
    <row r="1704" spans="1:4" x14ac:dyDescent="0.25">
      <c r="A1704" t="s">
        <v>1959</v>
      </c>
      <c r="B1704" t="s">
        <v>1335</v>
      </c>
      <c r="C1704" t="s">
        <v>1343</v>
      </c>
      <c r="D1704">
        <v>6</v>
      </c>
    </row>
    <row r="1705" spans="1:4" x14ac:dyDescent="0.25">
      <c r="A1705" t="s">
        <v>2026</v>
      </c>
      <c r="B1705" t="s">
        <v>1334</v>
      </c>
      <c r="C1705" t="s">
        <v>1343</v>
      </c>
      <c r="D1705">
        <v>166.25</v>
      </c>
    </row>
    <row r="1706" spans="1:4" x14ac:dyDescent="0.25">
      <c r="A1706" t="s">
        <v>2023</v>
      </c>
      <c r="B1706" t="s">
        <v>1333</v>
      </c>
      <c r="C1706" t="s">
        <v>1343</v>
      </c>
      <c r="D1706">
        <v>9.1</v>
      </c>
    </row>
    <row r="1707" spans="1:4" x14ac:dyDescent="0.25">
      <c r="A1707" t="s">
        <v>2031</v>
      </c>
      <c r="B1707" t="s">
        <v>1334</v>
      </c>
      <c r="C1707" t="s">
        <v>1343</v>
      </c>
      <c r="D1707">
        <v>5</v>
      </c>
    </row>
    <row r="1708" spans="1:4" x14ac:dyDescent="0.25">
      <c r="A1708" t="s">
        <v>2020</v>
      </c>
      <c r="B1708" t="s">
        <v>1334</v>
      </c>
      <c r="C1708" t="s">
        <v>1343</v>
      </c>
      <c r="D1708">
        <v>2567.1</v>
      </c>
    </row>
    <row r="1709" spans="1:4" x14ac:dyDescent="0.25">
      <c r="A1709" t="s">
        <v>2024</v>
      </c>
      <c r="B1709" t="s">
        <v>1334</v>
      </c>
      <c r="C1709" t="s">
        <v>1343</v>
      </c>
      <c r="D1709">
        <v>1648.65</v>
      </c>
    </row>
    <row r="1710" spans="1:4" x14ac:dyDescent="0.25">
      <c r="A1710" t="s">
        <v>2027</v>
      </c>
      <c r="B1710" t="s">
        <v>1334</v>
      </c>
      <c r="C1710" t="s">
        <v>1343</v>
      </c>
      <c r="D1710">
        <v>2665.15</v>
      </c>
    </row>
    <row r="1711" spans="1:4" x14ac:dyDescent="0.25">
      <c r="A1711" t="s">
        <v>2029</v>
      </c>
      <c r="B1711" t="s">
        <v>1334</v>
      </c>
      <c r="C1711" t="s">
        <v>1343</v>
      </c>
      <c r="D1711">
        <v>771.59500000000003</v>
      </c>
    </row>
    <row r="1712" spans="1:4" x14ac:dyDescent="0.25">
      <c r="A1712" t="s">
        <v>1969</v>
      </c>
      <c r="B1712" t="s">
        <v>1331</v>
      </c>
      <c r="C1712" t="s">
        <v>1343</v>
      </c>
      <c r="D1712">
        <v>88.7</v>
      </c>
    </row>
    <row r="1713" spans="1:4" x14ac:dyDescent="0.25">
      <c r="A1713" t="s">
        <v>2004</v>
      </c>
      <c r="B1713" t="s">
        <v>1331</v>
      </c>
      <c r="C1713" t="s">
        <v>1343</v>
      </c>
      <c r="D1713">
        <v>17.399999999999999</v>
      </c>
    </row>
    <row r="1714" spans="1:4" x14ac:dyDescent="0.25">
      <c r="A1714" t="s">
        <v>1968</v>
      </c>
      <c r="B1714" t="s">
        <v>1331</v>
      </c>
      <c r="C1714" t="s">
        <v>1343</v>
      </c>
      <c r="D1714">
        <v>120.2</v>
      </c>
    </row>
    <row r="1715" spans="1:4" x14ac:dyDescent="0.25">
      <c r="A1715" t="s">
        <v>1913</v>
      </c>
      <c r="B1715" t="s">
        <v>1335</v>
      </c>
      <c r="C1715" t="s">
        <v>1343</v>
      </c>
      <c r="D1715">
        <v>243.9</v>
      </c>
    </row>
    <row r="1716" spans="1:4" x14ac:dyDescent="0.25">
      <c r="A1716" t="s">
        <v>1911</v>
      </c>
      <c r="B1716" t="s">
        <v>1335</v>
      </c>
      <c r="C1716" t="s">
        <v>1343</v>
      </c>
      <c r="D1716">
        <v>133.1</v>
      </c>
    </row>
    <row r="1717" spans="1:4" x14ac:dyDescent="0.25">
      <c r="A1717" t="s">
        <v>1986</v>
      </c>
      <c r="B1717" t="s">
        <v>1331</v>
      </c>
      <c r="C1717" t="s">
        <v>1343</v>
      </c>
      <c r="D1717">
        <v>5</v>
      </c>
    </row>
    <row r="1718" spans="1:4" x14ac:dyDescent="0.25">
      <c r="A1718" t="s">
        <v>1913</v>
      </c>
      <c r="B1718" t="s">
        <v>1335</v>
      </c>
      <c r="C1718" t="s">
        <v>1362</v>
      </c>
      <c r="D1718">
        <v>16.55</v>
      </c>
    </row>
    <row r="1719" spans="1:4" x14ac:dyDescent="0.25">
      <c r="A1719" t="s">
        <v>2024</v>
      </c>
      <c r="B1719" t="s">
        <v>1334</v>
      </c>
      <c r="C1719" t="s">
        <v>1362</v>
      </c>
      <c r="D1719">
        <v>12.4</v>
      </c>
    </row>
    <row r="1720" spans="1:4" x14ac:dyDescent="0.25">
      <c r="A1720" t="s">
        <v>1902</v>
      </c>
      <c r="B1720" t="s">
        <v>1335</v>
      </c>
      <c r="C1720" t="s">
        <v>1362</v>
      </c>
      <c r="D1720">
        <v>3.85</v>
      </c>
    </row>
    <row r="1721" spans="1:4" x14ac:dyDescent="0.25">
      <c r="A1721" t="s">
        <v>1973</v>
      </c>
      <c r="B1721" t="s">
        <v>1331</v>
      </c>
      <c r="C1721" t="s">
        <v>1362</v>
      </c>
      <c r="D1721">
        <v>27.1</v>
      </c>
    </row>
    <row r="1722" spans="1:4" x14ac:dyDescent="0.25">
      <c r="A1722" t="s">
        <v>2022</v>
      </c>
      <c r="B1722" t="s">
        <v>1334</v>
      </c>
      <c r="C1722" t="s">
        <v>1362</v>
      </c>
      <c r="D1722">
        <v>53.9</v>
      </c>
    </row>
    <row r="1723" spans="1:4" x14ac:dyDescent="0.25">
      <c r="A1723" t="s">
        <v>1921</v>
      </c>
      <c r="B1723" t="s">
        <v>1330</v>
      </c>
      <c r="C1723" t="s">
        <v>1362</v>
      </c>
      <c r="D1723">
        <v>42.2</v>
      </c>
    </row>
    <row r="1724" spans="1:4" x14ac:dyDescent="0.25">
      <c r="A1724" t="s">
        <v>2033</v>
      </c>
      <c r="B1724" t="s">
        <v>1334</v>
      </c>
      <c r="C1724" t="s">
        <v>1362</v>
      </c>
      <c r="D1724">
        <v>207.9</v>
      </c>
    </row>
    <row r="1725" spans="1:4" x14ac:dyDescent="0.25">
      <c r="A1725" t="s">
        <v>1902</v>
      </c>
      <c r="B1725" t="s">
        <v>1331</v>
      </c>
      <c r="C1725" t="s">
        <v>1362</v>
      </c>
      <c r="D1725">
        <v>9.85</v>
      </c>
    </row>
    <row r="1726" spans="1:4" x14ac:dyDescent="0.25">
      <c r="A1726" t="s">
        <v>2033</v>
      </c>
      <c r="B1726" t="s">
        <v>1331</v>
      </c>
      <c r="C1726" t="s">
        <v>1362</v>
      </c>
      <c r="D1726">
        <v>7.7</v>
      </c>
    </row>
    <row r="1727" spans="1:4" x14ac:dyDescent="0.25">
      <c r="A1727" t="s">
        <v>1900</v>
      </c>
      <c r="B1727" t="s">
        <v>1335</v>
      </c>
      <c r="C1727" t="s">
        <v>1362</v>
      </c>
      <c r="D1727">
        <v>4</v>
      </c>
    </row>
    <row r="1728" spans="1:4" x14ac:dyDescent="0.25">
      <c r="A1728" t="s">
        <v>1904</v>
      </c>
      <c r="B1728" t="s">
        <v>1331</v>
      </c>
      <c r="C1728" t="s">
        <v>1362</v>
      </c>
      <c r="D1728">
        <v>598.5</v>
      </c>
    </row>
    <row r="1729" spans="1:4" x14ac:dyDescent="0.25">
      <c r="A1729" t="s">
        <v>1904</v>
      </c>
      <c r="B1729" t="s">
        <v>1333</v>
      </c>
      <c r="C1729" t="s">
        <v>1362</v>
      </c>
      <c r="D1729">
        <v>47.7</v>
      </c>
    </row>
    <row r="1730" spans="1:4" x14ac:dyDescent="0.25">
      <c r="A1730" t="s">
        <v>2028</v>
      </c>
      <c r="B1730" t="s">
        <v>1334</v>
      </c>
      <c r="C1730" t="s">
        <v>1362</v>
      </c>
      <c r="D1730">
        <v>15.4</v>
      </c>
    </row>
    <row r="1731" spans="1:4" x14ac:dyDescent="0.25">
      <c r="A1731" t="s">
        <v>2036</v>
      </c>
      <c r="B1731" t="s">
        <v>1331</v>
      </c>
      <c r="C1731" t="s">
        <v>1362</v>
      </c>
      <c r="D1731">
        <v>1145.2</v>
      </c>
    </row>
    <row r="1732" spans="1:4" x14ac:dyDescent="0.25">
      <c r="A1732" t="s">
        <v>1962</v>
      </c>
      <c r="B1732" t="s">
        <v>1331</v>
      </c>
      <c r="C1732" t="s">
        <v>1362</v>
      </c>
      <c r="D1732">
        <v>29.8</v>
      </c>
    </row>
    <row r="1733" spans="1:4" x14ac:dyDescent="0.25">
      <c r="A1733" t="s">
        <v>1931</v>
      </c>
      <c r="B1733" t="s">
        <v>1335</v>
      </c>
      <c r="C1733" t="s">
        <v>1362</v>
      </c>
      <c r="D1733">
        <v>15.4</v>
      </c>
    </row>
    <row r="1734" spans="1:4" x14ac:dyDescent="0.25">
      <c r="A1734" t="s">
        <v>1913</v>
      </c>
      <c r="B1734" t="s">
        <v>1331</v>
      </c>
      <c r="C1734" t="s">
        <v>1362</v>
      </c>
      <c r="D1734">
        <v>3.85</v>
      </c>
    </row>
    <row r="1735" spans="1:4" x14ac:dyDescent="0.25">
      <c r="A1735" t="s">
        <v>2004</v>
      </c>
      <c r="B1735" t="s">
        <v>1333</v>
      </c>
      <c r="C1735" t="s">
        <v>1362</v>
      </c>
      <c r="D1735">
        <v>8.6999999999999993</v>
      </c>
    </row>
    <row r="1736" spans="1:4" x14ac:dyDescent="0.25">
      <c r="A1736" t="s">
        <v>1961</v>
      </c>
      <c r="B1736" t="s">
        <v>1331</v>
      </c>
      <c r="C1736" t="s">
        <v>1362</v>
      </c>
      <c r="D1736">
        <v>40.950000000000003</v>
      </c>
    </row>
    <row r="1737" spans="1:4" x14ac:dyDescent="0.25">
      <c r="A1737" t="s">
        <v>2023</v>
      </c>
      <c r="B1737" t="s">
        <v>1330</v>
      </c>
      <c r="C1737" t="s">
        <v>1362</v>
      </c>
      <c r="D1737">
        <v>123.9</v>
      </c>
    </row>
    <row r="1738" spans="1:4" x14ac:dyDescent="0.25">
      <c r="A1738" t="s">
        <v>1907</v>
      </c>
      <c r="B1738" t="s">
        <v>1331</v>
      </c>
      <c r="C1738" t="s">
        <v>777</v>
      </c>
      <c r="D1738">
        <v>4.7</v>
      </c>
    </row>
    <row r="1739" spans="1:4" x14ac:dyDescent="0.25">
      <c r="A1739" t="s">
        <v>1931</v>
      </c>
      <c r="B1739" t="s">
        <v>1335</v>
      </c>
      <c r="C1739" t="s">
        <v>777</v>
      </c>
      <c r="D1739">
        <v>439.25</v>
      </c>
    </row>
    <row r="1740" spans="1:4" x14ac:dyDescent="0.25">
      <c r="A1740" t="s">
        <v>1900</v>
      </c>
      <c r="B1740" t="s">
        <v>1335</v>
      </c>
      <c r="C1740" t="s">
        <v>777</v>
      </c>
      <c r="D1740">
        <v>365</v>
      </c>
    </row>
    <row r="1741" spans="1:4" x14ac:dyDescent="0.25">
      <c r="A1741" t="s">
        <v>1920</v>
      </c>
      <c r="B1741" t="s">
        <v>1330</v>
      </c>
      <c r="C1741" t="s">
        <v>777</v>
      </c>
      <c r="D1741">
        <v>12</v>
      </c>
    </row>
    <row r="1742" spans="1:4" x14ac:dyDescent="0.25">
      <c r="A1742" t="s">
        <v>1923</v>
      </c>
      <c r="B1742" t="s">
        <v>1331</v>
      </c>
      <c r="C1742" t="s">
        <v>777</v>
      </c>
      <c r="D1742">
        <v>381.1</v>
      </c>
    </row>
    <row r="1743" spans="1:4" x14ac:dyDescent="0.25">
      <c r="A1743" t="s">
        <v>2037</v>
      </c>
      <c r="B1743" t="s">
        <v>1335</v>
      </c>
      <c r="C1743" t="s">
        <v>777</v>
      </c>
      <c r="D1743">
        <v>61.6</v>
      </c>
    </row>
    <row r="1744" spans="1:4" x14ac:dyDescent="0.25">
      <c r="A1744" t="s">
        <v>1939</v>
      </c>
      <c r="B1744" t="s">
        <v>1331</v>
      </c>
      <c r="C1744" t="s">
        <v>777</v>
      </c>
      <c r="D1744">
        <v>1974.7</v>
      </c>
    </row>
    <row r="1745" spans="1:4" x14ac:dyDescent="0.25">
      <c r="A1745" t="s">
        <v>2034</v>
      </c>
      <c r="B1745" t="s">
        <v>1331</v>
      </c>
      <c r="C1745" t="s">
        <v>777</v>
      </c>
      <c r="D1745">
        <v>635.79999999999995</v>
      </c>
    </row>
    <row r="1746" spans="1:4" x14ac:dyDescent="0.25">
      <c r="A1746" t="s">
        <v>1921</v>
      </c>
      <c r="B1746" t="s">
        <v>1330</v>
      </c>
      <c r="C1746" t="s">
        <v>777</v>
      </c>
      <c r="D1746">
        <v>331.25</v>
      </c>
    </row>
    <row r="1747" spans="1:4" x14ac:dyDescent="0.25">
      <c r="A1747" t="s">
        <v>1931</v>
      </c>
      <c r="B1747" t="s">
        <v>1334</v>
      </c>
      <c r="C1747" t="s">
        <v>777</v>
      </c>
      <c r="D1747">
        <v>3.85</v>
      </c>
    </row>
    <row r="1748" spans="1:4" x14ac:dyDescent="0.25">
      <c r="A1748" t="s">
        <v>1931</v>
      </c>
      <c r="B1748" t="s">
        <v>1330</v>
      </c>
      <c r="C1748" t="s">
        <v>777</v>
      </c>
      <c r="D1748">
        <v>7.7</v>
      </c>
    </row>
    <row r="1749" spans="1:4" x14ac:dyDescent="0.25">
      <c r="A1749" t="s">
        <v>1935</v>
      </c>
      <c r="B1749" t="s">
        <v>1331</v>
      </c>
      <c r="C1749" t="s">
        <v>777</v>
      </c>
      <c r="D1749">
        <v>64.599999999999994</v>
      </c>
    </row>
    <row r="1750" spans="1:4" x14ac:dyDescent="0.25">
      <c r="A1750" t="s">
        <v>1907</v>
      </c>
      <c r="B1750" t="s">
        <v>1335</v>
      </c>
      <c r="C1750" t="s">
        <v>777</v>
      </c>
      <c r="D1750">
        <v>133.69999999999999</v>
      </c>
    </row>
    <row r="1751" spans="1:4" x14ac:dyDescent="0.25">
      <c r="A1751" t="s">
        <v>1950</v>
      </c>
      <c r="B1751" t="s">
        <v>1334</v>
      </c>
      <c r="C1751" t="s">
        <v>777</v>
      </c>
      <c r="D1751">
        <v>597.85</v>
      </c>
    </row>
    <row r="1752" spans="1:4" x14ac:dyDescent="0.25">
      <c r="A1752" t="s">
        <v>1961</v>
      </c>
      <c r="B1752" t="s">
        <v>1331</v>
      </c>
      <c r="C1752" t="s">
        <v>777</v>
      </c>
      <c r="D1752">
        <v>56.1</v>
      </c>
    </row>
    <row r="1753" spans="1:4" x14ac:dyDescent="0.25">
      <c r="A1753" t="s">
        <v>2038</v>
      </c>
      <c r="B1753" t="s">
        <v>1335</v>
      </c>
      <c r="C1753" t="s">
        <v>777</v>
      </c>
      <c r="D1753">
        <v>123.2</v>
      </c>
    </row>
    <row r="1754" spans="1:4" x14ac:dyDescent="0.25">
      <c r="A1754" t="s">
        <v>2039</v>
      </c>
      <c r="B1754" t="s">
        <v>1335</v>
      </c>
      <c r="C1754" t="s">
        <v>777</v>
      </c>
      <c r="D1754">
        <v>38.5</v>
      </c>
    </row>
    <row r="1755" spans="1:4" x14ac:dyDescent="0.25">
      <c r="A1755" t="s">
        <v>1966</v>
      </c>
      <c r="B1755" t="s">
        <v>1331</v>
      </c>
      <c r="C1755" t="s">
        <v>777</v>
      </c>
      <c r="D1755">
        <v>823.05</v>
      </c>
    </row>
    <row r="1756" spans="1:4" x14ac:dyDescent="0.25">
      <c r="A1756" t="s">
        <v>1969</v>
      </c>
      <c r="B1756" t="s">
        <v>1331</v>
      </c>
      <c r="C1756" t="s">
        <v>777</v>
      </c>
      <c r="D1756">
        <v>149.85</v>
      </c>
    </row>
    <row r="1757" spans="1:4" x14ac:dyDescent="0.25">
      <c r="A1757" t="s">
        <v>1925</v>
      </c>
      <c r="B1757" t="s">
        <v>1331</v>
      </c>
      <c r="C1757" t="s">
        <v>777</v>
      </c>
      <c r="D1757">
        <v>1799.95</v>
      </c>
    </row>
    <row r="1758" spans="1:4" x14ac:dyDescent="0.25">
      <c r="A1758" t="s">
        <v>1900</v>
      </c>
      <c r="B1758" t="s">
        <v>1331</v>
      </c>
      <c r="C1758" t="s">
        <v>777</v>
      </c>
      <c r="D1758">
        <v>1.5</v>
      </c>
    </row>
    <row r="1759" spans="1:4" x14ac:dyDescent="0.25">
      <c r="A1759" t="s">
        <v>1967</v>
      </c>
      <c r="B1759" t="s">
        <v>1331</v>
      </c>
      <c r="C1759" t="s">
        <v>777</v>
      </c>
      <c r="D1759">
        <v>857.3</v>
      </c>
    </row>
    <row r="1760" spans="1:4" x14ac:dyDescent="0.25">
      <c r="A1760" t="s">
        <v>1920</v>
      </c>
      <c r="B1760" t="s">
        <v>1331</v>
      </c>
      <c r="C1760" t="s">
        <v>777</v>
      </c>
      <c r="D1760">
        <v>283.5</v>
      </c>
    </row>
    <row r="1761" spans="1:4" x14ac:dyDescent="0.25">
      <c r="A1761" t="s">
        <v>1979</v>
      </c>
      <c r="B1761" t="s">
        <v>1333</v>
      </c>
      <c r="C1761" t="s">
        <v>777</v>
      </c>
      <c r="D1761">
        <v>301</v>
      </c>
    </row>
    <row r="1762" spans="1:4" x14ac:dyDescent="0.25">
      <c r="A1762" t="s">
        <v>1976</v>
      </c>
      <c r="B1762" t="s">
        <v>1331</v>
      </c>
      <c r="C1762" t="s">
        <v>777</v>
      </c>
      <c r="D1762">
        <v>2</v>
      </c>
    </row>
    <row r="1763" spans="1:4" x14ac:dyDescent="0.25">
      <c r="A1763" t="s">
        <v>2010</v>
      </c>
      <c r="B1763" t="s">
        <v>1331</v>
      </c>
      <c r="C1763" t="s">
        <v>777</v>
      </c>
      <c r="D1763">
        <v>110.5</v>
      </c>
    </row>
    <row r="1764" spans="1:4" x14ac:dyDescent="0.25">
      <c r="A1764" t="s">
        <v>1913</v>
      </c>
      <c r="B1764" t="s">
        <v>1335</v>
      </c>
      <c r="C1764" t="s">
        <v>777</v>
      </c>
      <c r="D1764">
        <v>42.5</v>
      </c>
    </row>
    <row r="1765" spans="1:4" x14ac:dyDescent="0.25">
      <c r="A1765" t="s">
        <v>2034</v>
      </c>
      <c r="B1765" t="s">
        <v>1334</v>
      </c>
      <c r="C1765" t="s">
        <v>777</v>
      </c>
      <c r="D1765">
        <v>18.399999999999999</v>
      </c>
    </row>
    <row r="1766" spans="1:4" x14ac:dyDescent="0.25">
      <c r="A1766" t="s">
        <v>1925</v>
      </c>
      <c r="B1766" t="s">
        <v>1333</v>
      </c>
      <c r="C1766" t="s">
        <v>777</v>
      </c>
      <c r="D1766">
        <v>232.5</v>
      </c>
    </row>
    <row r="1767" spans="1:4" x14ac:dyDescent="0.25">
      <c r="A1767" t="s">
        <v>1939</v>
      </c>
      <c r="B1767" t="s">
        <v>1333</v>
      </c>
      <c r="C1767" t="s">
        <v>777</v>
      </c>
      <c r="D1767">
        <v>88.25</v>
      </c>
    </row>
    <row r="1768" spans="1:4" x14ac:dyDescent="0.25">
      <c r="A1768" t="s">
        <v>1967</v>
      </c>
      <c r="B1768" t="s">
        <v>1333</v>
      </c>
      <c r="C1768" t="s">
        <v>777</v>
      </c>
      <c r="D1768">
        <v>1</v>
      </c>
    </row>
    <row r="1769" spans="1:4" x14ac:dyDescent="0.25">
      <c r="A1769" t="s">
        <v>1925</v>
      </c>
      <c r="B1769" t="s">
        <v>1330</v>
      </c>
      <c r="C1769" t="s">
        <v>777</v>
      </c>
      <c r="D1769">
        <v>57.75</v>
      </c>
    </row>
    <row r="1770" spans="1:4" x14ac:dyDescent="0.25">
      <c r="A1770" t="s">
        <v>1950</v>
      </c>
      <c r="B1770" t="s">
        <v>1331</v>
      </c>
      <c r="C1770" t="s">
        <v>777</v>
      </c>
      <c r="D1770">
        <v>9.6999999999999993</v>
      </c>
    </row>
    <row r="1771" spans="1:4" x14ac:dyDescent="0.25">
      <c r="A1771" t="s">
        <v>1980</v>
      </c>
      <c r="B1771" t="s">
        <v>1331</v>
      </c>
      <c r="C1771" t="s">
        <v>777</v>
      </c>
      <c r="D1771">
        <v>2</v>
      </c>
    </row>
    <row r="1772" spans="1:4" x14ac:dyDescent="0.25">
      <c r="A1772" t="s">
        <v>1902</v>
      </c>
      <c r="B1772" t="s">
        <v>1335</v>
      </c>
      <c r="C1772" t="s">
        <v>777</v>
      </c>
      <c r="D1772">
        <v>110.4</v>
      </c>
    </row>
    <row r="1773" spans="1:4" x14ac:dyDescent="0.25">
      <c r="A1773" t="s">
        <v>1966</v>
      </c>
      <c r="B1773" t="s">
        <v>1333</v>
      </c>
      <c r="C1773" t="s">
        <v>777</v>
      </c>
      <c r="D1773">
        <v>6.55</v>
      </c>
    </row>
    <row r="1774" spans="1:4" x14ac:dyDescent="0.25">
      <c r="A1774" t="s">
        <v>1972</v>
      </c>
      <c r="B1774" t="s">
        <v>1334</v>
      </c>
      <c r="C1774" t="s">
        <v>777</v>
      </c>
      <c r="D1774">
        <v>16</v>
      </c>
    </row>
    <row r="1775" spans="1:4" x14ac:dyDescent="0.25">
      <c r="A1775" t="s">
        <v>1927</v>
      </c>
      <c r="B1775" t="s">
        <v>1331</v>
      </c>
      <c r="C1775" t="s">
        <v>777</v>
      </c>
      <c r="D1775">
        <v>964.55</v>
      </c>
    </row>
    <row r="1776" spans="1:4" x14ac:dyDescent="0.25">
      <c r="A1776" t="s">
        <v>1979</v>
      </c>
      <c r="B1776" t="s">
        <v>1331</v>
      </c>
      <c r="C1776" t="s">
        <v>777</v>
      </c>
      <c r="D1776">
        <v>3802.45</v>
      </c>
    </row>
    <row r="1777" spans="1:4" x14ac:dyDescent="0.25">
      <c r="A1777" t="s">
        <v>1979</v>
      </c>
      <c r="B1777" t="s">
        <v>1334</v>
      </c>
      <c r="C1777" t="s">
        <v>777</v>
      </c>
      <c r="D1777">
        <v>34.5</v>
      </c>
    </row>
    <row r="1778" spans="1:4" x14ac:dyDescent="0.25">
      <c r="A1778" t="s">
        <v>2040</v>
      </c>
      <c r="B1778" t="s">
        <v>1335</v>
      </c>
      <c r="C1778" t="s">
        <v>777</v>
      </c>
      <c r="D1778">
        <v>35.799999999999997</v>
      </c>
    </row>
    <row r="1779" spans="1:4" x14ac:dyDescent="0.25">
      <c r="A1779" t="s">
        <v>1902</v>
      </c>
      <c r="B1779" t="s">
        <v>1334</v>
      </c>
      <c r="C1779" t="s">
        <v>777</v>
      </c>
      <c r="D1779">
        <v>2</v>
      </c>
    </row>
    <row r="1780" spans="1:4" x14ac:dyDescent="0.25">
      <c r="A1780" t="s">
        <v>1925</v>
      </c>
      <c r="B1780" t="s">
        <v>1334</v>
      </c>
      <c r="C1780" t="s">
        <v>777</v>
      </c>
      <c r="D1780">
        <v>19.100000000000001</v>
      </c>
    </row>
    <row r="1781" spans="1:4" x14ac:dyDescent="0.25">
      <c r="A1781" t="s">
        <v>1982</v>
      </c>
      <c r="B1781" t="s">
        <v>1334</v>
      </c>
      <c r="C1781" t="s">
        <v>783</v>
      </c>
      <c r="D1781">
        <v>68</v>
      </c>
    </row>
    <row r="1782" spans="1:4" x14ac:dyDescent="0.25">
      <c r="A1782" t="s">
        <v>1921</v>
      </c>
      <c r="B1782" t="s">
        <v>1330</v>
      </c>
      <c r="C1782" t="s">
        <v>783</v>
      </c>
      <c r="D1782">
        <v>2</v>
      </c>
    </row>
    <row r="1783" spans="1:4" x14ac:dyDescent="0.25">
      <c r="A1783" t="s">
        <v>1950</v>
      </c>
      <c r="B1783" t="s">
        <v>1334</v>
      </c>
      <c r="C1783" t="s">
        <v>783</v>
      </c>
      <c r="D1783">
        <v>31.95</v>
      </c>
    </row>
    <row r="1784" spans="1:4" x14ac:dyDescent="0.25">
      <c r="A1784" t="s">
        <v>1900</v>
      </c>
      <c r="B1784" t="s">
        <v>1335</v>
      </c>
      <c r="C1784" t="s">
        <v>783</v>
      </c>
      <c r="D1784">
        <v>5.05</v>
      </c>
    </row>
    <row r="1785" spans="1:4" x14ac:dyDescent="0.25">
      <c r="A1785" t="s">
        <v>1902</v>
      </c>
      <c r="B1785" t="s">
        <v>1335</v>
      </c>
      <c r="C1785" t="s">
        <v>783</v>
      </c>
      <c r="D1785">
        <v>10.7</v>
      </c>
    </row>
    <row r="1786" spans="1:4" x14ac:dyDescent="0.25">
      <c r="A1786" t="s">
        <v>1995</v>
      </c>
      <c r="B1786" t="s">
        <v>1330</v>
      </c>
      <c r="C1786" t="s">
        <v>783</v>
      </c>
      <c r="D1786">
        <v>15.2</v>
      </c>
    </row>
    <row r="1787" spans="1:4" x14ac:dyDescent="0.25">
      <c r="A1787" t="s">
        <v>1920</v>
      </c>
      <c r="B1787" t="s">
        <v>1331</v>
      </c>
      <c r="C1787" t="s">
        <v>783</v>
      </c>
      <c r="D1787">
        <v>18</v>
      </c>
    </row>
    <row r="1788" spans="1:4" x14ac:dyDescent="0.25">
      <c r="A1788" t="s">
        <v>1929</v>
      </c>
      <c r="B1788" t="s">
        <v>1331</v>
      </c>
      <c r="C1788" t="s">
        <v>783</v>
      </c>
      <c r="D1788">
        <v>149</v>
      </c>
    </row>
    <row r="1789" spans="1:4" x14ac:dyDescent="0.25">
      <c r="A1789" t="s">
        <v>1961</v>
      </c>
      <c r="B1789" t="s">
        <v>1331</v>
      </c>
      <c r="C1789" t="s">
        <v>783</v>
      </c>
      <c r="D1789">
        <v>70.099999999999994</v>
      </c>
    </row>
    <row r="1790" spans="1:4" x14ac:dyDescent="0.25">
      <c r="A1790" t="s">
        <v>1913</v>
      </c>
      <c r="B1790" t="s">
        <v>1335</v>
      </c>
      <c r="C1790" t="s">
        <v>783</v>
      </c>
      <c r="D1790">
        <v>36.85</v>
      </c>
    </row>
    <row r="1791" spans="1:4" x14ac:dyDescent="0.25">
      <c r="A1791" t="s">
        <v>1913</v>
      </c>
      <c r="B1791" t="s">
        <v>1335</v>
      </c>
      <c r="C1791" t="s">
        <v>1347</v>
      </c>
      <c r="D1791">
        <v>50.35</v>
      </c>
    </row>
    <row r="1792" spans="1:4" x14ac:dyDescent="0.25">
      <c r="A1792" t="s">
        <v>2023</v>
      </c>
      <c r="B1792" t="s">
        <v>1330</v>
      </c>
      <c r="C1792" t="s">
        <v>1347</v>
      </c>
      <c r="D1792">
        <v>3.85</v>
      </c>
    </row>
    <row r="1793" spans="1:4" x14ac:dyDescent="0.25">
      <c r="A1793" t="s">
        <v>2023</v>
      </c>
      <c r="B1793" t="s">
        <v>1331</v>
      </c>
      <c r="C1793" t="s">
        <v>1347</v>
      </c>
      <c r="D1793">
        <v>16.899999999999999</v>
      </c>
    </row>
    <row r="1794" spans="1:4" x14ac:dyDescent="0.25">
      <c r="A1794" t="s">
        <v>1909</v>
      </c>
      <c r="B1794" t="s">
        <v>1335</v>
      </c>
      <c r="C1794" t="s">
        <v>1347</v>
      </c>
      <c r="D1794">
        <v>26.2</v>
      </c>
    </row>
    <row r="1795" spans="1:4" x14ac:dyDescent="0.25">
      <c r="A1795" t="s">
        <v>2029</v>
      </c>
      <c r="B1795" t="s">
        <v>1334</v>
      </c>
      <c r="C1795" t="s">
        <v>1347</v>
      </c>
      <c r="D1795">
        <v>868.245</v>
      </c>
    </row>
    <row r="1796" spans="1:4" x14ac:dyDescent="0.25">
      <c r="A1796" t="s">
        <v>1980</v>
      </c>
      <c r="B1796" t="s">
        <v>1331</v>
      </c>
      <c r="C1796" t="s">
        <v>1347</v>
      </c>
      <c r="D1796">
        <v>1</v>
      </c>
    </row>
    <row r="1797" spans="1:4" x14ac:dyDescent="0.25">
      <c r="A1797" t="s">
        <v>1962</v>
      </c>
      <c r="B1797" t="s">
        <v>1331</v>
      </c>
      <c r="C1797" t="s">
        <v>1347</v>
      </c>
      <c r="D1797">
        <v>78</v>
      </c>
    </row>
    <row r="1798" spans="1:4" x14ac:dyDescent="0.25">
      <c r="A1798" t="s">
        <v>1927</v>
      </c>
      <c r="B1798" t="s">
        <v>1331</v>
      </c>
      <c r="C1798" t="s">
        <v>1347</v>
      </c>
      <c r="D1798">
        <v>154</v>
      </c>
    </row>
    <row r="1799" spans="1:4" x14ac:dyDescent="0.25">
      <c r="A1799" t="s">
        <v>1963</v>
      </c>
      <c r="B1799" t="s">
        <v>1331</v>
      </c>
      <c r="C1799" t="s">
        <v>1347</v>
      </c>
      <c r="D1799">
        <v>23.1</v>
      </c>
    </row>
    <row r="1800" spans="1:4" x14ac:dyDescent="0.25">
      <c r="A1800" t="s">
        <v>1911</v>
      </c>
      <c r="B1800" t="s">
        <v>1335</v>
      </c>
      <c r="C1800" t="s">
        <v>1347</v>
      </c>
      <c r="D1800">
        <v>9.6999999999999993</v>
      </c>
    </row>
    <row r="1801" spans="1:4" x14ac:dyDescent="0.25">
      <c r="A1801" t="s">
        <v>2026</v>
      </c>
      <c r="B1801" t="s">
        <v>1331</v>
      </c>
      <c r="C1801" t="s">
        <v>1347</v>
      </c>
      <c r="D1801">
        <v>4</v>
      </c>
    </row>
    <row r="1802" spans="1:4" x14ac:dyDescent="0.25">
      <c r="A1802" t="s">
        <v>1990</v>
      </c>
      <c r="B1802" t="s">
        <v>1331</v>
      </c>
      <c r="C1802" t="s">
        <v>1347</v>
      </c>
      <c r="D1802">
        <v>15.4</v>
      </c>
    </row>
    <row r="1803" spans="1:4" x14ac:dyDescent="0.25">
      <c r="A1803" t="s">
        <v>2020</v>
      </c>
      <c r="B1803" t="s">
        <v>1334</v>
      </c>
      <c r="C1803" t="s">
        <v>1347</v>
      </c>
      <c r="D1803">
        <v>1718.55</v>
      </c>
    </row>
    <row r="1804" spans="1:4" x14ac:dyDescent="0.25">
      <c r="A1804" t="s">
        <v>1921</v>
      </c>
      <c r="B1804" t="s">
        <v>1330</v>
      </c>
      <c r="C1804" t="s">
        <v>1347</v>
      </c>
      <c r="D1804">
        <v>102.5</v>
      </c>
    </row>
    <row r="1805" spans="1:4" x14ac:dyDescent="0.25">
      <c r="A1805" t="s">
        <v>2036</v>
      </c>
      <c r="B1805" t="s">
        <v>1331</v>
      </c>
      <c r="C1805" t="s">
        <v>1347</v>
      </c>
      <c r="D1805">
        <v>190.9</v>
      </c>
    </row>
    <row r="1806" spans="1:4" x14ac:dyDescent="0.25">
      <c r="A1806" t="s">
        <v>1904</v>
      </c>
      <c r="B1806" t="s">
        <v>1333</v>
      </c>
      <c r="C1806" t="s">
        <v>1347</v>
      </c>
      <c r="D1806">
        <v>15</v>
      </c>
    </row>
    <row r="1807" spans="1:4" x14ac:dyDescent="0.25">
      <c r="A1807" t="s">
        <v>2000</v>
      </c>
      <c r="B1807" t="s">
        <v>1331</v>
      </c>
      <c r="C1807" t="s">
        <v>1347</v>
      </c>
      <c r="D1807">
        <v>54.5</v>
      </c>
    </row>
    <row r="1808" spans="1:4" x14ac:dyDescent="0.25">
      <c r="A1808" t="s">
        <v>1904</v>
      </c>
      <c r="B1808" t="s">
        <v>1331</v>
      </c>
      <c r="C1808" t="s">
        <v>1347</v>
      </c>
      <c r="D1808">
        <v>1435.1</v>
      </c>
    </row>
    <row r="1809" spans="1:4" x14ac:dyDescent="0.25">
      <c r="A1809" t="s">
        <v>2022</v>
      </c>
      <c r="B1809" t="s">
        <v>1334</v>
      </c>
      <c r="C1809" t="s">
        <v>1347</v>
      </c>
      <c r="D1809">
        <v>57.6</v>
      </c>
    </row>
    <row r="1810" spans="1:4" x14ac:dyDescent="0.25">
      <c r="A1810" t="s">
        <v>2025</v>
      </c>
      <c r="B1810" t="s">
        <v>1334</v>
      </c>
      <c r="C1810" t="s">
        <v>1347</v>
      </c>
      <c r="D1810">
        <v>9.6999999999999993</v>
      </c>
    </row>
    <row r="1811" spans="1:4" x14ac:dyDescent="0.25">
      <c r="A1811" t="s">
        <v>2024</v>
      </c>
      <c r="B1811" t="s">
        <v>1334</v>
      </c>
      <c r="C1811" t="s">
        <v>1347</v>
      </c>
      <c r="D1811">
        <v>47.6</v>
      </c>
    </row>
    <row r="1812" spans="1:4" x14ac:dyDescent="0.25">
      <c r="A1812" t="s">
        <v>1968</v>
      </c>
      <c r="B1812" t="s">
        <v>1331</v>
      </c>
      <c r="C1812" t="s">
        <v>1347</v>
      </c>
      <c r="D1812">
        <v>8.9</v>
      </c>
    </row>
    <row r="1813" spans="1:4" x14ac:dyDescent="0.25">
      <c r="A1813" t="s">
        <v>2036</v>
      </c>
      <c r="B1813" t="s">
        <v>1333</v>
      </c>
      <c r="C1813" t="s">
        <v>1347</v>
      </c>
      <c r="D1813">
        <v>12.4</v>
      </c>
    </row>
    <row r="1814" spans="1:4" x14ac:dyDescent="0.25">
      <c r="A1814" t="s">
        <v>1961</v>
      </c>
      <c r="B1814" t="s">
        <v>1331</v>
      </c>
      <c r="C1814" t="s">
        <v>1347</v>
      </c>
      <c r="D1814">
        <v>44.9</v>
      </c>
    </row>
    <row r="1815" spans="1:4" x14ac:dyDescent="0.25">
      <c r="A1815" t="s">
        <v>1931</v>
      </c>
      <c r="B1815" t="s">
        <v>1335</v>
      </c>
      <c r="C1815" t="s">
        <v>1347</v>
      </c>
      <c r="D1815">
        <v>92.4</v>
      </c>
    </row>
    <row r="1816" spans="1:4" x14ac:dyDescent="0.25">
      <c r="A1816" t="s">
        <v>1995</v>
      </c>
      <c r="B1816" t="s">
        <v>1330</v>
      </c>
      <c r="C1816" t="s">
        <v>1347</v>
      </c>
      <c r="D1816">
        <v>6</v>
      </c>
    </row>
    <row r="1817" spans="1:4" x14ac:dyDescent="0.25">
      <c r="A1817" t="s">
        <v>2041</v>
      </c>
      <c r="B1817" t="s">
        <v>1334</v>
      </c>
      <c r="C1817" t="s">
        <v>1347</v>
      </c>
      <c r="D1817">
        <v>10.7</v>
      </c>
    </row>
    <row r="1818" spans="1:4" x14ac:dyDescent="0.25">
      <c r="A1818" t="s">
        <v>2022</v>
      </c>
      <c r="B1818" t="s">
        <v>1331</v>
      </c>
      <c r="C1818" t="s">
        <v>1347</v>
      </c>
      <c r="D1818">
        <v>7.7</v>
      </c>
    </row>
    <row r="1819" spans="1:4" x14ac:dyDescent="0.25">
      <c r="A1819" t="s">
        <v>2021</v>
      </c>
      <c r="B1819" t="s">
        <v>1334</v>
      </c>
      <c r="C1819" t="s">
        <v>1347</v>
      </c>
      <c r="D1819">
        <v>7.7</v>
      </c>
    </row>
    <row r="1820" spans="1:4" x14ac:dyDescent="0.25">
      <c r="A1820" t="s">
        <v>1902</v>
      </c>
      <c r="B1820" t="s">
        <v>1335</v>
      </c>
      <c r="C1820" t="s">
        <v>1347</v>
      </c>
      <c r="D1820">
        <v>32.65</v>
      </c>
    </row>
    <row r="1821" spans="1:4" x14ac:dyDescent="0.25">
      <c r="A1821" t="s">
        <v>2026</v>
      </c>
      <c r="B1821" t="s">
        <v>1334</v>
      </c>
      <c r="C1821" t="s">
        <v>1347</v>
      </c>
      <c r="D1821">
        <v>55.6</v>
      </c>
    </row>
    <row r="1822" spans="1:4" x14ac:dyDescent="0.25">
      <c r="A1822" t="s">
        <v>1968</v>
      </c>
      <c r="B1822" t="s">
        <v>1330</v>
      </c>
      <c r="C1822" t="s">
        <v>1347</v>
      </c>
      <c r="D1822">
        <v>4.7</v>
      </c>
    </row>
    <row r="1823" spans="1:4" x14ac:dyDescent="0.25">
      <c r="A1823" t="s">
        <v>1976</v>
      </c>
      <c r="B1823" t="s">
        <v>1331</v>
      </c>
      <c r="C1823" t="s">
        <v>787</v>
      </c>
      <c r="D1823">
        <v>10.7</v>
      </c>
    </row>
    <row r="1824" spans="1:4" x14ac:dyDescent="0.25">
      <c r="A1824" t="s">
        <v>1933</v>
      </c>
      <c r="B1824" t="s">
        <v>1330</v>
      </c>
      <c r="C1824" t="s">
        <v>787</v>
      </c>
      <c r="D1824">
        <v>33.6</v>
      </c>
    </row>
    <row r="1825" spans="1:4" x14ac:dyDescent="0.25">
      <c r="A1825" t="s">
        <v>1931</v>
      </c>
      <c r="B1825" t="s">
        <v>1335</v>
      </c>
      <c r="C1825" t="s">
        <v>787</v>
      </c>
      <c r="D1825">
        <v>7.7</v>
      </c>
    </row>
    <row r="1826" spans="1:4" x14ac:dyDescent="0.25">
      <c r="A1826" t="s">
        <v>1902</v>
      </c>
      <c r="B1826" t="s">
        <v>1335</v>
      </c>
      <c r="C1826" t="s">
        <v>787</v>
      </c>
      <c r="D1826">
        <v>3.85</v>
      </c>
    </row>
    <row r="1827" spans="1:4" x14ac:dyDescent="0.25">
      <c r="A1827" t="s">
        <v>1959</v>
      </c>
      <c r="B1827" t="s">
        <v>1330</v>
      </c>
      <c r="C1827" t="s">
        <v>787</v>
      </c>
      <c r="D1827">
        <v>2</v>
      </c>
    </row>
    <row r="1828" spans="1:4" x14ac:dyDescent="0.25">
      <c r="A1828" t="s">
        <v>1923</v>
      </c>
      <c r="B1828" t="s">
        <v>1331</v>
      </c>
      <c r="C1828" t="s">
        <v>787</v>
      </c>
      <c r="D1828">
        <v>59.2</v>
      </c>
    </row>
    <row r="1829" spans="1:4" x14ac:dyDescent="0.25">
      <c r="A1829" t="s">
        <v>1921</v>
      </c>
      <c r="B1829" t="s">
        <v>1330</v>
      </c>
      <c r="C1829" t="s">
        <v>787</v>
      </c>
      <c r="D1829">
        <v>16.399999999999999</v>
      </c>
    </row>
    <row r="1830" spans="1:4" x14ac:dyDescent="0.25">
      <c r="A1830" t="s">
        <v>1949</v>
      </c>
      <c r="B1830" t="s">
        <v>1331</v>
      </c>
      <c r="C1830" t="s">
        <v>787</v>
      </c>
      <c r="D1830">
        <v>192.3</v>
      </c>
    </row>
    <row r="1831" spans="1:4" x14ac:dyDescent="0.25">
      <c r="A1831" t="s">
        <v>1987</v>
      </c>
      <c r="B1831" t="s">
        <v>1333</v>
      </c>
      <c r="C1831" t="s">
        <v>790</v>
      </c>
      <c r="D1831">
        <v>20</v>
      </c>
    </row>
    <row r="1832" spans="1:4" x14ac:dyDescent="0.25">
      <c r="A1832" t="s">
        <v>1923</v>
      </c>
      <c r="B1832" t="s">
        <v>1331</v>
      </c>
      <c r="C1832" t="s">
        <v>790</v>
      </c>
      <c r="D1832">
        <v>9</v>
      </c>
    </row>
    <row r="1833" spans="1:4" x14ac:dyDescent="0.25">
      <c r="A1833" t="s">
        <v>1920</v>
      </c>
      <c r="B1833" t="s">
        <v>1331</v>
      </c>
      <c r="C1833" t="s">
        <v>790</v>
      </c>
      <c r="D1833">
        <v>190</v>
      </c>
    </row>
    <row r="1834" spans="1:4" x14ac:dyDescent="0.25">
      <c r="A1834" t="s">
        <v>1927</v>
      </c>
      <c r="B1834" t="s">
        <v>1331</v>
      </c>
      <c r="C1834" t="s">
        <v>790</v>
      </c>
      <c r="D1834">
        <v>72.5</v>
      </c>
    </row>
    <row r="1835" spans="1:4" x14ac:dyDescent="0.25">
      <c r="A1835" t="s">
        <v>1961</v>
      </c>
      <c r="B1835" t="s">
        <v>1331</v>
      </c>
      <c r="C1835" t="s">
        <v>790</v>
      </c>
      <c r="D1835">
        <v>29.9</v>
      </c>
    </row>
    <row r="1836" spans="1:4" x14ac:dyDescent="0.25">
      <c r="A1836" t="s">
        <v>1900</v>
      </c>
      <c r="B1836" t="s">
        <v>1335</v>
      </c>
      <c r="C1836" t="s">
        <v>790</v>
      </c>
      <c r="D1836">
        <v>12.9</v>
      </c>
    </row>
    <row r="1837" spans="1:4" x14ac:dyDescent="0.25">
      <c r="A1837" t="s">
        <v>1987</v>
      </c>
      <c r="B1837" t="s">
        <v>1331</v>
      </c>
      <c r="C1837" t="s">
        <v>790</v>
      </c>
      <c r="D1837">
        <v>300.07</v>
      </c>
    </row>
    <row r="1838" spans="1:4" x14ac:dyDescent="0.25">
      <c r="A1838" t="s">
        <v>1950</v>
      </c>
      <c r="B1838" t="s">
        <v>1334</v>
      </c>
      <c r="C1838" t="s">
        <v>790</v>
      </c>
      <c r="D1838">
        <v>68.7</v>
      </c>
    </row>
    <row r="1839" spans="1:4" x14ac:dyDescent="0.25">
      <c r="A1839" t="s">
        <v>2042</v>
      </c>
      <c r="B1839" t="s">
        <v>1331</v>
      </c>
      <c r="C1839" t="s">
        <v>790</v>
      </c>
      <c r="D1839">
        <v>14.1</v>
      </c>
    </row>
    <row r="1840" spans="1:4" x14ac:dyDescent="0.25">
      <c r="A1840" t="s">
        <v>1966</v>
      </c>
      <c r="B1840" t="s">
        <v>1331</v>
      </c>
      <c r="C1840" t="s">
        <v>790</v>
      </c>
      <c r="D1840">
        <v>7.7</v>
      </c>
    </row>
    <row r="1841" spans="1:4" x14ac:dyDescent="0.25">
      <c r="A1841" t="s">
        <v>1921</v>
      </c>
      <c r="B1841" t="s">
        <v>1330</v>
      </c>
      <c r="C1841" t="s">
        <v>790</v>
      </c>
      <c r="D1841">
        <v>173.2</v>
      </c>
    </row>
    <row r="1842" spans="1:4" x14ac:dyDescent="0.25">
      <c r="A1842" t="s">
        <v>1950</v>
      </c>
      <c r="B1842" t="s">
        <v>1331</v>
      </c>
      <c r="C1842" t="s">
        <v>790</v>
      </c>
      <c r="D1842">
        <v>8</v>
      </c>
    </row>
    <row r="1843" spans="1:4" x14ac:dyDescent="0.25">
      <c r="A1843" t="s">
        <v>1927</v>
      </c>
      <c r="B1843" t="s">
        <v>1330</v>
      </c>
      <c r="C1843" t="s">
        <v>790</v>
      </c>
      <c r="D1843">
        <v>7.7</v>
      </c>
    </row>
    <row r="1844" spans="1:4" x14ac:dyDescent="0.25">
      <c r="A1844" t="s">
        <v>1929</v>
      </c>
      <c r="B1844" t="s">
        <v>1333</v>
      </c>
      <c r="C1844" t="s">
        <v>790</v>
      </c>
      <c r="D1844">
        <v>28</v>
      </c>
    </row>
    <row r="1845" spans="1:4" x14ac:dyDescent="0.25">
      <c r="A1845" t="s">
        <v>1939</v>
      </c>
      <c r="B1845" t="s">
        <v>1331</v>
      </c>
      <c r="C1845" t="s">
        <v>790</v>
      </c>
      <c r="D1845">
        <v>2</v>
      </c>
    </row>
    <row r="1846" spans="1:4" x14ac:dyDescent="0.25">
      <c r="A1846" t="s">
        <v>1995</v>
      </c>
      <c r="B1846" t="s">
        <v>1330</v>
      </c>
      <c r="C1846" t="s">
        <v>790</v>
      </c>
      <c r="D1846">
        <v>20.399999999999999</v>
      </c>
    </row>
    <row r="1847" spans="1:4" x14ac:dyDescent="0.25">
      <c r="A1847" t="s">
        <v>1929</v>
      </c>
      <c r="B1847" t="s">
        <v>1331</v>
      </c>
      <c r="C1847" t="s">
        <v>790</v>
      </c>
      <c r="D1847">
        <v>1129.55</v>
      </c>
    </row>
    <row r="1848" spans="1:4" x14ac:dyDescent="0.25">
      <c r="A1848" t="s">
        <v>1929</v>
      </c>
      <c r="B1848" t="s">
        <v>1330</v>
      </c>
      <c r="C1848" t="s">
        <v>790</v>
      </c>
      <c r="D1848">
        <v>13</v>
      </c>
    </row>
    <row r="1849" spans="1:4" x14ac:dyDescent="0.25">
      <c r="A1849" t="s">
        <v>1931</v>
      </c>
      <c r="B1849" t="s">
        <v>1335</v>
      </c>
      <c r="C1849" t="s">
        <v>790</v>
      </c>
      <c r="D1849">
        <v>11.55</v>
      </c>
    </row>
    <row r="1850" spans="1:4" x14ac:dyDescent="0.25">
      <c r="A1850" t="s">
        <v>1921</v>
      </c>
      <c r="B1850" t="s">
        <v>1330</v>
      </c>
      <c r="C1850" t="s">
        <v>793</v>
      </c>
      <c r="D1850">
        <v>107.1</v>
      </c>
    </row>
    <row r="1851" spans="1:4" x14ac:dyDescent="0.25">
      <c r="A1851" t="s">
        <v>1950</v>
      </c>
      <c r="B1851" t="s">
        <v>1334</v>
      </c>
      <c r="C1851" t="s">
        <v>793</v>
      </c>
      <c r="D1851">
        <v>18.7</v>
      </c>
    </row>
    <row r="1852" spans="1:4" x14ac:dyDescent="0.25">
      <c r="A1852" t="s">
        <v>1931</v>
      </c>
      <c r="B1852" t="s">
        <v>1335</v>
      </c>
      <c r="C1852" t="s">
        <v>793</v>
      </c>
      <c r="D1852">
        <v>3.85</v>
      </c>
    </row>
    <row r="1853" spans="1:4" x14ac:dyDescent="0.25">
      <c r="A1853" t="s">
        <v>1953</v>
      </c>
      <c r="B1853" t="s">
        <v>1335</v>
      </c>
      <c r="C1853" t="s">
        <v>793</v>
      </c>
      <c r="D1853">
        <v>327.9</v>
      </c>
    </row>
    <row r="1854" spans="1:4" x14ac:dyDescent="0.25">
      <c r="A1854" t="s">
        <v>1950</v>
      </c>
      <c r="B1854" t="s">
        <v>1331</v>
      </c>
      <c r="C1854" t="s">
        <v>793</v>
      </c>
      <c r="D1854">
        <v>10.1</v>
      </c>
    </row>
    <row r="1855" spans="1:4" x14ac:dyDescent="0.25">
      <c r="A1855" t="s">
        <v>2029</v>
      </c>
      <c r="B1855" t="s">
        <v>1334</v>
      </c>
      <c r="C1855" t="s">
        <v>1342</v>
      </c>
      <c r="D1855">
        <v>3.85</v>
      </c>
    </row>
    <row r="1856" spans="1:4" x14ac:dyDescent="0.25">
      <c r="A1856" t="s">
        <v>1962</v>
      </c>
      <c r="B1856" t="s">
        <v>1331</v>
      </c>
      <c r="C1856" t="s">
        <v>1342</v>
      </c>
      <c r="D1856">
        <v>649.45000000000005</v>
      </c>
    </row>
    <row r="1857" spans="1:4" x14ac:dyDescent="0.25">
      <c r="A1857" t="s">
        <v>1971</v>
      </c>
      <c r="B1857" t="s">
        <v>1330</v>
      </c>
      <c r="C1857" t="s">
        <v>1342</v>
      </c>
      <c r="D1857">
        <v>6.7</v>
      </c>
    </row>
    <row r="1858" spans="1:4" x14ac:dyDescent="0.25">
      <c r="A1858" t="s">
        <v>1967</v>
      </c>
      <c r="B1858" t="s">
        <v>1331</v>
      </c>
      <c r="C1858" t="s">
        <v>1342</v>
      </c>
      <c r="D1858">
        <v>36.5</v>
      </c>
    </row>
    <row r="1859" spans="1:4" x14ac:dyDescent="0.25">
      <c r="A1859" t="s">
        <v>1983</v>
      </c>
      <c r="B1859" t="s">
        <v>1335</v>
      </c>
      <c r="C1859" t="s">
        <v>1342</v>
      </c>
      <c r="D1859">
        <v>46.6</v>
      </c>
    </row>
    <row r="1860" spans="1:4" x14ac:dyDescent="0.25">
      <c r="A1860" t="s">
        <v>1965</v>
      </c>
      <c r="B1860" t="s">
        <v>1331</v>
      </c>
      <c r="C1860" t="s">
        <v>1342</v>
      </c>
      <c r="D1860">
        <v>42.5</v>
      </c>
    </row>
    <row r="1861" spans="1:4" x14ac:dyDescent="0.25">
      <c r="A1861" t="s">
        <v>2023</v>
      </c>
      <c r="B1861" t="s">
        <v>1331</v>
      </c>
      <c r="C1861" t="s">
        <v>1342</v>
      </c>
      <c r="D1861">
        <v>310.3</v>
      </c>
    </row>
    <row r="1862" spans="1:4" x14ac:dyDescent="0.25">
      <c r="A1862" t="s">
        <v>1931</v>
      </c>
      <c r="B1862" t="s">
        <v>1335</v>
      </c>
      <c r="C1862" t="s">
        <v>1342</v>
      </c>
      <c r="D1862">
        <v>48.2</v>
      </c>
    </row>
    <row r="1863" spans="1:4" x14ac:dyDescent="0.25">
      <c r="A1863" t="s">
        <v>1902</v>
      </c>
      <c r="B1863" t="s">
        <v>1335</v>
      </c>
      <c r="C1863" t="s">
        <v>1342</v>
      </c>
      <c r="D1863">
        <v>34.5</v>
      </c>
    </row>
    <row r="1864" spans="1:4" x14ac:dyDescent="0.25">
      <c r="A1864" t="s">
        <v>2028</v>
      </c>
      <c r="B1864" t="s">
        <v>1334</v>
      </c>
      <c r="C1864" t="s">
        <v>1342</v>
      </c>
      <c r="D1864">
        <v>1133.8</v>
      </c>
    </row>
    <row r="1865" spans="1:4" x14ac:dyDescent="0.25">
      <c r="A1865" t="s">
        <v>2004</v>
      </c>
      <c r="B1865" t="s">
        <v>1330</v>
      </c>
      <c r="C1865" t="s">
        <v>1342</v>
      </c>
      <c r="D1865">
        <v>26.8</v>
      </c>
    </row>
    <row r="1866" spans="1:4" x14ac:dyDescent="0.25">
      <c r="A1866" t="s">
        <v>2027</v>
      </c>
      <c r="B1866" t="s">
        <v>1331</v>
      </c>
      <c r="C1866" t="s">
        <v>1342</v>
      </c>
      <c r="D1866">
        <v>101.25</v>
      </c>
    </row>
    <row r="1867" spans="1:4" x14ac:dyDescent="0.25">
      <c r="A1867" t="s">
        <v>1968</v>
      </c>
      <c r="B1867" t="s">
        <v>1331</v>
      </c>
      <c r="C1867" t="s">
        <v>1342</v>
      </c>
      <c r="D1867">
        <v>1746.95</v>
      </c>
    </row>
    <row r="1868" spans="1:4" x14ac:dyDescent="0.25">
      <c r="A1868" t="s">
        <v>1963</v>
      </c>
      <c r="B1868" t="s">
        <v>1330</v>
      </c>
      <c r="C1868" t="s">
        <v>1342</v>
      </c>
      <c r="D1868">
        <v>48.2</v>
      </c>
    </row>
    <row r="1869" spans="1:4" x14ac:dyDescent="0.25">
      <c r="A1869" t="s">
        <v>2027</v>
      </c>
      <c r="B1869" t="s">
        <v>1335</v>
      </c>
      <c r="C1869" t="s">
        <v>1342</v>
      </c>
      <c r="D1869">
        <v>27.8</v>
      </c>
    </row>
    <row r="1870" spans="1:4" x14ac:dyDescent="0.25">
      <c r="A1870" t="s">
        <v>2021</v>
      </c>
      <c r="B1870" t="s">
        <v>1334</v>
      </c>
      <c r="C1870" t="s">
        <v>1342</v>
      </c>
      <c r="D1870">
        <v>64.150000000000006</v>
      </c>
    </row>
    <row r="1871" spans="1:4" x14ac:dyDescent="0.25">
      <c r="A1871" t="s">
        <v>2023</v>
      </c>
      <c r="B1871" t="s">
        <v>1330</v>
      </c>
      <c r="C1871" t="s">
        <v>1342</v>
      </c>
      <c r="D1871">
        <v>449.25</v>
      </c>
    </row>
    <row r="1872" spans="1:4" x14ac:dyDescent="0.25">
      <c r="A1872" t="s">
        <v>1961</v>
      </c>
      <c r="B1872" t="s">
        <v>1331</v>
      </c>
      <c r="C1872" t="s">
        <v>1342</v>
      </c>
      <c r="D1872">
        <v>1884.75</v>
      </c>
    </row>
    <row r="1873" spans="1:4" x14ac:dyDescent="0.25">
      <c r="A1873" t="s">
        <v>1963</v>
      </c>
      <c r="B1873" t="s">
        <v>1331</v>
      </c>
      <c r="C1873" t="s">
        <v>1342</v>
      </c>
      <c r="D1873">
        <v>1293.3</v>
      </c>
    </row>
    <row r="1874" spans="1:4" x14ac:dyDescent="0.25">
      <c r="A1874" t="s">
        <v>2022</v>
      </c>
      <c r="B1874" t="s">
        <v>1334</v>
      </c>
      <c r="C1874" t="s">
        <v>1342</v>
      </c>
      <c r="D1874">
        <v>227</v>
      </c>
    </row>
    <row r="1875" spans="1:4" x14ac:dyDescent="0.25">
      <c r="A1875" t="s">
        <v>2027</v>
      </c>
      <c r="B1875" t="s">
        <v>1334</v>
      </c>
      <c r="C1875" t="s">
        <v>1342</v>
      </c>
      <c r="D1875">
        <v>3146.5</v>
      </c>
    </row>
    <row r="1876" spans="1:4" x14ac:dyDescent="0.25">
      <c r="A1876" t="s">
        <v>1961</v>
      </c>
      <c r="B1876" t="s">
        <v>1333</v>
      </c>
      <c r="C1876" t="s">
        <v>1342</v>
      </c>
      <c r="D1876">
        <v>1.5</v>
      </c>
    </row>
    <row r="1877" spans="1:4" x14ac:dyDescent="0.25">
      <c r="A1877" t="s">
        <v>2025</v>
      </c>
      <c r="B1877" t="s">
        <v>1334</v>
      </c>
      <c r="C1877" t="s">
        <v>1342</v>
      </c>
      <c r="D1877">
        <v>831.1</v>
      </c>
    </row>
    <row r="1878" spans="1:4" x14ac:dyDescent="0.25">
      <c r="A1878" t="s">
        <v>1961</v>
      </c>
      <c r="B1878" t="s">
        <v>1334</v>
      </c>
      <c r="C1878" t="s">
        <v>1342</v>
      </c>
      <c r="D1878">
        <v>54.6</v>
      </c>
    </row>
    <row r="1879" spans="1:4" x14ac:dyDescent="0.25">
      <c r="A1879" t="s">
        <v>2020</v>
      </c>
      <c r="B1879" t="s">
        <v>1333</v>
      </c>
      <c r="C1879" t="s">
        <v>1342</v>
      </c>
      <c r="D1879">
        <v>4</v>
      </c>
    </row>
    <row r="1880" spans="1:4" x14ac:dyDescent="0.25">
      <c r="A1880" t="s">
        <v>2020</v>
      </c>
      <c r="B1880" t="s">
        <v>1334</v>
      </c>
      <c r="C1880" t="s">
        <v>1342</v>
      </c>
      <c r="D1880">
        <v>866.35</v>
      </c>
    </row>
    <row r="1881" spans="1:4" x14ac:dyDescent="0.25">
      <c r="A1881" t="s">
        <v>2036</v>
      </c>
      <c r="B1881" t="s">
        <v>1331</v>
      </c>
      <c r="C1881" t="s">
        <v>1342</v>
      </c>
      <c r="D1881">
        <v>24.2</v>
      </c>
    </row>
    <row r="1882" spans="1:4" x14ac:dyDescent="0.25">
      <c r="A1882" t="s">
        <v>1913</v>
      </c>
      <c r="B1882" t="s">
        <v>1335</v>
      </c>
      <c r="C1882" t="s">
        <v>1342</v>
      </c>
      <c r="D1882">
        <v>11.55</v>
      </c>
    </row>
    <row r="1883" spans="1:4" x14ac:dyDescent="0.25">
      <c r="A1883" t="s">
        <v>1973</v>
      </c>
      <c r="B1883" t="s">
        <v>1331</v>
      </c>
      <c r="C1883" t="s">
        <v>1342</v>
      </c>
      <c r="D1883">
        <v>20.100000000000001</v>
      </c>
    </row>
    <row r="1884" spans="1:4" x14ac:dyDescent="0.25">
      <c r="A1884" t="s">
        <v>2004</v>
      </c>
      <c r="B1884" t="s">
        <v>1331</v>
      </c>
      <c r="C1884" t="s">
        <v>1342</v>
      </c>
      <c r="D1884">
        <v>2153.6</v>
      </c>
    </row>
    <row r="1885" spans="1:4" x14ac:dyDescent="0.25">
      <c r="A1885" t="s">
        <v>1923</v>
      </c>
      <c r="B1885" t="s">
        <v>1331</v>
      </c>
      <c r="C1885" t="s">
        <v>1342</v>
      </c>
      <c r="D1885">
        <v>43.2</v>
      </c>
    </row>
    <row r="1886" spans="1:4" x14ac:dyDescent="0.25">
      <c r="A1886" t="s">
        <v>1963</v>
      </c>
      <c r="B1886" t="s">
        <v>1333</v>
      </c>
      <c r="C1886" t="s">
        <v>1342</v>
      </c>
      <c r="D1886">
        <v>7.7</v>
      </c>
    </row>
    <row r="1887" spans="1:4" x14ac:dyDescent="0.25">
      <c r="A1887" t="s">
        <v>1984</v>
      </c>
      <c r="B1887" t="s">
        <v>1331</v>
      </c>
      <c r="C1887" t="s">
        <v>1342</v>
      </c>
      <c r="D1887">
        <v>46.5</v>
      </c>
    </row>
    <row r="1888" spans="1:4" x14ac:dyDescent="0.25">
      <c r="A1888" t="s">
        <v>1920</v>
      </c>
      <c r="B1888" t="s">
        <v>1331</v>
      </c>
      <c r="C1888" t="s">
        <v>796</v>
      </c>
      <c r="D1888">
        <v>89.5</v>
      </c>
    </row>
    <row r="1889" spans="1:4" x14ac:dyDescent="0.25">
      <c r="A1889" t="s">
        <v>1939</v>
      </c>
      <c r="B1889" t="s">
        <v>1331</v>
      </c>
      <c r="C1889" t="s">
        <v>796</v>
      </c>
      <c r="D1889">
        <v>433.25</v>
      </c>
    </row>
    <row r="1890" spans="1:4" x14ac:dyDescent="0.25">
      <c r="A1890" t="s">
        <v>1950</v>
      </c>
      <c r="B1890" t="s">
        <v>1334</v>
      </c>
      <c r="C1890" t="s">
        <v>796</v>
      </c>
      <c r="D1890">
        <v>130.9</v>
      </c>
    </row>
    <row r="1891" spans="1:4" x14ac:dyDescent="0.25">
      <c r="A1891" t="s">
        <v>1923</v>
      </c>
      <c r="B1891" t="s">
        <v>1331</v>
      </c>
      <c r="C1891" t="s">
        <v>796</v>
      </c>
      <c r="D1891">
        <v>46.2</v>
      </c>
    </row>
    <row r="1892" spans="1:4" x14ac:dyDescent="0.25">
      <c r="A1892" t="s">
        <v>1982</v>
      </c>
      <c r="B1892" t="s">
        <v>1334</v>
      </c>
      <c r="C1892" t="s">
        <v>796</v>
      </c>
      <c r="D1892">
        <v>486.2</v>
      </c>
    </row>
    <row r="1893" spans="1:4" x14ac:dyDescent="0.25">
      <c r="A1893" t="s">
        <v>1901</v>
      </c>
      <c r="B1893" t="s">
        <v>1331</v>
      </c>
      <c r="C1893" t="s">
        <v>796</v>
      </c>
      <c r="D1893">
        <v>23.1</v>
      </c>
    </row>
    <row r="1894" spans="1:4" x14ac:dyDescent="0.25">
      <c r="A1894" t="s">
        <v>1927</v>
      </c>
      <c r="B1894" t="s">
        <v>1331</v>
      </c>
      <c r="C1894" t="s">
        <v>796</v>
      </c>
      <c r="D1894">
        <v>13.4</v>
      </c>
    </row>
    <row r="1895" spans="1:4" x14ac:dyDescent="0.25">
      <c r="A1895" t="s">
        <v>1945</v>
      </c>
      <c r="B1895" t="s">
        <v>1331</v>
      </c>
      <c r="C1895" t="s">
        <v>796</v>
      </c>
      <c r="D1895">
        <v>7</v>
      </c>
    </row>
    <row r="1896" spans="1:4" x14ac:dyDescent="0.25">
      <c r="A1896" t="s">
        <v>1995</v>
      </c>
      <c r="B1896" t="s">
        <v>1330</v>
      </c>
      <c r="C1896" t="s">
        <v>796</v>
      </c>
      <c r="D1896">
        <v>3</v>
      </c>
    </row>
    <row r="1897" spans="1:4" x14ac:dyDescent="0.25">
      <c r="A1897" t="s">
        <v>1921</v>
      </c>
      <c r="B1897" t="s">
        <v>1330</v>
      </c>
      <c r="C1897" t="s">
        <v>796</v>
      </c>
      <c r="D1897">
        <v>57.6</v>
      </c>
    </row>
    <row r="1898" spans="1:4" x14ac:dyDescent="0.25">
      <c r="A1898" t="s">
        <v>1927</v>
      </c>
      <c r="B1898" t="s">
        <v>1330</v>
      </c>
      <c r="C1898" t="s">
        <v>796</v>
      </c>
      <c r="D1898">
        <v>7.7</v>
      </c>
    </row>
    <row r="1899" spans="1:4" x14ac:dyDescent="0.25">
      <c r="A1899" t="s">
        <v>1963</v>
      </c>
      <c r="B1899" t="s">
        <v>1331</v>
      </c>
      <c r="C1899" t="s">
        <v>802</v>
      </c>
      <c r="D1899">
        <v>93.4</v>
      </c>
    </row>
    <row r="1900" spans="1:4" x14ac:dyDescent="0.25">
      <c r="A1900" t="s">
        <v>1962</v>
      </c>
      <c r="B1900" t="s">
        <v>1331</v>
      </c>
      <c r="C1900" t="s">
        <v>802</v>
      </c>
      <c r="D1900">
        <v>3</v>
      </c>
    </row>
    <row r="1901" spans="1:4" x14ac:dyDescent="0.25">
      <c r="A1901" t="s">
        <v>1980</v>
      </c>
      <c r="B1901" t="s">
        <v>1331</v>
      </c>
      <c r="C1901" t="s">
        <v>802</v>
      </c>
      <c r="D1901">
        <v>1</v>
      </c>
    </row>
    <row r="1902" spans="1:4" x14ac:dyDescent="0.25">
      <c r="A1902" t="s">
        <v>1913</v>
      </c>
      <c r="B1902" t="s">
        <v>1335</v>
      </c>
      <c r="C1902" t="s">
        <v>802</v>
      </c>
      <c r="D1902">
        <v>5.35</v>
      </c>
    </row>
    <row r="1903" spans="1:4" x14ac:dyDescent="0.25">
      <c r="A1903" t="s">
        <v>1900</v>
      </c>
      <c r="B1903" t="s">
        <v>1335</v>
      </c>
      <c r="C1903" t="s">
        <v>802</v>
      </c>
      <c r="D1903">
        <v>2.5</v>
      </c>
    </row>
    <row r="1904" spans="1:4" x14ac:dyDescent="0.25">
      <c r="A1904" t="s">
        <v>1950</v>
      </c>
      <c r="B1904" t="s">
        <v>1334</v>
      </c>
      <c r="C1904" t="s">
        <v>802</v>
      </c>
      <c r="D1904">
        <v>208.1</v>
      </c>
    </row>
    <row r="1905" spans="1:4" x14ac:dyDescent="0.25">
      <c r="A1905" t="s">
        <v>1966</v>
      </c>
      <c r="B1905" t="s">
        <v>1331</v>
      </c>
      <c r="C1905" t="s">
        <v>802</v>
      </c>
      <c r="D1905">
        <v>98.1</v>
      </c>
    </row>
    <row r="1906" spans="1:4" x14ac:dyDescent="0.25">
      <c r="A1906" t="s">
        <v>1902</v>
      </c>
      <c r="B1906" t="s">
        <v>1335</v>
      </c>
      <c r="C1906" t="s">
        <v>802</v>
      </c>
      <c r="D1906">
        <v>9.6999999999999993</v>
      </c>
    </row>
    <row r="1907" spans="1:4" x14ac:dyDescent="0.25">
      <c r="A1907" t="s">
        <v>2004</v>
      </c>
      <c r="B1907" t="s">
        <v>1331</v>
      </c>
      <c r="C1907" t="s">
        <v>802</v>
      </c>
      <c r="D1907">
        <v>511.9</v>
      </c>
    </row>
    <row r="1908" spans="1:4" x14ac:dyDescent="0.25">
      <c r="A1908" t="s">
        <v>1920</v>
      </c>
      <c r="B1908" t="s">
        <v>1331</v>
      </c>
      <c r="C1908" t="s">
        <v>802</v>
      </c>
      <c r="D1908">
        <v>323.2</v>
      </c>
    </row>
    <row r="1909" spans="1:4" x14ac:dyDescent="0.25">
      <c r="A1909" t="s">
        <v>1935</v>
      </c>
      <c r="B1909" t="s">
        <v>1331</v>
      </c>
      <c r="C1909" t="s">
        <v>802</v>
      </c>
      <c r="D1909">
        <v>42.5</v>
      </c>
    </row>
    <row r="1910" spans="1:4" x14ac:dyDescent="0.25">
      <c r="A1910" t="s">
        <v>1982</v>
      </c>
      <c r="B1910" t="s">
        <v>1334</v>
      </c>
      <c r="C1910" t="s">
        <v>802</v>
      </c>
      <c r="D1910">
        <v>4.4000000000000004</v>
      </c>
    </row>
    <row r="1911" spans="1:4" x14ac:dyDescent="0.25">
      <c r="A1911" t="s">
        <v>1965</v>
      </c>
      <c r="B1911" t="s">
        <v>1331</v>
      </c>
      <c r="C1911" t="s">
        <v>802</v>
      </c>
      <c r="D1911">
        <v>704.95</v>
      </c>
    </row>
    <row r="1912" spans="1:4" x14ac:dyDescent="0.25">
      <c r="A1912" t="s">
        <v>1927</v>
      </c>
      <c r="B1912" t="s">
        <v>1331</v>
      </c>
      <c r="C1912" t="s">
        <v>802</v>
      </c>
      <c r="D1912">
        <v>2</v>
      </c>
    </row>
    <row r="1913" spans="1:4" x14ac:dyDescent="0.25">
      <c r="A1913" t="s">
        <v>1945</v>
      </c>
      <c r="B1913" t="s">
        <v>1331</v>
      </c>
      <c r="C1913" t="s">
        <v>802</v>
      </c>
      <c r="D1913">
        <v>2</v>
      </c>
    </row>
    <row r="1914" spans="1:4" x14ac:dyDescent="0.25">
      <c r="A1914" t="s">
        <v>1995</v>
      </c>
      <c r="B1914" t="s">
        <v>1330</v>
      </c>
      <c r="C1914" t="s">
        <v>802</v>
      </c>
      <c r="D1914">
        <v>9.5</v>
      </c>
    </row>
    <row r="1915" spans="1:4" x14ac:dyDescent="0.25">
      <c r="A1915" t="s">
        <v>1921</v>
      </c>
      <c r="B1915" t="s">
        <v>1330</v>
      </c>
      <c r="C1915" t="s">
        <v>802</v>
      </c>
      <c r="D1915">
        <v>101.8</v>
      </c>
    </row>
    <row r="1916" spans="1:4" x14ac:dyDescent="0.25">
      <c r="A1916" t="s">
        <v>1965</v>
      </c>
      <c r="B1916" t="s">
        <v>1333</v>
      </c>
      <c r="C1916" t="s">
        <v>802</v>
      </c>
      <c r="D1916">
        <v>138.9</v>
      </c>
    </row>
    <row r="1917" spans="1:4" x14ac:dyDescent="0.25">
      <c r="A1917" t="s">
        <v>1901</v>
      </c>
      <c r="B1917" t="s">
        <v>1331</v>
      </c>
      <c r="C1917" t="s">
        <v>802</v>
      </c>
      <c r="D1917">
        <v>257.2</v>
      </c>
    </row>
    <row r="1918" spans="1:4" x14ac:dyDescent="0.25">
      <c r="A1918" t="s">
        <v>2016</v>
      </c>
      <c r="B1918" t="s">
        <v>1331</v>
      </c>
      <c r="C1918" t="s">
        <v>802</v>
      </c>
      <c r="D1918">
        <v>5.32</v>
      </c>
    </row>
    <row r="1919" spans="1:4" x14ac:dyDescent="0.25">
      <c r="A1919" t="s">
        <v>1968</v>
      </c>
      <c r="B1919" t="s">
        <v>1331</v>
      </c>
      <c r="C1919" t="s">
        <v>802</v>
      </c>
      <c r="D1919">
        <v>9</v>
      </c>
    </row>
    <row r="1920" spans="1:4" x14ac:dyDescent="0.25">
      <c r="A1920" t="s">
        <v>1913</v>
      </c>
      <c r="B1920" t="s">
        <v>1335</v>
      </c>
      <c r="C1920" t="s">
        <v>807</v>
      </c>
      <c r="D1920">
        <v>3.85</v>
      </c>
    </row>
    <row r="1921" spans="1:4" x14ac:dyDescent="0.25">
      <c r="A1921" t="s">
        <v>2024</v>
      </c>
      <c r="B1921" t="s">
        <v>1334</v>
      </c>
      <c r="C1921" t="s">
        <v>807</v>
      </c>
      <c r="D1921">
        <v>38.1</v>
      </c>
    </row>
    <row r="1922" spans="1:4" x14ac:dyDescent="0.25">
      <c r="A1922" t="s">
        <v>2028</v>
      </c>
      <c r="B1922" t="s">
        <v>1334</v>
      </c>
      <c r="C1922" t="s">
        <v>807</v>
      </c>
      <c r="D1922">
        <v>376.05</v>
      </c>
    </row>
    <row r="1923" spans="1:4" x14ac:dyDescent="0.25">
      <c r="A1923" t="s">
        <v>2019</v>
      </c>
      <c r="B1923" t="s">
        <v>1331</v>
      </c>
      <c r="C1923" t="s">
        <v>807</v>
      </c>
      <c r="D1923">
        <v>3</v>
      </c>
    </row>
    <row r="1924" spans="1:4" x14ac:dyDescent="0.25">
      <c r="A1924" t="s">
        <v>1962</v>
      </c>
      <c r="B1924" t="s">
        <v>1331</v>
      </c>
      <c r="C1924" t="s">
        <v>807</v>
      </c>
      <c r="D1924">
        <v>922.8</v>
      </c>
    </row>
    <row r="1925" spans="1:4" x14ac:dyDescent="0.25">
      <c r="A1925" t="s">
        <v>1976</v>
      </c>
      <c r="B1925" t="s">
        <v>1331</v>
      </c>
      <c r="C1925" t="s">
        <v>807</v>
      </c>
      <c r="D1925">
        <v>3.85</v>
      </c>
    </row>
    <row r="1926" spans="1:4" x14ac:dyDescent="0.25">
      <c r="A1926" t="s">
        <v>2025</v>
      </c>
      <c r="B1926" t="s">
        <v>1334</v>
      </c>
      <c r="C1926" t="s">
        <v>807</v>
      </c>
      <c r="D1926">
        <v>3.85</v>
      </c>
    </row>
    <row r="1927" spans="1:4" x14ac:dyDescent="0.25">
      <c r="A1927" t="s">
        <v>1958</v>
      </c>
      <c r="B1927" t="s">
        <v>1335</v>
      </c>
      <c r="C1927" t="s">
        <v>807</v>
      </c>
      <c r="D1927">
        <v>4.7</v>
      </c>
    </row>
    <row r="1928" spans="1:4" x14ac:dyDescent="0.25">
      <c r="A1928" t="s">
        <v>1995</v>
      </c>
      <c r="B1928" t="s">
        <v>1330</v>
      </c>
      <c r="C1928" t="s">
        <v>807</v>
      </c>
      <c r="D1928">
        <v>675.7</v>
      </c>
    </row>
    <row r="1929" spans="1:4" x14ac:dyDescent="0.25">
      <c r="A1929" t="s">
        <v>1929</v>
      </c>
      <c r="B1929" t="s">
        <v>1331</v>
      </c>
      <c r="C1929" t="s">
        <v>807</v>
      </c>
      <c r="D1929">
        <v>7</v>
      </c>
    </row>
    <row r="1930" spans="1:4" x14ac:dyDescent="0.25">
      <c r="A1930" t="s">
        <v>1921</v>
      </c>
      <c r="B1930" t="s">
        <v>1330</v>
      </c>
      <c r="C1930" t="s">
        <v>807</v>
      </c>
      <c r="D1930">
        <v>121.9</v>
      </c>
    </row>
    <row r="1931" spans="1:4" x14ac:dyDescent="0.25">
      <c r="A1931" t="s">
        <v>2043</v>
      </c>
      <c r="B1931" t="s">
        <v>1334</v>
      </c>
      <c r="C1931" t="s">
        <v>807</v>
      </c>
      <c r="D1931">
        <v>12.7</v>
      </c>
    </row>
    <row r="1932" spans="1:4" x14ac:dyDescent="0.25">
      <c r="A1932" t="s">
        <v>2019</v>
      </c>
      <c r="B1932" t="s">
        <v>1334</v>
      </c>
      <c r="C1932" t="s">
        <v>807</v>
      </c>
      <c r="D1932">
        <v>974.45</v>
      </c>
    </row>
    <row r="1933" spans="1:4" x14ac:dyDescent="0.25">
      <c r="A1933" t="s">
        <v>1972</v>
      </c>
      <c r="B1933" t="s">
        <v>1334</v>
      </c>
      <c r="C1933" t="s">
        <v>807</v>
      </c>
      <c r="D1933">
        <v>1750.75</v>
      </c>
    </row>
    <row r="1934" spans="1:4" x14ac:dyDescent="0.25">
      <c r="A1934" t="s">
        <v>1950</v>
      </c>
      <c r="B1934" t="s">
        <v>1334</v>
      </c>
      <c r="C1934" t="s">
        <v>807</v>
      </c>
      <c r="D1934">
        <v>29.6</v>
      </c>
    </row>
    <row r="1935" spans="1:4" x14ac:dyDescent="0.25">
      <c r="A1935" t="s">
        <v>2026</v>
      </c>
      <c r="B1935" t="s">
        <v>1334</v>
      </c>
      <c r="C1935" t="s">
        <v>807</v>
      </c>
      <c r="D1935">
        <v>47.3</v>
      </c>
    </row>
    <row r="1936" spans="1:4" x14ac:dyDescent="0.25">
      <c r="A1936" t="s">
        <v>2019</v>
      </c>
      <c r="B1936" t="s">
        <v>1335</v>
      </c>
      <c r="C1936" t="s">
        <v>807</v>
      </c>
      <c r="D1936">
        <v>18.399999999999999</v>
      </c>
    </row>
    <row r="1937" spans="1:4" x14ac:dyDescent="0.25">
      <c r="A1937" t="s">
        <v>1920</v>
      </c>
      <c r="B1937" t="s">
        <v>1331</v>
      </c>
      <c r="C1937" t="s">
        <v>807</v>
      </c>
      <c r="D1937">
        <v>6.5</v>
      </c>
    </row>
    <row r="1938" spans="1:4" x14ac:dyDescent="0.25">
      <c r="A1938" t="s">
        <v>1927</v>
      </c>
      <c r="B1938" t="s">
        <v>1331</v>
      </c>
      <c r="C1938" t="s">
        <v>807</v>
      </c>
      <c r="D1938">
        <v>735.8</v>
      </c>
    </row>
    <row r="1939" spans="1:4" x14ac:dyDescent="0.25">
      <c r="A1939" t="s">
        <v>2022</v>
      </c>
      <c r="B1939" t="s">
        <v>1334</v>
      </c>
      <c r="C1939" t="s">
        <v>807</v>
      </c>
      <c r="D1939">
        <v>254.1</v>
      </c>
    </row>
    <row r="1940" spans="1:4" x14ac:dyDescent="0.25">
      <c r="A1940" t="s">
        <v>1931</v>
      </c>
      <c r="B1940" t="s">
        <v>1335</v>
      </c>
      <c r="C1940" t="s">
        <v>807</v>
      </c>
      <c r="D1940">
        <v>7.7</v>
      </c>
    </row>
    <row r="1941" spans="1:4" x14ac:dyDescent="0.25">
      <c r="A1941" t="s">
        <v>1995</v>
      </c>
      <c r="B1941" t="s">
        <v>1331</v>
      </c>
      <c r="C1941" t="s">
        <v>807</v>
      </c>
      <c r="D1941">
        <v>2.7</v>
      </c>
    </row>
    <row r="1942" spans="1:4" x14ac:dyDescent="0.25">
      <c r="A1942" t="s">
        <v>1966</v>
      </c>
      <c r="B1942" t="s">
        <v>1331</v>
      </c>
      <c r="C1942" t="s">
        <v>807</v>
      </c>
      <c r="D1942">
        <v>3.85</v>
      </c>
    </row>
    <row r="1943" spans="1:4" x14ac:dyDescent="0.25">
      <c r="A1943" t="s">
        <v>2027</v>
      </c>
      <c r="B1943" t="s">
        <v>1334</v>
      </c>
      <c r="C1943" t="s">
        <v>807</v>
      </c>
      <c r="D1943">
        <v>5.7</v>
      </c>
    </row>
    <row r="1944" spans="1:4" x14ac:dyDescent="0.25">
      <c r="A1944" t="s">
        <v>1902</v>
      </c>
      <c r="B1944" t="s">
        <v>1335</v>
      </c>
      <c r="C1944" t="s">
        <v>807</v>
      </c>
      <c r="D1944">
        <v>83.25</v>
      </c>
    </row>
    <row r="1945" spans="1:4" x14ac:dyDescent="0.25">
      <c r="A1945" t="s">
        <v>1995</v>
      </c>
      <c r="B1945" t="s">
        <v>1334</v>
      </c>
      <c r="C1945" t="s">
        <v>807</v>
      </c>
      <c r="D1945">
        <v>2</v>
      </c>
    </row>
    <row r="1946" spans="1:4" x14ac:dyDescent="0.25">
      <c r="A1946" t="s">
        <v>1902</v>
      </c>
      <c r="B1946" t="s">
        <v>1335</v>
      </c>
      <c r="C1946" t="s">
        <v>812</v>
      </c>
      <c r="D1946">
        <v>15.25</v>
      </c>
    </row>
    <row r="1947" spans="1:4" x14ac:dyDescent="0.25">
      <c r="A1947" t="s">
        <v>1978</v>
      </c>
      <c r="B1947" t="s">
        <v>1335</v>
      </c>
      <c r="C1947" t="s">
        <v>812</v>
      </c>
      <c r="D1947">
        <v>6.5</v>
      </c>
    </row>
    <row r="1948" spans="1:4" x14ac:dyDescent="0.25">
      <c r="A1948" t="s">
        <v>2044</v>
      </c>
      <c r="B1948" t="s">
        <v>1331</v>
      </c>
      <c r="C1948" t="s">
        <v>812</v>
      </c>
      <c r="D1948">
        <v>2.7</v>
      </c>
    </row>
    <row r="1949" spans="1:4" x14ac:dyDescent="0.25">
      <c r="A1949" t="s">
        <v>1995</v>
      </c>
      <c r="B1949" t="s">
        <v>1330</v>
      </c>
      <c r="C1949" t="s">
        <v>812</v>
      </c>
      <c r="D1949">
        <v>18.5</v>
      </c>
    </row>
    <row r="1950" spans="1:4" x14ac:dyDescent="0.25">
      <c r="A1950" t="s">
        <v>1953</v>
      </c>
      <c r="B1950" t="s">
        <v>1335</v>
      </c>
      <c r="C1950" t="s">
        <v>812</v>
      </c>
      <c r="D1950">
        <v>225.85</v>
      </c>
    </row>
    <row r="1951" spans="1:4" x14ac:dyDescent="0.25">
      <c r="A1951" t="s">
        <v>1931</v>
      </c>
      <c r="B1951" t="s">
        <v>1335</v>
      </c>
      <c r="C1951" t="s">
        <v>812</v>
      </c>
      <c r="D1951">
        <v>15.4</v>
      </c>
    </row>
    <row r="1952" spans="1:4" x14ac:dyDescent="0.25">
      <c r="A1952" t="s">
        <v>1920</v>
      </c>
      <c r="B1952" t="s">
        <v>1331</v>
      </c>
      <c r="C1952" t="s">
        <v>812</v>
      </c>
      <c r="D1952">
        <v>0.5</v>
      </c>
    </row>
    <row r="1953" spans="1:4" x14ac:dyDescent="0.25">
      <c r="A1953" t="s">
        <v>1916</v>
      </c>
      <c r="B1953" t="s">
        <v>1335</v>
      </c>
      <c r="C1953" t="s">
        <v>812</v>
      </c>
      <c r="D1953">
        <v>264.89999999999998</v>
      </c>
    </row>
    <row r="1954" spans="1:4" x14ac:dyDescent="0.25">
      <c r="A1954" t="s">
        <v>1982</v>
      </c>
      <c r="B1954" t="s">
        <v>1334</v>
      </c>
      <c r="C1954" t="s">
        <v>812</v>
      </c>
      <c r="D1954">
        <v>22</v>
      </c>
    </row>
    <row r="1955" spans="1:4" x14ac:dyDescent="0.25">
      <c r="A1955" t="s">
        <v>1980</v>
      </c>
      <c r="B1955" t="s">
        <v>1331</v>
      </c>
      <c r="C1955" t="s">
        <v>812</v>
      </c>
      <c r="D1955">
        <v>2</v>
      </c>
    </row>
    <row r="1956" spans="1:4" x14ac:dyDescent="0.25">
      <c r="A1956" t="s">
        <v>2033</v>
      </c>
      <c r="B1956" t="s">
        <v>1334</v>
      </c>
      <c r="C1956" t="s">
        <v>812</v>
      </c>
      <c r="D1956">
        <v>15.4</v>
      </c>
    </row>
    <row r="1957" spans="1:4" x14ac:dyDescent="0.25">
      <c r="A1957" t="s">
        <v>1950</v>
      </c>
      <c r="B1957" t="s">
        <v>1334</v>
      </c>
      <c r="C1957" t="s">
        <v>812</v>
      </c>
      <c r="D1957">
        <v>9.6999999999999993</v>
      </c>
    </row>
    <row r="1958" spans="1:4" x14ac:dyDescent="0.25">
      <c r="A1958" t="s">
        <v>1921</v>
      </c>
      <c r="B1958" t="s">
        <v>1330</v>
      </c>
      <c r="C1958" t="s">
        <v>812</v>
      </c>
      <c r="D1958">
        <v>100.8</v>
      </c>
    </row>
    <row r="1959" spans="1:4" x14ac:dyDescent="0.25">
      <c r="A1959" t="s">
        <v>1956</v>
      </c>
      <c r="B1959" t="s">
        <v>1335</v>
      </c>
      <c r="C1959" t="s">
        <v>812</v>
      </c>
      <c r="D1959">
        <v>92.55</v>
      </c>
    </row>
    <row r="1960" spans="1:4" x14ac:dyDescent="0.25">
      <c r="A1960" t="s">
        <v>1907</v>
      </c>
      <c r="B1960" t="s">
        <v>1335</v>
      </c>
      <c r="C1960" t="s">
        <v>812</v>
      </c>
      <c r="D1960">
        <v>67.3</v>
      </c>
    </row>
    <row r="1961" spans="1:4" x14ac:dyDescent="0.25">
      <c r="A1961" t="s">
        <v>1950</v>
      </c>
      <c r="B1961" t="s">
        <v>1334</v>
      </c>
      <c r="C1961" t="s">
        <v>817</v>
      </c>
      <c r="D1961">
        <v>84.4</v>
      </c>
    </row>
    <row r="1962" spans="1:4" x14ac:dyDescent="0.25">
      <c r="A1962" t="s">
        <v>1916</v>
      </c>
      <c r="B1962" t="s">
        <v>1335</v>
      </c>
      <c r="C1962" t="s">
        <v>817</v>
      </c>
      <c r="D1962">
        <v>112.15</v>
      </c>
    </row>
    <row r="1963" spans="1:4" x14ac:dyDescent="0.25">
      <c r="A1963" t="s">
        <v>1982</v>
      </c>
      <c r="B1963" t="s">
        <v>1334</v>
      </c>
      <c r="C1963" t="s">
        <v>817</v>
      </c>
      <c r="D1963">
        <v>7</v>
      </c>
    </row>
    <row r="1964" spans="1:4" x14ac:dyDescent="0.25">
      <c r="A1964" t="s">
        <v>1907</v>
      </c>
      <c r="B1964" t="s">
        <v>1335</v>
      </c>
      <c r="C1964" t="s">
        <v>817</v>
      </c>
      <c r="D1964">
        <v>2.7</v>
      </c>
    </row>
    <row r="1965" spans="1:4" x14ac:dyDescent="0.25">
      <c r="A1965" t="s">
        <v>1956</v>
      </c>
      <c r="B1965" t="s">
        <v>1335</v>
      </c>
      <c r="C1965" t="s">
        <v>817</v>
      </c>
      <c r="D1965">
        <v>17.7</v>
      </c>
    </row>
    <row r="1966" spans="1:4" x14ac:dyDescent="0.25">
      <c r="A1966" t="s">
        <v>1995</v>
      </c>
      <c r="B1966" t="s">
        <v>1330</v>
      </c>
      <c r="C1966" t="s">
        <v>817</v>
      </c>
      <c r="D1966">
        <v>2</v>
      </c>
    </row>
    <row r="1967" spans="1:4" x14ac:dyDescent="0.25">
      <c r="A1967" t="s">
        <v>1921</v>
      </c>
      <c r="B1967" t="s">
        <v>1330</v>
      </c>
      <c r="C1967" t="s">
        <v>817</v>
      </c>
      <c r="D1967">
        <v>27.5</v>
      </c>
    </row>
    <row r="1968" spans="1:4" x14ac:dyDescent="0.25">
      <c r="A1968" t="s">
        <v>1980</v>
      </c>
      <c r="B1968" t="s">
        <v>1331</v>
      </c>
      <c r="C1968" t="s">
        <v>817</v>
      </c>
      <c r="D1968">
        <v>1</v>
      </c>
    </row>
    <row r="1969" spans="1:4" x14ac:dyDescent="0.25">
      <c r="A1969" t="s">
        <v>1920</v>
      </c>
      <c r="B1969" t="s">
        <v>1331</v>
      </c>
      <c r="C1969" t="s">
        <v>817</v>
      </c>
      <c r="D1969">
        <v>27.5</v>
      </c>
    </row>
    <row r="1970" spans="1:4" x14ac:dyDescent="0.25">
      <c r="A1970" t="s">
        <v>1982</v>
      </c>
      <c r="B1970" t="s">
        <v>1334</v>
      </c>
      <c r="C1970" t="s">
        <v>822</v>
      </c>
      <c r="D1970">
        <v>210.1</v>
      </c>
    </row>
    <row r="1971" spans="1:4" x14ac:dyDescent="0.25">
      <c r="A1971" t="s">
        <v>1935</v>
      </c>
      <c r="B1971" t="s">
        <v>1334</v>
      </c>
      <c r="C1971" t="s">
        <v>822</v>
      </c>
      <c r="D1971">
        <v>35.4</v>
      </c>
    </row>
    <row r="1972" spans="1:4" x14ac:dyDescent="0.25">
      <c r="A1972" t="s">
        <v>1927</v>
      </c>
      <c r="B1972" t="s">
        <v>1331</v>
      </c>
      <c r="C1972" t="s">
        <v>822</v>
      </c>
      <c r="D1972">
        <v>59.6</v>
      </c>
    </row>
    <row r="1973" spans="1:4" x14ac:dyDescent="0.25">
      <c r="A1973" t="s">
        <v>1950</v>
      </c>
      <c r="B1973" t="s">
        <v>1334</v>
      </c>
      <c r="C1973" t="s">
        <v>822</v>
      </c>
      <c r="D1973">
        <v>14.5</v>
      </c>
    </row>
    <row r="1974" spans="1:4" x14ac:dyDescent="0.25">
      <c r="A1974" t="s">
        <v>1902</v>
      </c>
      <c r="B1974" t="s">
        <v>1335</v>
      </c>
      <c r="C1974" t="s">
        <v>822</v>
      </c>
      <c r="D1974">
        <v>7.7</v>
      </c>
    </row>
    <row r="1975" spans="1:4" x14ac:dyDescent="0.25">
      <c r="A1975" t="s">
        <v>1950</v>
      </c>
      <c r="B1975" t="s">
        <v>1331</v>
      </c>
      <c r="C1975" t="s">
        <v>822</v>
      </c>
      <c r="D1975">
        <v>2</v>
      </c>
    </row>
    <row r="1976" spans="1:4" x14ac:dyDescent="0.25">
      <c r="A1976" t="s">
        <v>1921</v>
      </c>
      <c r="B1976" t="s">
        <v>1330</v>
      </c>
      <c r="C1976" t="s">
        <v>822</v>
      </c>
      <c r="D1976">
        <v>102.5</v>
      </c>
    </row>
    <row r="1977" spans="1:4" x14ac:dyDescent="0.25">
      <c r="A1977" t="s">
        <v>1929</v>
      </c>
      <c r="B1977" t="s">
        <v>1331</v>
      </c>
      <c r="C1977" t="s">
        <v>822</v>
      </c>
      <c r="D1977">
        <v>2</v>
      </c>
    </row>
    <row r="1978" spans="1:4" x14ac:dyDescent="0.25">
      <c r="A1978" t="s">
        <v>1987</v>
      </c>
      <c r="B1978" t="s">
        <v>1331</v>
      </c>
      <c r="C1978" t="s">
        <v>822</v>
      </c>
      <c r="D1978">
        <v>30</v>
      </c>
    </row>
    <row r="1979" spans="1:4" x14ac:dyDescent="0.25">
      <c r="A1979" t="s">
        <v>1995</v>
      </c>
      <c r="B1979" t="s">
        <v>1330</v>
      </c>
      <c r="C1979" t="s">
        <v>822</v>
      </c>
      <c r="D1979">
        <v>17.5</v>
      </c>
    </row>
    <row r="1980" spans="1:4" x14ac:dyDescent="0.25">
      <c r="A1980" t="s">
        <v>1995</v>
      </c>
      <c r="B1980" t="s">
        <v>1334</v>
      </c>
      <c r="C1980" t="s">
        <v>822</v>
      </c>
      <c r="D1980">
        <v>0.5</v>
      </c>
    </row>
    <row r="1981" spans="1:4" x14ac:dyDescent="0.25">
      <c r="A1981" t="s">
        <v>1935</v>
      </c>
      <c r="B1981" t="s">
        <v>1331</v>
      </c>
      <c r="C1981" t="s">
        <v>822</v>
      </c>
      <c r="D1981">
        <v>383.95</v>
      </c>
    </row>
    <row r="1982" spans="1:4" x14ac:dyDescent="0.25">
      <c r="A1982" t="s">
        <v>1920</v>
      </c>
      <c r="B1982" t="s">
        <v>1331</v>
      </c>
      <c r="C1982" t="s">
        <v>822</v>
      </c>
      <c r="D1982">
        <v>8</v>
      </c>
    </row>
    <row r="1983" spans="1:4" x14ac:dyDescent="0.25">
      <c r="A1983" t="s">
        <v>1913</v>
      </c>
      <c r="B1983" t="s">
        <v>1335</v>
      </c>
      <c r="C1983" t="s">
        <v>822</v>
      </c>
      <c r="D1983">
        <v>32.450000000000003</v>
      </c>
    </row>
    <row r="1984" spans="1:4" x14ac:dyDescent="0.25">
      <c r="A1984" t="s">
        <v>1958</v>
      </c>
      <c r="B1984" t="s">
        <v>1335</v>
      </c>
      <c r="C1984" t="s">
        <v>827</v>
      </c>
      <c r="D1984">
        <v>7.5</v>
      </c>
    </row>
    <row r="1985" spans="1:4" x14ac:dyDescent="0.25">
      <c r="A1985" t="s">
        <v>1927</v>
      </c>
      <c r="B1985" t="s">
        <v>1331</v>
      </c>
      <c r="C1985" t="s">
        <v>827</v>
      </c>
      <c r="D1985">
        <v>177.1</v>
      </c>
    </row>
    <row r="1986" spans="1:4" x14ac:dyDescent="0.25">
      <c r="A1986" t="s">
        <v>1902</v>
      </c>
      <c r="B1986" t="s">
        <v>1335</v>
      </c>
      <c r="C1986" t="s">
        <v>827</v>
      </c>
      <c r="D1986">
        <v>2.85</v>
      </c>
    </row>
    <row r="1987" spans="1:4" x14ac:dyDescent="0.25">
      <c r="A1987" t="s">
        <v>1920</v>
      </c>
      <c r="B1987" t="s">
        <v>1330</v>
      </c>
      <c r="C1987" t="s">
        <v>827</v>
      </c>
      <c r="D1987">
        <v>2</v>
      </c>
    </row>
    <row r="1988" spans="1:4" x14ac:dyDescent="0.25">
      <c r="A1988" t="s">
        <v>1984</v>
      </c>
      <c r="B1988" t="s">
        <v>1331</v>
      </c>
      <c r="C1988" t="s">
        <v>827</v>
      </c>
      <c r="D1988">
        <v>1641.95</v>
      </c>
    </row>
    <row r="1989" spans="1:4" x14ac:dyDescent="0.25">
      <c r="A1989" t="s">
        <v>1920</v>
      </c>
      <c r="B1989" t="s">
        <v>1331</v>
      </c>
      <c r="C1989" t="s">
        <v>827</v>
      </c>
      <c r="D1989">
        <v>7</v>
      </c>
    </row>
    <row r="1990" spans="1:4" x14ac:dyDescent="0.25">
      <c r="A1990" t="s">
        <v>1987</v>
      </c>
      <c r="B1990" t="s">
        <v>1331</v>
      </c>
      <c r="C1990" t="s">
        <v>827</v>
      </c>
      <c r="D1990">
        <v>304</v>
      </c>
    </row>
    <row r="1991" spans="1:4" x14ac:dyDescent="0.25">
      <c r="A1991" t="s">
        <v>1907</v>
      </c>
      <c r="B1991" t="s">
        <v>1335</v>
      </c>
      <c r="C1991" t="s">
        <v>827</v>
      </c>
      <c r="D1991">
        <v>15.4</v>
      </c>
    </row>
    <row r="1992" spans="1:4" x14ac:dyDescent="0.25">
      <c r="A1992" t="s">
        <v>1987</v>
      </c>
      <c r="B1992" t="s">
        <v>1333</v>
      </c>
      <c r="C1992" t="s">
        <v>827</v>
      </c>
      <c r="D1992">
        <v>171.7</v>
      </c>
    </row>
    <row r="1993" spans="1:4" x14ac:dyDescent="0.25">
      <c r="A1993" t="s">
        <v>1990</v>
      </c>
      <c r="B1993" t="s">
        <v>1331</v>
      </c>
      <c r="C1993" t="s">
        <v>827</v>
      </c>
      <c r="D1993">
        <v>0.7</v>
      </c>
    </row>
    <row r="1994" spans="1:4" x14ac:dyDescent="0.25">
      <c r="A1994" t="s">
        <v>1913</v>
      </c>
      <c r="B1994" t="s">
        <v>1335</v>
      </c>
      <c r="C1994" t="s">
        <v>827</v>
      </c>
      <c r="D1994">
        <v>7.55</v>
      </c>
    </row>
    <row r="1995" spans="1:4" x14ac:dyDescent="0.25">
      <c r="A1995" t="s">
        <v>2010</v>
      </c>
      <c r="B1995" t="s">
        <v>1331</v>
      </c>
      <c r="C1995" t="s">
        <v>827</v>
      </c>
      <c r="D1995">
        <v>165.4</v>
      </c>
    </row>
    <row r="1996" spans="1:4" x14ac:dyDescent="0.25">
      <c r="A1996" t="s">
        <v>1939</v>
      </c>
      <c r="B1996" t="s">
        <v>1331</v>
      </c>
      <c r="C1996" t="s">
        <v>827</v>
      </c>
      <c r="D1996">
        <v>43.35</v>
      </c>
    </row>
    <row r="1997" spans="1:4" x14ac:dyDescent="0.25">
      <c r="A1997" t="s">
        <v>1925</v>
      </c>
      <c r="B1997" t="s">
        <v>1331</v>
      </c>
      <c r="C1997" t="s">
        <v>827</v>
      </c>
      <c r="D1997">
        <v>40.5</v>
      </c>
    </row>
    <row r="1998" spans="1:4" x14ac:dyDescent="0.25">
      <c r="A1998" t="s">
        <v>1945</v>
      </c>
      <c r="B1998" t="s">
        <v>1331</v>
      </c>
      <c r="C1998" t="s">
        <v>827</v>
      </c>
      <c r="D1998">
        <v>13.4</v>
      </c>
    </row>
    <row r="1999" spans="1:4" x14ac:dyDescent="0.25">
      <c r="A1999" t="s">
        <v>1950</v>
      </c>
      <c r="B1999" t="s">
        <v>1334</v>
      </c>
      <c r="C1999" t="s">
        <v>827</v>
      </c>
      <c r="D1999">
        <v>139.9</v>
      </c>
    </row>
    <row r="2000" spans="1:4" x14ac:dyDescent="0.25">
      <c r="A2000" t="s">
        <v>1967</v>
      </c>
      <c r="B2000" t="s">
        <v>1331</v>
      </c>
      <c r="C2000" t="s">
        <v>827</v>
      </c>
      <c r="D2000">
        <v>45.3</v>
      </c>
    </row>
    <row r="2001" spans="1:4" x14ac:dyDescent="0.25">
      <c r="A2001" t="s">
        <v>1927</v>
      </c>
      <c r="B2001" t="s">
        <v>1331</v>
      </c>
      <c r="C2001" t="s">
        <v>831</v>
      </c>
      <c r="D2001">
        <v>159</v>
      </c>
    </row>
    <row r="2002" spans="1:4" x14ac:dyDescent="0.25">
      <c r="A2002" t="s">
        <v>1920</v>
      </c>
      <c r="B2002" t="s">
        <v>1331</v>
      </c>
      <c r="C2002" t="s">
        <v>831</v>
      </c>
      <c r="D2002">
        <v>4</v>
      </c>
    </row>
    <row r="2003" spans="1:4" x14ac:dyDescent="0.25">
      <c r="A2003" t="s">
        <v>1995</v>
      </c>
      <c r="B2003" t="s">
        <v>1330</v>
      </c>
      <c r="C2003" t="s">
        <v>831</v>
      </c>
      <c r="D2003">
        <v>9.6999999999999993</v>
      </c>
    </row>
    <row r="2004" spans="1:4" x14ac:dyDescent="0.25">
      <c r="A2004" t="s">
        <v>1950</v>
      </c>
      <c r="B2004" t="s">
        <v>1334</v>
      </c>
      <c r="C2004" t="s">
        <v>831</v>
      </c>
      <c r="D2004">
        <v>40.799999999999997</v>
      </c>
    </row>
    <row r="2005" spans="1:4" x14ac:dyDescent="0.25">
      <c r="A2005" t="s">
        <v>1945</v>
      </c>
      <c r="B2005" t="s">
        <v>1331</v>
      </c>
      <c r="C2005" t="s">
        <v>831</v>
      </c>
      <c r="D2005">
        <v>1.5</v>
      </c>
    </row>
    <row r="2006" spans="1:4" x14ac:dyDescent="0.25">
      <c r="A2006" t="s">
        <v>1982</v>
      </c>
      <c r="B2006" t="s">
        <v>1334</v>
      </c>
      <c r="C2006" t="s">
        <v>831</v>
      </c>
      <c r="D2006">
        <v>71</v>
      </c>
    </row>
    <row r="2007" spans="1:4" x14ac:dyDescent="0.25">
      <c r="A2007" t="s">
        <v>1902</v>
      </c>
      <c r="B2007" t="s">
        <v>1335</v>
      </c>
      <c r="C2007" t="s">
        <v>831</v>
      </c>
      <c r="D2007">
        <v>36.799999999999997</v>
      </c>
    </row>
    <row r="2008" spans="1:4" x14ac:dyDescent="0.25">
      <c r="A2008" t="s">
        <v>1980</v>
      </c>
      <c r="B2008" t="s">
        <v>1331</v>
      </c>
      <c r="C2008" t="s">
        <v>831</v>
      </c>
      <c r="D2008">
        <v>171.25</v>
      </c>
    </row>
    <row r="2009" spans="1:4" x14ac:dyDescent="0.25">
      <c r="A2009" t="s">
        <v>1921</v>
      </c>
      <c r="B2009" t="s">
        <v>1330</v>
      </c>
      <c r="C2009" t="s">
        <v>831</v>
      </c>
      <c r="D2009">
        <v>14.4</v>
      </c>
    </row>
    <row r="2010" spans="1:4" x14ac:dyDescent="0.25">
      <c r="A2010" t="s">
        <v>1961</v>
      </c>
      <c r="B2010" t="s">
        <v>1331</v>
      </c>
      <c r="C2010" t="s">
        <v>831</v>
      </c>
      <c r="D2010">
        <v>9.1999999999999993</v>
      </c>
    </row>
    <row r="2011" spans="1:4" x14ac:dyDescent="0.25">
      <c r="A2011" t="s">
        <v>1961</v>
      </c>
      <c r="B2011" t="s">
        <v>1331</v>
      </c>
      <c r="C2011" t="s">
        <v>1418</v>
      </c>
      <c r="D2011">
        <v>165.6</v>
      </c>
    </row>
    <row r="2012" spans="1:4" x14ac:dyDescent="0.25">
      <c r="A2012" t="s">
        <v>2022</v>
      </c>
      <c r="B2012" t="s">
        <v>1334</v>
      </c>
      <c r="C2012" t="s">
        <v>1418</v>
      </c>
      <c r="D2012">
        <v>7.7</v>
      </c>
    </row>
    <row r="2013" spans="1:4" x14ac:dyDescent="0.25">
      <c r="A2013" t="s">
        <v>2025</v>
      </c>
      <c r="B2013" t="s">
        <v>1334</v>
      </c>
      <c r="C2013" t="s">
        <v>1418</v>
      </c>
      <c r="D2013">
        <v>2</v>
      </c>
    </row>
    <row r="2014" spans="1:4" x14ac:dyDescent="0.25">
      <c r="A2014" t="s">
        <v>1920</v>
      </c>
      <c r="B2014" t="s">
        <v>1334</v>
      </c>
      <c r="C2014" t="s">
        <v>1418</v>
      </c>
      <c r="D2014">
        <v>85</v>
      </c>
    </row>
    <row r="2015" spans="1:4" x14ac:dyDescent="0.25">
      <c r="A2015" t="s">
        <v>1904</v>
      </c>
      <c r="B2015" t="s">
        <v>1331</v>
      </c>
      <c r="C2015" t="s">
        <v>1418</v>
      </c>
      <c r="D2015">
        <v>0.5</v>
      </c>
    </row>
    <row r="2016" spans="1:4" x14ac:dyDescent="0.25">
      <c r="A2016" t="s">
        <v>1963</v>
      </c>
      <c r="B2016" t="s">
        <v>1331</v>
      </c>
      <c r="C2016" t="s">
        <v>1418</v>
      </c>
      <c r="D2016">
        <v>15.4</v>
      </c>
    </row>
    <row r="2017" spans="1:4" x14ac:dyDescent="0.25">
      <c r="A2017" t="s">
        <v>2021</v>
      </c>
      <c r="B2017" t="s">
        <v>1334</v>
      </c>
      <c r="C2017" t="s">
        <v>1418</v>
      </c>
      <c r="D2017">
        <v>8.1999999999999993</v>
      </c>
    </row>
    <row r="2018" spans="1:4" x14ac:dyDescent="0.25">
      <c r="A2018" t="s">
        <v>2033</v>
      </c>
      <c r="B2018" t="s">
        <v>1334</v>
      </c>
      <c r="C2018" t="s">
        <v>1418</v>
      </c>
      <c r="D2018">
        <v>30.8</v>
      </c>
    </row>
    <row r="2019" spans="1:4" x14ac:dyDescent="0.25">
      <c r="A2019" t="s">
        <v>2023</v>
      </c>
      <c r="B2019" t="s">
        <v>1330</v>
      </c>
      <c r="C2019" t="s">
        <v>1418</v>
      </c>
      <c r="D2019">
        <v>154</v>
      </c>
    </row>
    <row r="2020" spans="1:4" x14ac:dyDescent="0.25">
      <c r="A2020" t="s">
        <v>1916</v>
      </c>
      <c r="B2020" t="s">
        <v>1335</v>
      </c>
      <c r="C2020" t="s">
        <v>836</v>
      </c>
      <c r="D2020">
        <v>42.8</v>
      </c>
    </row>
    <row r="2021" spans="1:4" x14ac:dyDescent="0.25">
      <c r="A2021" t="s">
        <v>1902</v>
      </c>
      <c r="B2021" t="s">
        <v>1335</v>
      </c>
      <c r="C2021" t="s">
        <v>836</v>
      </c>
      <c r="D2021">
        <v>6</v>
      </c>
    </row>
    <row r="2022" spans="1:4" x14ac:dyDescent="0.25">
      <c r="A2022" t="s">
        <v>1927</v>
      </c>
      <c r="B2022" t="s">
        <v>1331</v>
      </c>
      <c r="C2022" t="s">
        <v>836</v>
      </c>
      <c r="D2022">
        <v>23.1</v>
      </c>
    </row>
    <row r="2023" spans="1:4" x14ac:dyDescent="0.25">
      <c r="A2023" t="s">
        <v>1950</v>
      </c>
      <c r="B2023" t="s">
        <v>1334</v>
      </c>
      <c r="C2023" t="s">
        <v>836</v>
      </c>
      <c r="D2023">
        <v>7.7</v>
      </c>
    </row>
    <row r="2024" spans="1:4" x14ac:dyDescent="0.25">
      <c r="A2024" t="s">
        <v>1982</v>
      </c>
      <c r="B2024" t="s">
        <v>1334</v>
      </c>
      <c r="C2024" t="s">
        <v>836</v>
      </c>
      <c r="D2024">
        <v>13</v>
      </c>
    </row>
    <row r="2025" spans="1:4" x14ac:dyDescent="0.25">
      <c r="A2025" t="s">
        <v>1931</v>
      </c>
      <c r="B2025" t="s">
        <v>1335</v>
      </c>
      <c r="C2025" t="s">
        <v>836</v>
      </c>
      <c r="D2025">
        <v>19.25</v>
      </c>
    </row>
    <row r="2026" spans="1:4" x14ac:dyDescent="0.25">
      <c r="A2026" t="s">
        <v>1980</v>
      </c>
      <c r="B2026" t="s">
        <v>1331</v>
      </c>
      <c r="C2026" t="s">
        <v>836</v>
      </c>
      <c r="D2026">
        <v>94.25</v>
      </c>
    </row>
    <row r="2027" spans="1:4" x14ac:dyDescent="0.25">
      <c r="A2027" t="s">
        <v>1950</v>
      </c>
      <c r="B2027" t="s">
        <v>1334</v>
      </c>
      <c r="C2027" t="s">
        <v>841</v>
      </c>
      <c r="D2027">
        <v>13.7</v>
      </c>
    </row>
    <row r="2028" spans="1:4" x14ac:dyDescent="0.25">
      <c r="A2028" t="s">
        <v>1907</v>
      </c>
      <c r="B2028" t="s">
        <v>1335</v>
      </c>
      <c r="C2028" t="s">
        <v>841</v>
      </c>
      <c r="D2028">
        <v>2</v>
      </c>
    </row>
    <row r="2029" spans="1:4" x14ac:dyDescent="0.25">
      <c r="A2029" t="s">
        <v>1995</v>
      </c>
      <c r="B2029" t="s">
        <v>1330</v>
      </c>
      <c r="C2029" t="s">
        <v>841</v>
      </c>
      <c r="D2029">
        <v>10.4</v>
      </c>
    </row>
    <row r="2030" spans="1:4" x14ac:dyDescent="0.25">
      <c r="A2030" t="s">
        <v>1902</v>
      </c>
      <c r="B2030" t="s">
        <v>1335</v>
      </c>
      <c r="C2030" t="s">
        <v>841</v>
      </c>
      <c r="D2030">
        <v>15.7</v>
      </c>
    </row>
    <row r="2031" spans="1:4" x14ac:dyDescent="0.25">
      <c r="A2031" t="s">
        <v>1916</v>
      </c>
      <c r="B2031" t="s">
        <v>1335</v>
      </c>
      <c r="C2031" t="s">
        <v>841</v>
      </c>
      <c r="D2031">
        <v>7.5</v>
      </c>
    </row>
    <row r="2032" spans="1:4" x14ac:dyDescent="0.25">
      <c r="A2032" t="s">
        <v>1962</v>
      </c>
      <c r="B2032" t="s">
        <v>1331</v>
      </c>
      <c r="C2032" t="s">
        <v>841</v>
      </c>
      <c r="D2032">
        <v>203</v>
      </c>
    </row>
    <row r="2033" spans="1:4" x14ac:dyDescent="0.25">
      <c r="A2033" t="s">
        <v>1953</v>
      </c>
      <c r="B2033" t="s">
        <v>1335</v>
      </c>
      <c r="C2033" t="s">
        <v>841</v>
      </c>
      <c r="D2033">
        <v>33.299999999999997</v>
      </c>
    </row>
    <row r="2034" spans="1:4" x14ac:dyDescent="0.25">
      <c r="A2034" t="s">
        <v>1920</v>
      </c>
      <c r="B2034" t="s">
        <v>1331</v>
      </c>
      <c r="C2034" t="s">
        <v>841</v>
      </c>
      <c r="D2034">
        <v>6</v>
      </c>
    </row>
    <row r="2035" spans="1:4" x14ac:dyDescent="0.25">
      <c r="A2035" t="s">
        <v>1980</v>
      </c>
      <c r="B2035" t="s">
        <v>1331</v>
      </c>
      <c r="C2035" t="s">
        <v>845</v>
      </c>
      <c r="D2035">
        <v>342.4</v>
      </c>
    </row>
    <row r="2036" spans="1:4" x14ac:dyDescent="0.25">
      <c r="A2036" t="s">
        <v>1969</v>
      </c>
      <c r="B2036" t="s">
        <v>1333</v>
      </c>
      <c r="C2036" t="s">
        <v>845</v>
      </c>
      <c r="D2036">
        <v>7.7</v>
      </c>
    </row>
    <row r="2037" spans="1:4" x14ac:dyDescent="0.25">
      <c r="A2037" t="s">
        <v>1925</v>
      </c>
      <c r="B2037" t="s">
        <v>1331</v>
      </c>
      <c r="C2037" t="s">
        <v>845</v>
      </c>
      <c r="D2037">
        <v>18.25</v>
      </c>
    </row>
    <row r="2038" spans="1:4" x14ac:dyDescent="0.25">
      <c r="A2038" t="s">
        <v>1921</v>
      </c>
      <c r="B2038" t="s">
        <v>1330</v>
      </c>
      <c r="C2038" t="s">
        <v>845</v>
      </c>
      <c r="D2038">
        <v>24.6</v>
      </c>
    </row>
    <row r="2039" spans="1:4" x14ac:dyDescent="0.25">
      <c r="A2039" t="s">
        <v>1950</v>
      </c>
      <c r="B2039" t="s">
        <v>1334</v>
      </c>
      <c r="C2039" t="s">
        <v>845</v>
      </c>
      <c r="D2039">
        <v>24.4</v>
      </c>
    </row>
    <row r="2040" spans="1:4" x14ac:dyDescent="0.25">
      <c r="A2040" t="s">
        <v>1968</v>
      </c>
      <c r="B2040" t="s">
        <v>1331</v>
      </c>
      <c r="C2040" t="s">
        <v>845</v>
      </c>
      <c r="D2040">
        <v>10</v>
      </c>
    </row>
    <row r="2041" spans="1:4" x14ac:dyDescent="0.25">
      <c r="A2041" t="s">
        <v>1968</v>
      </c>
      <c r="B2041" t="s">
        <v>1333</v>
      </c>
      <c r="C2041" t="s">
        <v>845</v>
      </c>
      <c r="D2041">
        <v>7</v>
      </c>
    </row>
    <row r="2042" spans="1:4" x14ac:dyDescent="0.25">
      <c r="A2042" t="s">
        <v>2010</v>
      </c>
      <c r="B2042" t="s">
        <v>1331</v>
      </c>
      <c r="C2042" t="s">
        <v>845</v>
      </c>
      <c r="D2042">
        <v>432</v>
      </c>
    </row>
    <row r="2043" spans="1:4" x14ac:dyDescent="0.25">
      <c r="A2043" t="s">
        <v>1967</v>
      </c>
      <c r="B2043" t="s">
        <v>1331</v>
      </c>
      <c r="C2043" t="s">
        <v>845</v>
      </c>
      <c r="D2043">
        <v>1</v>
      </c>
    </row>
    <row r="2044" spans="1:4" x14ac:dyDescent="0.25">
      <c r="A2044" t="s">
        <v>1969</v>
      </c>
      <c r="B2044" t="s">
        <v>1331</v>
      </c>
      <c r="C2044" t="s">
        <v>845</v>
      </c>
      <c r="D2044">
        <v>64.599999999999994</v>
      </c>
    </row>
    <row r="2045" spans="1:4" x14ac:dyDescent="0.25">
      <c r="A2045" t="s">
        <v>1920</v>
      </c>
      <c r="B2045" t="s">
        <v>1331</v>
      </c>
      <c r="C2045" t="s">
        <v>845</v>
      </c>
      <c r="D2045">
        <v>138</v>
      </c>
    </row>
    <row r="2046" spans="1:4" x14ac:dyDescent="0.25">
      <c r="A2046" t="s">
        <v>1902</v>
      </c>
      <c r="B2046" t="s">
        <v>1335</v>
      </c>
      <c r="C2046" t="s">
        <v>845</v>
      </c>
      <c r="D2046">
        <v>7.85</v>
      </c>
    </row>
    <row r="2047" spans="1:4" x14ac:dyDescent="0.25">
      <c r="A2047" t="s">
        <v>2010</v>
      </c>
      <c r="B2047" t="s">
        <v>1333</v>
      </c>
      <c r="C2047" t="s">
        <v>845</v>
      </c>
      <c r="D2047">
        <v>64.400000000000006</v>
      </c>
    </row>
    <row r="2048" spans="1:4" x14ac:dyDescent="0.25">
      <c r="A2048" t="s">
        <v>1925</v>
      </c>
      <c r="B2048" t="s">
        <v>1333</v>
      </c>
      <c r="C2048" t="s">
        <v>845</v>
      </c>
      <c r="D2048">
        <v>32.5</v>
      </c>
    </row>
    <row r="2049" spans="1:4" x14ac:dyDescent="0.25">
      <c r="A2049" t="s">
        <v>1991</v>
      </c>
      <c r="B2049" t="s">
        <v>1335</v>
      </c>
      <c r="C2049" t="s">
        <v>849</v>
      </c>
      <c r="D2049">
        <v>254.1</v>
      </c>
    </row>
    <row r="2050" spans="1:4" x14ac:dyDescent="0.25">
      <c r="A2050" t="s">
        <v>1920</v>
      </c>
      <c r="B2050" t="s">
        <v>1331</v>
      </c>
      <c r="C2050" t="s">
        <v>849</v>
      </c>
      <c r="D2050">
        <v>57.85</v>
      </c>
    </row>
    <row r="2051" spans="1:4" x14ac:dyDescent="0.25">
      <c r="A2051" t="s">
        <v>1982</v>
      </c>
      <c r="B2051" t="s">
        <v>1334</v>
      </c>
      <c r="C2051" t="s">
        <v>849</v>
      </c>
      <c r="D2051">
        <v>156.4</v>
      </c>
    </row>
    <row r="2052" spans="1:4" x14ac:dyDescent="0.25">
      <c r="A2052" t="s">
        <v>1983</v>
      </c>
      <c r="B2052" t="s">
        <v>1331</v>
      </c>
      <c r="C2052" t="s">
        <v>849</v>
      </c>
      <c r="D2052">
        <v>1</v>
      </c>
    </row>
    <row r="2053" spans="1:4" x14ac:dyDescent="0.25">
      <c r="A2053" t="s">
        <v>1950</v>
      </c>
      <c r="B2053" t="s">
        <v>1334</v>
      </c>
      <c r="C2053" t="s">
        <v>849</v>
      </c>
      <c r="D2053">
        <v>256.64999999999998</v>
      </c>
    </row>
    <row r="2054" spans="1:4" x14ac:dyDescent="0.25">
      <c r="A2054" t="s">
        <v>1983</v>
      </c>
      <c r="B2054" t="s">
        <v>1335</v>
      </c>
      <c r="C2054" t="s">
        <v>849</v>
      </c>
      <c r="D2054">
        <v>82.2</v>
      </c>
    </row>
    <row r="2055" spans="1:4" x14ac:dyDescent="0.25">
      <c r="A2055" t="s">
        <v>1913</v>
      </c>
      <c r="B2055" t="s">
        <v>1335</v>
      </c>
      <c r="C2055" t="s">
        <v>849</v>
      </c>
      <c r="D2055">
        <v>11.05</v>
      </c>
    </row>
    <row r="2056" spans="1:4" x14ac:dyDescent="0.25">
      <c r="A2056" t="s">
        <v>1976</v>
      </c>
      <c r="B2056" t="s">
        <v>1331</v>
      </c>
      <c r="C2056" t="s">
        <v>849</v>
      </c>
      <c r="D2056">
        <v>1</v>
      </c>
    </row>
    <row r="2057" spans="1:4" x14ac:dyDescent="0.25">
      <c r="A2057" t="s">
        <v>1971</v>
      </c>
      <c r="B2057" t="s">
        <v>1330</v>
      </c>
      <c r="C2057" t="s">
        <v>849</v>
      </c>
      <c r="D2057">
        <v>92.3</v>
      </c>
    </row>
    <row r="2058" spans="1:4" x14ac:dyDescent="0.25">
      <c r="A2058" t="s">
        <v>1978</v>
      </c>
      <c r="B2058" t="s">
        <v>1335</v>
      </c>
      <c r="C2058" t="s">
        <v>849</v>
      </c>
      <c r="D2058">
        <v>614.5</v>
      </c>
    </row>
    <row r="2059" spans="1:4" x14ac:dyDescent="0.25">
      <c r="A2059" t="s">
        <v>1900</v>
      </c>
      <c r="B2059" t="s">
        <v>1335</v>
      </c>
      <c r="C2059" t="s">
        <v>849</v>
      </c>
      <c r="D2059">
        <v>36.700000000000003</v>
      </c>
    </row>
    <row r="2060" spans="1:4" x14ac:dyDescent="0.25">
      <c r="A2060" t="s">
        <v>1983</v>
      </c>
      <c r="B2060" t="s">
        <v>1330</v>
      </c>
      <c r="C2060" t="s">
        <v>849</v>
      </c>
      <c r="D2060">
        <v>2</v>
      </c>
    </row>
    <row r="2061" spans="1:4" x14ac:dyDescent="0.25">
      <c r="A2061" t="s">
        <v>1921</v>
      </c>
      <c r="B2061" t="s">
        <v>1330</v>
      </c>
      <c r="C2061" t="s">
        <v>849</v>
      </c>
      <c r="D2061">
        <v>144.69999999999999</v>
      </c>
    </row>
    <row r="2062" spans="1:4" x14ac:dyDescent="0.25">
      <c r="A2062" t="s">
        <v>1956</v>
      </c>
      <c r="B2062" t="s">
        <v>1335</v>
      </c>
      <c r="C2062" t="s">
        <v>849</v>
      </c>
      <c r="D2062">
        <v>61.6</v>
      </c>
    </row>
    <row r="2063" spans="1:4" x14ac:dyDescent="0.25">
      <c r="A2063" t="s">
        <v>1967</v>
      </c>
      <c r="B2063" t="s">
        <v>1331</v>
      </c>
      <c r="C2063" t="s">
        <v>849</v>
      </c>
      <c r="D2063">
        <v>29.5</v>
      </c>
    </row>
    <row r="2064" spans="1:4" x14ac:dyDescent="0.25">
      <c r="A2064" t="s">
        <v>1995</v>
      </c>
      <c r="B2064" t="s">
        <v>1330</v>
      </c>
      <c r="C2064" t="s">
        <v>849</v>
      </c>
      <c r="D2064">
        <v>42.1</v>
      </c>
    </row>
    <row r="2065" spans="1:4" x14ac:dyDescent="0.25">
      <c r="A2065" t="s">
        <v>1907</v>
      </c>
      <c r="B2065" t="s">
        <v>1335</v>
      </c>
      <c r="C2065" t="s">
        <v>849</v>
      </c>
      <c r="D2065">
        <v>1</v>
      </c>
    </row>
    <row r="2066" spans="1:4" x14ac:dyDescent="0.25">
      <c r="A2066" t="s">
        <v>1972</v>
      </c>
      <c r="B2066" t="s">
        <v>1334</v>
      </c>
      <c r="C2066" t="s">
        <v>849</v>
      </c>
      <c r="D2066">
        <v>18.399999999999999</v>
      </c>
    </row>
    <row r="2067" spans="1:4" x14ac:dyDescent="0.25">
      <c r="A2067" t="s">
        <v>1987</v>
      </c>
      <c r="B2067" t="s">
        <v>1331</v>
      </c>
      <c r="C2067" t="s">
        <v>849</v>
      </c>
      <c r="D2067">
        <v>1005.04</v>
      </c>
    </row>
    <row r="2068" spans="1:4" x14ac:dyDescent="0.25">
      <c r="A2068" t="s">
        <v>1945</v>
      </c>
      <c r="B2068" t="s">
        <v>1331</v>
      </c>
      <c r="C2068" t="s">
        <v>849</v>
      </c>
      <c r="D2068">
        <v>1.7</v>
      </c>
    </row>
    <row r="2069" spans="1:4" x14ac:dyDescent="0.25">
      <c r="A2069" t="s">
        <v>1929</v>
      </c>
      <c r="B2069" t="s">
        <v>1331</v>
      </c>
      <c r="C2069" t="s">
        <v>853</v>
      </c>
      <c r="D2069">
        <v>1025.4000000000001</v>
      </c>
    </row>
    <row r="2070" spans="1:4" x14ac:dyDescent="0.25">
      <c r="A2070" t="s">
        <v>1969</v>
      </c>
      <c r="B2070" t="s">
        <v>1331</v>
      </c>
      <c r="C2070" t="s">
        <v>853</v>
      </c>
      <c r="D2070">
        <v>599.70000000000005</v>
      </c>
    </row>
    <row r="2071" spans="1:4" x14ac:dyDescent="0.25">
      <c r="A2071" t="s">
        <v>1958</v>
      </c>
      <c r="B2071" t="s">
        <v>1335</v>
      </c>
      <c r="C2071" t="s">
        <v>853</v>
      </c>
      <c r="D2071">
        <v>3</v>
      </c>
    </row>
    <row r="2072" spans="1:4" x14ac:dyDescent="0.25">
      <c r="A2072" t="s">
        <v>2019</v>
      </c>
      <c r="B2072" t="s">
        <v>1334</v>
      </c>
      <c r="C2072" t="s">
        <v>853</v>
      </c>
      <c r="D2072">
        <v>916.15</v>
      </c>
    </row>
    <row r="2073" spans="1:4" x14ac:dyDescent="0.25">
      <c r="A2073" t="s">
        <v>2022</v>
      </c>
      <c r="B2073" t="s">
        <v>1334</v>
      </c>
      <c r="C2073" t="s">
        <v>853</v>
      </c>
      <c r="D2073">
        <v>227.3</v>
      </c>
    </row>
    <row r="2074" spans="1:4" x14ac:dyDescent="0.25">
      <c r="A2074" t="s">
        <v>2026</v>
      </c>
      <c r="B2074" t="s">
        <v>1334</v>
      </c>
      <c r="C2074" t="s">
        <v>853</v>
      </c>
      <c r="D2074">
        <v>15</v>
      </c>
    </row>
    <row r="2075" spans="1:4" x14ac:dyDescent="0.25">
      <c r="A2075" t="s">
        <v>1920</v>
      </c>
      <c r="B2075" t="s">
        <v>1331</v>
      </c>
      <c r="C2075" t="s">
        <v>853</v>
      </c>
      <c r="D2075">
        <v>59.85</v>
      </c>
    </row>
    <row r="2076" spans="1:4" x14ac:dyDescent="0.25">
      <c r="A2076" t="s">
        <v>1984</v>
      </c>
      <c r="B2076" t="s">
        <v>1331</v>
      </c>
      <c r="C2076" t="s">
        <v>853</v>
      </c>
      <c r="D2076">
        <v>8.5</v>
      </c>
    </row>
    <row r="2077" spans="1:4" x14ac:dyDescent="0.25">
      <c r="A2077" t="s">
        <v>1933</v>
      </c>
      <c r="B2077" t="s">
        <v>1330</v>
      </c>
      <c r="C2077" t="s">
        <v>853</v>
      </c>
      <c r="D2077">
        <v>723.9</v>
      </c>
    </row>
    <row r="2078" spans="1:4" x14ac:dyDescent="0.25">
      <c r="A2078" t="s">
        <v>1939</v>
      </c>
      <c r="B2078" t="s">
        <v>1333</v>
      </c>
      <c r="C2078" t="s">
        <v>853</v>
      </c>
      <c r="D2078">
        <v>2.5</v>
      </c>
    </row>
    <row r="2079" spans="1:4" x14ac:dyDescent="0.25">
      <c r="A2079" t="s">
        <v>1921</v>
      </c>
      <c r="B2079" t="s">
        <v>1330</v>
      </c>
      <c r="C2079" t="s">
        <v>853</v>
      </c>
      <c r="D2079">
        <v>114.2</v>
      </c>
    </row>
    <row r="2080" spans="1:4" x14ac:dyDescent="0.25">
      <c r="A2080" t="s">
        <v>1907</v>
      </c>
      <c r="B2080" t="s">
        <v>1335</v>
      </c>
      <c r="C2080" t="s">
        <v>853</v>
      </c>
      <c r="D2080">
        <v>13.4</v>
      </c>
    </row>
    <row r="2081" spans="1:4" x14ac:dyDescent="0.25">
      <c r="A2081" t="s">
        <v>1972</v>
      </c>
      <c r="B2081" t="s">
        <v>1334</v>
      </c>
      <c r="C2081" t="s">
        <v>853</v>
      </c>
      <c r="D2081">
        <v>63.2</v>
      </c>
    </row>
    <row r="2082" spans="1:4" x14ac:dyDescent="0.25">
      <c r="A2082" t="s">
        <v>1933</v>
      </c>
      <c r="B2082" t="s">
        <v>1333</v>
      </c>
      <c r="C2082" t="s">
        <v>853</v>
      </c>
      <c r="D2082">
        <v>1.7</v>
      </c>
    </row>
    <row r="2083" spans="1:4" x14ac:dyDescent="0.25">
      <c r="A2083" t="s">
        <v>1995</v>
      </c>
      <c r="B2083" t="s">
        <v>1334</v>
      </c>
      <c r="C2083" t="s">
        <v>853</v>
      </c>
      <c r="D2083">
        <v>4.5</v>
      </c>
    </row>
    <row r="2084" spans="1:4" x14ac:dyDescent="0.25">
      <c r="A2084" t="s">
        <v>1976</v>
      </c>
      <c r="B2084" t="s">
        <v>1331</v>
      </c>
      <c r="C2084" t="s">
        <v>853</v>
      </c>
      <c r="D2084">
        <v>49.8</v>
      </c>
    </row>
    <row r="2085" spans="1:4" x14ac:dyDescent="0.25">
      <c r="A2085" t="s">
        <v>1980</v>
      </c>
      <c r="B2085" t="s">
        <v>1331</v>
      </c>
      <c r="C2085" t="s">
        <v>853</v>
      </c>
      <c r="D2085">
        <v>3</v>
      </c>
    </row>
    <row r="2086" spans="1:4" x14ac:dyDescent="0.25">
      <c r="A2086" t="s">
        <v>1913</v>
      </c>
      <c r="B2086" t="s">
        <v>1335</v>
      </c>
      <c r="C2086" t="s">
        <v>853</v>
      </c>
      <c r="D2086">
        <v>52.9</v>
      </c>
    </row>
    <row r="2087" spans="1:4" x14ac:dyDescent="0.25">
      <c r="A2087" t="s">
        <v>1900</v>
      </c>
      <c r="B2087" t="s">
        <v>1335</v>
      </c>
      <c r="C2087" t="s">
        <v>853</v>
      </c>
      <c r="D2087">
        <v>14.4</v>
      </c>
    </row>
    <row r="2088" spans="1:4" x14ac:dyDescent="0.25">
      <c r="A2088" t="s">
        <v>2021</v>
      </c>
      <c r="B2088" t="s">
        <v>1334</v>
      </c>
      <c r="C2088" t="s">
        <v>853</v>
      </c>
      <c r="D2088">
        <v>160.69999999999999</v>
      </c>
    </row>
    <row r="2089" spans="1:4" x14ac:dyDescent="0.25">
      <c r="A2089" t="s">
        <v>1995</v>
      </c>
      <c r="B2089" t="s">
        <v>1330</v>
      </c>
      <c r="C2089" t="s">
        <v>853</v>
      </c>
      <c r="D2089">
        <v>12.5</v>
      </c>
    </row>
    <row r="2090" spans="1:4" x14ac:dyDescent="0.25">
      <c r="A2090" t="s">
        <v>1923</v>
      </c>
      <c r="B2090" t="s">
        <v>1331</v>
      </c>
      <c r="C2090" t="s">
        <v>853</v>
      </c>
      <c r="D2090">
        <v>31.8</v>
      </c>
    </row>
    <row r="2091" spans="1:4" x14ac:dyDescent="0.25">
      <c r="A2091" t="s">
        <v>1950</v>
      </c>
      <c r="B2091" t="s">
        <v>1334</v>
      </c>
      <c r="C2091" t="s">
        <v>853</v>
      </c>
      <c r="D2091">
        <v>19.7</v>
      </c>
    </row>
    <row r="2092" spans="1:4" x14ac:dyDescent="0.25">
      <c r="A2092" t="s">
        <v>1956</v>
      </c>
      <c r="B2092" t="s">
        <v>1335</v>
      </c>
      <c r="C2092" t="s">
        <v>853</v>
      </c>
      <c r="D2092">
        <v>7.7</v>
      </c>
    </row>
    <row r="2093" spans="1:4" x14ac:dyDescent="0.25">
      <c r="A2093" t="s">
        <v>1902</v>
      </c>
      <c r="B2093" t="s">
        <v>1335</v>
      </c>
      <c r="C2093" t="s">
        <v>853</v>
      </c>
      <c r="D2093">
        <v>96.4</v>
      </c>
    </row>
    <row r="2094" spans="1:4" x14ac:dyDescent="0.25">
      <c r="A2094" t="s">
        <v>1983</v>
      </c>
      <c r="B2094" t="s">
        <v>1335</v>
      </c>
      <c r="C2094" t="s">
        <v>853</v>
      </c>
      <c r="D2094">
        <v>335.35</v>
      </c>
    </row>
    <row r="2095" spans="1:4" x14ac:dyDescent="0.25">
      <c r="A2095" t="s">
        <v>1983</v>
      </c>
      <c r="B2095" t="s">
        <v>1330</v>
      </c>
      <c r="C2095" t="s">
        <v>853</v>
      </c>
      <c r="D2095">
        <v>70.5</v>
      </c>
    </row>
    <row r="2096" spans="1:4" x14ac:dyDescent="0.25">
      <c r="A2096" t="s">
        <v>1962</v>
      </c>
      <c r="B2096" t="s">
        <v>1331</v>
      </c>
      <c r="C2096" t="s">
        <v>853</v>
      </c>
      <c r="D2096">
        <v>28.5</v>
      </c>
    </row>
    <row r="2097" spans="1:4" x14ac:dyDescent="0.25">
      <c r="A2097" t="s">
        <v>1976</v>
      </c>
      <c r="B2097" t="s">
        <v>1331</v>
      </c>
      <c r="C2097" t="s">
        <v>858</v>
      </c>
      <c r="D2097">
        <v>1</v>
      </c>
    </row>
    <row r="2098" spans="1:4" x14ac:dyDescent="0.25">
      <c r="A2098" t="s">
        <v>1921</v>
      </c>
      <c r="B2098" t="s">
        <v>1330</v>
      </c>
      <c r="C2098" t="s">
        <v>858</v>
      </c>
      <c r="D2098">
        <v>21.1</v>
      </c>
    </row>
    <row r="2099" spans="1:4" x14ac:dyDescent="0.25">
      <c r="A2099" t="s">
        <v>1927</v>
      </c>
      <c r="B2099" t="s">
        <v>1331</v>
      </c>
      <c r="C2099" t="s">
        <v>858</v>
      </c>
      <c r="D2099">
        <v>32.5</v>
      </c>
    </row>
    <row r="2100" spans="1:4" x14ac:dyDescent="0.25">
      <c r="A2100" t="s">
        <v>1945</v>
      </c>
      <c r="B2100" t="s">
        <v>1331</v>
      </c>
      <c r="C2100" t="s">
        <v>858</v>
      </c>
      <c r="D2100">
        <v>1.5</v>
      </c>
    </row>
    <row r="2101" spans="1:4" x14ac:dyDescent="0.25">
      <c r="A2101" t="s">
        <v>1980</v>
      </c>
      <c r="B2101" t="s">
        <v>1331</v>
      </c>
      <c r="C2101" t="s">
        <v>858</v>
      </c>
      <c r="D2101">
        <v>321.2</v>
      </c>
    </row>
    <row r="2102" spans="1:4" x14ac:dyDescent="0.25">
      <c r="A2102" t="s">
        <v>1950</v>
      </c>
      <c r="B2102" t="s">
        <v>1334</v>
      </c>
      <c r="C2102" t="s">
        <v>858</v>
      </c>
      <c r="D2102">
        <v>39.4</v>
      </c>
    </row>
    <row r="2103" spans="1:4" x14ac:dyDescent="0.25">
      <c r="A2103" t="s">
        <v>1913</v>
      </c>
      <c r="B2103" t="s">
        <v>1335</v>
      </c>
      <c r="C2103" t="s">
        <v>858</v>
      </c>
      <c r="D2103">
        <v>47.2</v>
      </c>
    </row>
    <row r="2104" spans="1:4" x14ac:dyDescent="0.25">
      <c r="A2104" t="s">
        <v>1982</v>
      </c>
      <c r="B2104" t="s">
        <v>1334</v>
      </c>
      <c r="C2104" t="s">
        <v>858</v>
      </c>
      <c r="D2104">
        <v>96</v>
      </c>
    </row>
    <row r="2105" spans="1:4" x14ac:dyDescent="0.25">
      <c r="A2105" t="s">
        <v>1995</v>
      </c>
      <c r="B2105" t="s">
        <v>1330</v>
      </c>
      <c r="C2105" t="s">
        <v>858</v>
      </c>
      <c r="D2105">
        <v>1.5</v>
      </c>
    </row>
    <row r="2106" spans="1:4" x14ac:dyDescent="0.25">
      <c r="A2106" t="s">
        <v>1902</v>
      </c>
      <c r="B2106" t="s">
        <v>1335</v>
      </c>
      <c r="C2106" t="s">
        <v>858</v>
      </c>
      <c r="D2106">
        <v>2.7</v>
      </c>
    </row>
    <row r="2107" spans="1:4" x14ac:dyDescent="0.25">
      <c r="A2107" t="s">
        <v>1920</v>
      </c>
      <c r="B2107" t="s">
        <v>1331</v>
      </c>
      <c r="C2107" t="s">
        <v>858</v>
      </c>
      <c r="D2107">
        <v>69.7</v>
      </c>
    </row>
    <row r="2108" spans="1:4" x14ac:dyDescent="0.25">
      <c r="A2108" t="s">
        <v>1971</v>
      </c>
      <c r="B2108" t="s">
        <v>1330</v>
      </c>
      <c r="C2108" t="s">
        <v>864</v>
      </c>
      <c r="D2108">
        <v>11.1</v>
      </c>
    </row>
    <row r="2109" spans="1:4" x14ac:dyDescent="0.25">
      <c r="A2109" t="s">
        <v>1921</v>
      </c>
      <c r="B2109" t="s">
        <v>1330</v>
      </c>
      <c r="C2109" t="s">
        <v>864</v>
      </c>
      <c r="D2109">
        <v>23.95</v>
      </c>
    </row>
    <row r="2110" spans="1:4" x14ac:dyDescent="0.25">
      <c r="A2110" t="s">
        <v>1982</v>
      </c>
      <c r="B2110" t="s">
        <v>1334</v>
      </c>
      <c r="C2110" t="s">
        <v>864</v>
      </c>
      <c r="D2110">
        <v>3</v>
      </c>
    </row>
    <row r="2111" spans="1:4" x14ac:dyDescent="0.25">
      <c r="A2111" t="s">
        <v>1978</v>
      </c>
      <c r="B2111" t="s">
        <v>1335</v>
      </c>
      <c r="C2111" t="s">
        <v>864</v>
      </c>
      <c r="D2111">
        <v>144.5</v>
      </c>
    </row>
    <row r="2112" spans="1:4" x14ac:dyDescent="0.25">
      <c r="A2112" t="s">
        <v>1983</v>
      </c>
      <c r="B2112" t="s">
        <v>1330</v>
      </c>
      <c r="C2112" t="s">
        <v>864</v>
      </c>
      <c r="D2112">
        <v>2</v>
      </c>
    </row>
    <row r="2113" spans="1:4" x14ac:dyDescent="0.25">
      <c r="A2113" t="s">
        <v>1902</v>
      </c>
      <c r="B2113" t="s">
        <v>1335</v>
      </c>
      <c r="C2113" t="s">
        <v>864</v>
      </c>
      <c r="D2113">
        <v>7.7</v>
      </c>
    </row>
    <row r="2114" spans="1:4" x14ac:dyDescent="0.25">
      <c r="A2114" t="s">
        <v>1953</v>
      </c>
      <c r="B2114" t="s">
        <v>1335</v>
      </c>
      <c r="C2114" t="s">
        <v>864</v>
      </c>
      <c r="D2114">
        <v>291.45</v>
      </c>
    </row>
    <row r="2115" spans="1:4" x14ac:dyDescent="0.25">
      <c r="A2115" t="s">
        <v>1916</v>
      </c>
      <c r="B2115" t="s">
        <v>1335</v>
      </c>
      <c r="C2115" t="s">
        <v>864</v>
      </c>
      <c r="D2115">
        <v>355.9</v>
      </c>
    </row>
    <row r="2116" spans="1:4" x14ac:dyDescent="0.25">
      <c r="A2116" t="s">
        <v>1983</v>
      </c>
      <c r="B2116" t="s">
        <v>1335</v>
      </c>
      <c r="C2116" t="s">
        <v>864</v>
      </c>
      <c r="D2116">
        <v>25.85</v>
      </c>
    </row>
    <row r="2117" spans="1:4" x14ac:dyDescent="0.25">
      <c r="A2117" t="s">
        <v>1995</v>
      </c>
      <c r="B2117" t="s">
        <v>1330</v>
      </c>
      <c r="C2117" t="s">
        <v>864</v>
      </c>
      <c r="D2117">
        <v>7.5</v>
      </c>
    </row>
    <row r="2118" spans="1:4" x14ac:dyDescent="0.25">
      <c r="A2118" t="s">
        <v>1956</v>
      </c>
      <c r="B2118" t="s">
        <v>1335</v>
      </c>
      <c r="C2118" t="s">
        <v>864</v>
      </c>
      <c r="D2118">
        <v>11.55</v>
      </c>
    </row>
    <row r="2119" spans="1:4" x14ac:dyDescent="0.25">
      <c r="A2119" t="s">
        <v>1950</v>
      </c>
      <c r="B2119" t="s">
        <v>1334</v>
      </c>
      <c r="C2119" t="s">
        <v>864</v>
      </c>
      <c r="D2119">
        <v>17.100000000000001</v>
      </c>
    </row>
    <row r="2120" spans="1:4" x14ac:dyDescent="0.25">
      <c r="A2120" t="s">
        <v>1911</v>
      </c>
      <c r="B2120" t="s">
        <v>1335</v>
      </c>
      <c r="C2120" t="s">
        <v>864</v>
      </c>
      <c r="D2120">
        <v>37.5</v>
      </c>
    </row>
    <row r="2121" spans="1:4" x14ac:dyDescent="0.25">
      <c r="A2121" t="s">
        <v>1945</v>
      </c>
      <c r="B2121" t="s">
        <v>1331</v>
      </c>
      <c r="C2121" t="s">
        <v>864</v>
      </c>
      <c r="D2121">
        <v>8</v>
      </c>
    </row>
    <row r="2122" spans="1:4" x14ac:dyDescent="0.25">
      <c r="A2122" t="s">
        <v>1935</v>
      </c>
      <c r="B2122" t="s">
        <v>1331</v>
      </c>
      <c r="C2122" t="s">
        <v>868</v>
      </c>
      <c r="D2122">
        <v>810.8</v>
      </c>
    </row>
    <row r="2123" spans="1:4" x14ac:dyDescent="0.25">
      <c r="A2123" t="s">
        <v>1950</v>
      </c>
      <c r="B2123" t="s">
        <v>1334</v>
      </c>
      <c r="C2123" t="s">
        <v>868</v>
      </c>
      <c r="D2123">
        <v>232.6</v>
      </c>
    </row>
    <row r="2124" spans="1:4" x14ac:dyDescent="0.25">
      <c r="A2124" t="s">
        <v>1927</v>
      </c>
      <c r="B2124" t="s">
        <v>1331</v>
      </c>
      <c r="C2124" t="s">
        <v>868</v>
      </c>
      <c r="D2124">
        <v>50.9</v>
      </c>
    </row>
    <row r="2125" spans="1:4" x14ac:dyDescent="0.25">
      <c r="A2125" t="s">
        <v>1995</v>
      </c>
      <c r="B2125" t="s">
        <v>1330</v>
      </c>
      <c r="C2125" t="s">
        <v>868</v>
      </c>
      <c r="D2125">
        <v>5</v>
      </c>
    </row>
    <row r="2126" spans="1:4" x14ac:dyDescent="0.25">
      <c r="A2126" t="s">
        <v>1987</v>
      </c>
      <c r="B2126" t="s">
        <v>1331</v>
      </c>
      <c r="C2126" t="s">
        <v>868</v>
      </c>
      <c r="D2126">
        <v>477.11</v>
      </c>
    </row>
    <row r="2127" spans="1:4" x14ac:dyDescent="0.25">
      <c r="A2127" t="s">
        <v>1921</v>
      </c>
      <c r="B2127" t="s">
        <v>1330</v>
      </c>
      <c r="C2127" t="s">
        <v>868</v>
      </c>
      <c r="D2127">
        <v>102.1</v>
      </c>
    </row>
    <row r="2128" spans="1:4" x14ac:dyDescent="0.25">
      <c r="A2128" t="s">
        <v>1920</v>
      </c>
      <c r="B2128" t="s">
        <v>1331</v>
      </c>
      <c r="C2128" t="s">
        <v>868</v>
      </c>
      <c r="D2128">
        <v>123</v>
      </c>
    </row>
    <row r="2129" spans="1:4" x14ac:dyDescent="0.25">
      <c r="A2129" t="s">
        <v>1931</v>
      </c>
      <c r="B2129" t="s">
        <v>1335</v>
      </c>
      <c r="C2129" t="s">
        <v>868</v>
      </c>
      <c r="D2129">
        <v>3.85</v>
      </c>
    </row>
    <row r="2130" spans="1:4" x14ac:dyDescent="0.25">
      <c r="A2130" t="s">
        <v>1982</v>
      </c>
      <c r="B2130" t="s">
        <v>1334</v>
      </c>
      <c r="C2130" t="s">
        <v>868</v>
      </c>
      <c r="D2130">
        <v>465.75</v>
      </c>
    </row>
    <row r="2131" spans="1:4" x14ac:dyDescent="0.25">
      <c r="A2131" t="s">
        <v>1902</v>
      </c>
      <c r="B2131" t="s">
        <v>1335</v>
      </c>
      <c r="C2131" t="s">
        <v>868</v>
      </c>
      <c r="D2131">
        <v>6.55</v>
      </c>
    </row>
    <row r="2132" spans="1:4" x14ac:dyDescent="0.25">
      <c r="A2132" t="s">
        <v>1966</v>
      </c>
      <c r="B2132" t="s">
        <v>1331</v>
      </c>
      <c r="C2132" t="s">
        <v>868</v>
      </c>
      <c r="D2132">
        <v>2</v>
      </c>
    </row>
    <row r="2133" spans="1:4" x14ac:dyDescent="0.25">
      <c r="A2133" t="s">
        <v>1987</v>
      </c>
      <c r="B2133" t="s">
        <v>1334</v>
      </c>
      <c r="C2133" t="s">
        <v>868</v>
      </c>
      <c r="D2133">
        <v>110.18</v>
      </c>
    </row>
    <row r="2134" spans="1:4" x14ac:dyDescent="0.25">
      <c r="A2134" t="s">
        <v>1956</v>
      </c>
      <c r="B2134" t="s">
        <v>1335</v>
      </c>
      <c r="C2134" t="s">
        <v>873</v>
      </c>
      <c r="D2134">
        <v>127.95</v>
      </c>
    </row>
    <row r="2135" spans="1:4" x14ac:dyDescent="0.25">
      <c r="A2135" t="s">
        <v>1995</v>
      </c>
      <c r="B2135" t="s">
        <v>1330</v>
      </c>
      <c r="C2135" t="s">
        <v>873</v>
      </c>
      <c r="D2135">
        <v>1021.15</v>
      </c>
    </row>
    <row r="2136" spans="1:4" x14ac:dyDescent="0.25">
      <c r="A2136" t="s">
        <v>1920</v>
      </c>
      <c r="B2136" t="s">
        <v>1331</v>
      </c>
      <c r="C2136" t="s">
        <v>873</v>
      </c>
      <c r="D2136">
        <v>1</v>
      </c>
    </row>
    <row r="2137" spans="1:4" x14ac:dyDescent="0.25">
      <c r="A2137" t="s">
        <v>2019</v>
      </c>
      <c r="B2137" t="s">
        <v>1334</v>
      </c>
      <c r="C2137" t="s">
        <v>873</v>
      </c>
      <c r="D2137">
        <v>893.6</v>
      </c>
    </row>
    <row r="2138" spans="1:4" x14ac:dyDescent="0.25">
      <c r="A2138" t="s">
        <v>1911</v>
      </c>
      <c r="B2138" t="s">
        <v>1335</v>
      </c>
      <c r="C2138" t="s">
        <v>873</v>
      </c>
      <c r="D2138">
        <v>31.1</v>
      </c>
    </row>
    <row r="2139" spans="1:4" x14ac:dyDescent="0.25">
      <c r="A2139" t="s">
        <v>1931</v>
      </c>
      <c r="B2139" t="s">
        <v>1335</v>
      </c>
      <c r="C2139" t="s">
        <v>873</v>
      </c>
      <c r="D2139">
        <v>60.6</v>
      </c>
    </row>
    <row r="2140" spans="1:4" x14ac:dyDescent="0.25">
      <c r="A2140" t="s">
        <v>1953</v>
      </c>
      <c r="B2140" t="s">
        <v>1335</v>
      </c>
      <c r="C2140" t="s">
        <v>873</v>
      </c>
      <c r="D2140">
        <v>579.1</v>
      </c>
    </row>
    <row r="2141" spans="1:4" x14ac:dyDescent="0.25">
      <c r="A2141" t="s">
        <v>1907</v>
      </c>
      <c r="B2141" t="s">
        <v>1335</v>
      </c>
      <c r="C2141" t="s">
        <v>873</v>
      </c>
      <c r="D2141">
        <v>2</v>
      </c>
    </row>
    <row r="2142" spans="1:4" x14ac:dyDescent="0.25">
      <c r="A2142" t="s">
        <v>1978</v>
      </c>
      <c r="B2142" t="s">
        <v>1335</v>
      </c>
      <c r="C2142" t="s">
        <v>873</v>
      </c>
      <c r="D2142">
        <v>211.35</v>
      </c>
    </row>
    <row r="2143" spans="1:4" x14ac:dyDescent="0.25">
      <c r="A2143" t="s">
        <v>2021</v>
      </c>
      <c r="B2143" t="s">
        <v>1334</v>
      </c>
      <c r="C2143" t="s">
        <v>873</v>
      </c>
      <c r="D2143">
        <v>106.65</v>
      </c>
    </row>
    <row r="2144" spans="1:4" x14ac:dyDescent="0.25">
      <c r="A2144" t="s">
        <v>1916</v>
      </c>
      <c r="B2144" t="s">
        <v>1335</v>
      </c>
      <c r="C2144" t="s">
        <v>873</v>
      </c>
      <c r="D2144">
        <v>7.1</v>
      </c>
    </row>
    <row r="2145" spans="1:4" x14ac:dyDescent="0.25">
      <c r="A2145" t="s">
        <v>1962</v>
      </c>
      <c r="B2145" t="s">
        <v>1331</v>
      </c>
      <c r="C2145" t="s">
        <v>873</v>
      </c>
      <c r="D2145">
        <v>3</v>
      </c>
    </row>
    <row r="2146" spans="1:4" x14ac:dyDescent="0.25">
      <c r="A2146" t="s">
        <v>1960</v>
      </c>
      <c r="B2146" t="s">
        <v>1331</v>
      </c>
      <c r="C2146" t="s">
        <v>873</v>
      </c>
      <c r="D2146">
        <v>10.199999999999999</v>
      </c>
    </row>
    <row r="2147" spans="1:4" x14ac:dyDescent="0.25">
      <c r="A2147" t="s">
        <v>1939</v>
      </c>
      <c r="B2147" t="s">
        <v>1335</v>
      </c>
      <c r="C2147" t="s">
        <v>873</v>
      </c>
      <c r="D2147">
        <v>159.1</v>
      </c>
    </row>
    <row r="2148" spans="1:4" x14ac:dyDescent="0.25">
      <c r="A2148" t="s">
        <v>1939</v>
      </c>
      <c r="B2148" t="s">
        <v>1331</v>
      </c>
      <c r="C2148" t="s">
        <v>873</v>
      </c>
      <c r="D2148">
        <v>16.399999999999999</v>
      </c>
    </row>
    <row r="2149" spans="1:4" x14ac:dyDescent="0.25">
      <c r="A2149" t="s">
        <v>1983</v>
      </c>
      <c r="B2149" t="s">
        <v>1335</v>
      </c>
      <c r="C2149" t="s">
        <v>873</v>
      </c>
      <c r="D2149">
        <v>682.9</v>
      </c>
    </row>
    <row r="2150" spans="1:4" x14ac:dyDescent="0.25">
      <c r="A2150" t="s">
        <v>1913</v>
      </c>
      <c r="B2150" t="s">
        <v>1335</v>
      </c>
      <c r="C2150" t="s">
        <v>873</v>
      </c>
      <c r="D2150">
        <v>50.55</v>
      </c>
    </row>
    <row r="2151" spans="1:4" x14ac:dyDescent="0.25">
      <c r="A2151" t="s">
        <v>1902</v>
      </c>
      <c r="B2151" t="s">
        <v>1335</v>
      </c>
      <c r="C2151" t="s">
        <v>873</v>
      </c>
      <c r="D2151">
        <v>370.25</v>
      </c>
    </row>
    <row r="2152" spans="1:4" x14ac:dyDescent="0.25">
      <c r="A2152" t="s">
        <v>2022</v>
      </c>
      <c r="B2152" t="s">
        <v>1334</v>
      </c>
      <c r="C2152" t="s">
        <v>873</v>
      </c>
      <c r="D2152">
        <v>15.4</v>
      </c>
    </row>
    <row r="2153" spans="1:4" x14ac:dyDescent="0.25">
      <c r="A2153" t="s">
        <v>1972</v>
      </c>
      <c r="B2153" t="s">
        <v>1334</v>
      </c>
      <c r="C2153" t="s">
        <v>873</v>
      </c>
      <c r="D2153">
        <v>717.4</v>
      </c>
    </row>
    <row r="2154" spans="1:4" x14ac:dyDescent="0.25">
      <c r="A2154" t="s">
        <v>1921</v>
      </c>
      <c r="B2154" t="s">
        <v>1330</v>
      </c>
      <c r="C2154" t="s">
        <v>873</v>
      </c>
      <c r="D2154">
        <v>38.5</v>
      </c>
    </row>
    <row r="2155" spans="1:4" x14ac:dyDescent="0.25">
      <c r="A2155" t="s">
        <v>1950</v>
      </c>
      <c r="B2155" t="s">
        <v>1334</v>
      </c>
      <c r="C2155" t="s">
        <v>873</v>
      </c>
      <c r="D2155">
        <v>27.25</v>
      </c>
    </row>
    <row r="2156" spans="1:4" x14ac:dyDescent="0.25">
      <c r="A2156" t="s">
        <v>1923</v>
      </c>
      <c r="B2156" t="s">
        <v>1331</v>
      </c>
      <c r="C2156" t="s">
        <v>873</v>
      </c>
      <c r="D2156">
        <v>137.30000000000001</v>
      </c>
    </row>
    <row r="2157" spans="1:4" x14ac:dyDescent="0.25">
      <c r="A2157" t="s">
        <v>1920</v>
      </c>
      <c r="B2157" t="s">
        <v>1334</v>
      </c>
      <c r="C2157" t="s">
        <v>873</v>
      </c>
      <c r="D2157">
        <v>83.5</v>
      </c>
    </row>
    <row r="2158" spans="1:4" x14ac:dyDescent="0.25">
      <c r="A2158" t="s">
        <v>1909</v>
      </c>
      <c r="B2158" t="s">
        <v>1335</v>
      </c>
      <c r="C2158" t="s">
        <v>873</v>
      </c>
      <c r="D2158">
        <v>22.7</v>
      </c>
    </row>
    <row r="2159" spans="1:4" x14ac:dyDescent="0.25">
      <c r="A2159" t="s">
        <v>1980</v>
      </c>
      <c r="B2159" t="s">
        <v>1331</v>
      </c>
      <c r="C2159" t="s">
        <v>877</v>
      </c>
      <c r="D2159">
        <v>675.5</v>
      </c>
    </row>
    <row r="2160" spans="1:4" x14ac:dyDescent="0.25">
      <c r="A2160" t="s">
        <v>1989</v>
      </c>
      <c r="B2160" t="s">
        <v>1331</v>
      </c>
      <c r="C2160" t="s">
        <v>877</v>
      </c>
      <c r="D2160">
        <v>113.8</v>
      </c>
    </row>
    <row r="2161" spans="1:4" x14ac:dyDescent="0.25">
      <c r="A2161" t="s">
        <v>1927</v>
      </c>
      <c r="B2161" t="s">
        <v>1331</v>
      </c>
      <c r="C2161" t="s">
        <v>877</v>
      </c>
      <c r="D2161">
        <v>68</v>
      </c>
    </row>
    <row r="2162" spans="1:4" x14ac:dyDescent="0.25">
      <c r="A2162" t="s">
        <v>1971</v>
      </c>
      <c r="B2162" t="s">
        <v>1330</v>
      </c>
      <c r="C2162" t="s">
        <v>877</v>
      </c>
      <c r="D2162">
        <v>81.7</v>
      </c>
    </row>
    <row r="2163" spans="1:4" x14ac:dyDescent="0.25">
      <c r="A2163" t="s">
        <v>1920</v>
      </c>
      <c r="B2163" t="s">
        <v>1331</v>
      </c>
      <c r="C2163" t="s">
        <v>877</v>
      </c>
      <c r="D2163">
        <v>36.5</v>
      </c>
    </row>
    <row r="2164" spans="1:4" x14ac:dyDescent="0.25">
      <c r="A2164" t="s">
        <v>1913</v>
      </c>
      <c r="B2164" t="s">
        <v>1335</v>
      </c>
      <c r="C2164" t="s">
        <v>877</v>
      </c>
      <c r="D2164">
        <v>1.85</v>
      </c>
    </row>
    <row r="2165" spans="1:4" x14ac:dyDescent="0.25">
      <c r="A2165" t="s">
        <v>1976</v>
      </c>
      <c r="B2165" t="s">
        <v>1331</v>
      </c>
      <c r="C2165" t="s">
        <v>877</v>
      </c>
      <c r="D2165">
        <v>2</v>
      </c>
    </row>
    <row r="2166" spans="1:4" x14ac:dyDescent="0.25">
      <c r="A2166" t="s">
        <v>1958</v>
      </c>
      <c r="B2166" t="s">
        <v>1335</v>
      </c>
      <c r="C2166" t="s">
        <v>877</v>
      </c>
      <c r="D2166">
        <v>16.7</v>
      </c>
    </row>
    <row r="2167" spans="1:4" x14ac:dyDescent="0.25">
      <c r="A2167" t="s">
        <v>1969</v>
      </c>
      <c r="B2167" t="s">
        <v>1331</v>
      </c>
      <c r="C2167" t="s">
        <v>877</v>
      </c>
      <c r="D2167">
        <v>17.7</v>
      </c>
    </row>
    <row r="2168" spans="1:4" x14ac:dyDescent="0.25">
      <c r="A2168" t="s">
        <v>1900</v>
      </c>
      <c r="B2168" t="s">
        <v>1335</v>
      </c>
      <c r="C2168" t="s">
        <v>877</v>
      </c>
      <c r="D2168">
        <v>1</v>
      </c>
    </row>
    <row r="2169" spans="1:4" x14ac:dyDescent="0.25">
      <c r="A2169" t="s">
        <v>1921</v>
      </c>
      <c r="B2169" t="s">
        <v>1330</v>
      </c>
      <c r="C2169" t="s">
        <v>877</v>
      </c>
      <c r="D2169">
        <v>33.799999999999997</v>
      </c>
    </row>
    <row r="2170" spans="1:4" x14ac:dyDescent="0.25">
      <c r="A2170" t="s">
        <v>1973</v>
      </c>
      <c r="B2170" t="s">
        <v>1331</v>
      </c>
      <c r="C2170" t="s">
        <v>877</v>
      </c>
      <c r="D2170">
        <v>1</v>
      </c>
    </row>
    <row r="2171" spans="1:4" x14ac:dyDescent="0.25">
      <c r="A2171" t="s">
        <v>1931</v>
      </c>
      <c r="B2171" t="s">
        <v>1335</v>
      </c>
      <c r="C2171" t="s">
        <v>877</v>
      </c>
      <c r="D2171">
        <v>7.7</v>
      </c>
    </row>
    <row r="2172" spans="1:4" x14ac:dyDescent="0.25">
      <c r="A2172" t="s">
        <v>2045</v>
      </c>
      <c r="B2172" t="s">
        <v>1335</v>
      </c>
      <c r="C2172" t="s">
        <v>877</v>
      </c>
      <c r="D2172">
        <v>77</v>
      </c>
    </row>
    <row r="2173" spans="1:4" x14ac:dyDescent="0.25">
      <c r="A2173" t="s">
        <v>1909</v>
      </c>
      <c r="B2173" t="s">
        <v>1335</v>
      </c>
      <c r="C2173" t="s">
        <v>877</v>
      </c>
      <c r="D2173">
        <v>100.7</v>
      </c>
    </row>
    <row r="2174" spans="1:4" x14ac:dyDescent="0.25">
      <c r="A2174" t="s">
        <v>1907</v>
      </c>
      <c r="B2174" t="s">
        <v>1335</v>
      </c>
      <c r="C2174" t="s">
        <v>877</v>
      </c>
      <c r="D2174">
        <v>2</v>
      </c>
    </row>
    <row r="2175" spans="1:4" x14ac:dyDescent="0.25">
      <c r="A2175" t="s">
        <v>1902</v>
      </c>
      <c r="B2175" t="s">
        <v>1335</v>
      </c>
      <c r="C2175" t="s">
        <v>877</v>
      </c>
      <c r="D2175">
        <v>1</v>
      </c>
    </row>
    <row r="2176" spans="1:4" x14ac:dyDescent="0.25">
      <c r="A2176" t="s">
        <v>1968</v>
      </c>
      <c r="B2176" t="s">
        <v>1330</v>
      </c>
      <c r="C2176" t="s">
        <v>877</v>
      </c>
      <c r="D2176">
        <v>95.35</v>
      </c>
    </row>
    <row r="2177" spans="1:4" x14ac:dyDescent="0.25">
      <c r="A2177" t="s">
        <v>1959</v>
      </c>
      <c r="B2177" t="s">
        <v>1330</v>
      </c>
      <c r="C2177" t="s">
        <v>881</v>
      </c>
      <c r="D2177">
        <v>15.5</v>
      </c>
    </row>
    <row r="2178" spans="1:4" x14ac:dyDescent="0.25">
      <c r="A2178" t="s">
        <v>1939</v>
      </c>
      <c r="B2178" t="s">
        <v>1331</v>
      </c>
      <c r="C2178" t="s">
        <v>881</v>
      </c>
      <c r="D2178">
        <v>2</v>
      </c>
    </row>
    <row r="2179" spans="1:4" x14ac:dyDescent="0.25">
      <c r="A2179" t="s">
        <v>1984</v>
      </c>
      <c r="B2179" t="s">
        <v>1331</v>
      </c>
      <c r="C2179" t="s">
        <v>881</v>
      </c>
      <c r="D2179">
        <v>5</v>
      </c>
    </row>
    <row r="2180" spans="1:4" x14ac:dyDescent="0.25">
      <c r="A2180" t="s">
        <v>1902</v>
      </c>
      <c r="B2180" t="s">
        <v>1335</v>
      </c>
      <c r="C2180" t="s">
        <v>881</v>
      </c>
      <c r="D2180">
        <v>0</v>
      </c>
    </row>
    <row r="2181" spans="1:4" x14ac:dyDescent="0.25">
      <c r="A2181" t="s">
        <v>1959</v>
      </c>
      <c r="B2181" t="s">
        <v>1331</v>
      </c>
      <c r="C2181" t="s">
        <v>881</v>
      </c>
      <c r="D2181">
        <v>82.95</v>
      </c>
    </row>
    <row r="2182" spans="1:4" x14ac:dyDescent="0.25">
      <c r="A2182" t="s">
        <v>1920</v>
      </c>
      <c r="B2182" t="s">
        <v>1331</v>
      </c>
      <c r="C2182" t="s">
        <v>881</v>
      </c>
      <c r="D2182">
        <v>13.5</v>
      </c>
    </row>
    <row r="2183" spans="1:4" x14ac:dyDescent="0.25">
      <c r="A2183" t="s">
        <v>1968</v>
      </c>
      <c r="B2183" t="s">
        <v>1331</v>
      </c>
      <c r="C2183" t="s">
        <v>881</v>
      </c>
      <c r="D2183">
        <v>6</v>
      </c>
    </row>
    <row r="2184" spans="1:4" x14ac:dyDescent="0.25">
      <c r="A2184" t="s">
        <v>1962</v>
      </c>
      <c r="B2184" t="s">
        <v>1331</v>
      </c>
      <c r="C2184" t="s">
        <v>881</v>
      </c>
      <c r="D2184">
        <v>109.35</v>
      </c>
    </row>
    <row r="2185" spans="1:4" x14ac:dyDescent="0.25">
      <c r="A2185" t="s">
        <v>1950</v>
      </c>
      <c r="B2185" t="s">
        <v>1334</v>
      </c>
      <c r="C2185" t="s">
        <v>881</v>
      </c>
      <c r="D2185">
        <v>8.6999999999999993</v>
      </c>
    </row>
    <row r="2186" spans="1:4" x14ac:dyDescent="0.25">
      <c r="A2186" t="s">
        <v>1920</v>
      </c>
      <c r="B2186" t="s">
        <v>1331</v>
      </c>
      <c r="C2186" t="s">
        <v>885</v>
      </c>
      <c r="D2186">
        <v>7</v>
      </c>
    </row>
    <row r="2187" spans="1:4" x14ac:dyDescent="0.25">
      <c r="A2187" t="s">
        <v>1925</v>
      </c>
      <c r="B2187" t="s">
        <v>1331</v>
      </c>
      <c r="C2187" t="s">
        <v>885</v>
      </c>
      <c r="D2187">
        <v>538.65</v>
      </c>
    </row>
    <row r="2188" spans="1:4" x14ac:dyDescent="0.25">
      <c r="A2188" t="s">
        <v>1980</v>
      </c>
      <c r="B2188" t="s">
        <v>1331</v>
      </c>
      <c r="C2188" t="s">
        <v>885</v>
      </c>
      <c r="D2188">
        <v>1996.5</v>
      </c>
    </row>
    <row r="2189" spans="1:4" x14ac:dyDescent="0.25">
      <c r="A2189" t="s">
        <v>1921</v>
      </c>
      <c r="B2189" t="s">
        <v>1330</v>
      </c>
      <c r="C2189" t="s">
        <v>885</v>
      </c>
      <c r="D2189">
        <v>7.7</v>
      </c>
    </row>
    <row r="2190" spans="1:4" x14ac:dyDescent="0.25">
      <c r="A2190" t="s">
        <v>1911</v>
      </c>
      <c r="B2190" t="s">
        <v>1335</v>
      </c>
      <c r="C2190" t="s">
        <v>885</v>
      </c>
      <c r="D2190">
        <v>2</v>
      </c>
    </row>
    <row r="2191" spans="1:4" x14ac:dyDescent="0.25">
      <c r="A2191" t="s">
        <v>1973</v>
      </c>
      <c r="B2191" t="s">
        <v>1331</v>
      </c>
      <c r="C2191" t="s">
        <v>885</v>
      </c>
      <c r="D2191">
        <v>15.4</v>
      </c>
    </row>
    <row r="2192" spans="1:4" x14ac:dyDescent="0.25">
      <c r="A2192" t="s">
        <v>1939</v>
      </c>
      <c r="B2192" t="s">
        <v>1331</v>
      </c>
      <c r="C2192" t="s">
        <v>885</v>
      </c>
      <c r="D2192">
        <v>3</v>
      </c>
    </row>
    <row r="2193" spans="1:4" x14ac:dyDescent="0.25">
      <c r="A2193" t="s">
        <v>1920</v>
      </c>
      <c r="B2193" t="s">
        <v>1334</v>
      </c>
      <c r="C2193" t="s">
        <v>885</v>
      </c>
      <c r="D2193">
        <v>152.1</v>
      </c>
    </row>
    <row r="2194" spans="1:4" x14ac:dyDescent="0.25">
      <c r="A2194" t="s">
        <v>1995</v>
      </c>
      <c r="B2194" t="s">
        <v>1330</v>
      </c>
      <c r="C2194" t="s">
        <v>885</v>
      </c>
      <c r="D2194">
        <v>3</v>
      </c>
    </row>
    <row r="2195" spans="1:4" x14ac:dyDescent="0.25">
      <c r="A2195" t="s">
        <v>1927</v>
      </c>
      <c r="B2195" t="s">
        <v>1331</v>
      </c>
      <c r="C2195" t="s">
        <v>885</v>
      </c>
      <c r="D2195">
        <v>450.45</v>
      </c>
    </row>
    <row r="2196" spans="1:4" x14ac:dyDescent="0.25">
      <c r="A2196" t="s">
        <v>1979</v>
      </c>
      <c r="B2196" t="s">
        <v>1331</v>
      </c>
      <c r="C2196" t="s">
        <v>885</v>
      </c>
      <c r="D2196">
        <v>145</v>
      </c>
    </row>
    <row r="2197" spans="1:4" x14ac:dyDescent="0.25">
      <c r="A2197" t="s">
        <v>1950</v>
      </c>
      <c r="B2197" t="s">
        <v>1334</v>
      </c>
      <c r="C2197" t="s">
        <v>885</v>
      </c>
      <c r="D2197">
        <v>105.15</v>
      </c>
    </row>
    <row r="2198" spans="1:4" x14ac:dyDescent="0.25">
      <c r="A2198" t="s">
        <v>2010</v>
      </c>
      <c r="B2198" t="s">
        <v>1331</v>
      </c>
      <c r="C2198" t="s">
        <v>885</v>
      </c>
      <c r="D2198">
        <v>1231.0999999999999</v>
      </c>
    </row>
    <row r="2199" spans="1:4" x14ac:dyDescent="0.25">
      <c r="A2199" t="s">
        <v>1958</v>
      </c>
      <c r="B2199" t="s">
        <v>1330</v>
      </c>
      <c r="C2199" t="s">
        <v>885</v>
      </c>
      <c r="D2199">
        <v>4.5</v>
      </c>
    </row>
    <row r="2200" spans="1:4" x14ac:dyDescent="0.25">
      <c r="A2200" t="s">
        <v>1961</v>
      </c>
      <c r="B2200" t="s">
        <v>1331</v>
      </c>
      <c r="C2200" t="s">
        <v>885</v>
      </c>
      <c r="D2200">
        <v>56.6</v>
      </c>
    </row>
    <row r="2201" spans="1:4" x14ac:dyDescent="0.25">
      <c r="A2201" t="s">
        <v>1958</v>
      </c>
      <c r="B2201" t="s">
        <v>1335</v>
      </c>
      <c r="C2201" t="s">
        <v>885</v>
      </c>
      <c r="D2201">
        <v>9.6999999999999993</v>
      </c>
    </row>
    <row r="2202" spans="1:4" x14ac:dyDescent="0.25">
      <c r="A2202" t="s">
        <v>1967</v>
      </c>
      <c r="B2202" t="s">
        <v>1331</v>
      </c>
      <c r="C2202" t="s">
        <v>885</v>
      </c>
      <c r="D2202">
        <v>226.45</v>
      </c>
    </row>
    <row r="2203" spans="1:4" x14ac:dyDescent="0.25">
      <c r="A2203" t="s">
        <v>1904</v>
      </c>
      <c r="B2203" t="s">
        <v>1331</v>
      </c>
      <c r="C2203" t="s">
        <v>885</v>
      </c>
      <c r="D2203">
        <v>3</v>
      </c>
    </row>
    <row r="2204" spans="1:4" x14ac:dyDescent="0.25">
      <c r="A2204" t="s">
        <v>1902</v>
      </c>
      <c r="B2204" t="s">
        <v>1335</v>
      </c>
      <c r="C2204" t="s">
        <v>885</v>
      </c>
      <c r="D2204">
        <v>25.1</v>
      </c>
    </row>
    <row r="2205" spans="1:4" x14ac:dyDescent="0.25">
      <c r="A2205" t="s">
        <v>1931</v>
      </c>
      <c r="B2205" t="s">
        <v>1335</v>
      </c>
      <c r="C2205" t="s">
        <v>885</v>
      </c>
      <c r="D2205">
        <v>68.3</v>
      </c>
    </row>
    <row r="2206" spans="1:4" x14ac:dyDescent="0.25">
      <c r="A2206" t="s">
        <v>1925</v>
      </c>
      <c r="B2206" t="s">
        <v>1334</v>
      </c>
      <c r="C2206" t="s">
        <v>885</v>
      </c>
      <c r="D2206">
        <v>35.6</v>
      </c>
    </row>
    <row r="2207" spans="1:4" x14ac:dyDescent="0.25">
      <c r="A2207" t="s">
        <v>1913</v>
      </c>
      <c r="B2207" t="s">
        <v>1335</v>
      </c>
      <c r="C2207" t="s">
        <v>885</v>
      </c>
      <c r="D2207">
        <v>4.8499999999999996</v>
      </c>
    </row>
    <row r="2208" spans="1:4" x14ac:dyDescent="0.25">
      <c r="A2208" t="s">
        <v>1913</v>
      </c>
      <c r="B2208" t="s">
        <v>1335</v>
      </c>
      <c r="C2208" t="s">
        <v>890</v>
      </c>
      <c r="D2208">
        <v>4.8499999999999996</v>
      </c>
    </row>
    <row r="2209" spans="1:4" x14ac:dyDescent="0.25">
      <c r="A2209" t="s">
        <v>1966</v>
      </c>
      <c r="B2209" t="s">
        <v>1331</v>
      </c>
      <c r="C2209" t="s">
        <v>890</v>
      </c>
      <c r="D2209">
        <v>1</v>
      </c>
    </row>
    <row r="2210" spans="1:4" x14ac:dyDescent="0.25">
      <c r="A2210" t="s">
        <v>1959</v>
      </c>
      <c r="B2210" t="s">
        <v>1330</v>
      </c>
      <c r="C2210" t="s">
        <v>890</v>
      </c>
      <c r="D2210">
        <v>2</v>
      </c>
    </row>
    <row r="2211" spans="1:4" x14ac:dyDescent="0.25">
      <c r="A2211" t="s">
        <v>1920</v>
      </c>
      <c r="B2211" t="s">
        <v>1331</v>
      </c>
      <c r="C2211" t="s">
        <v>890</v>
      </c>
      <c r="D2211">
        <v>93.7</v>
      </c>
    </row>
    <row r="2212" spans="1:4" x14ac:dyDescent="0.25">
      <c r="A2212" t="s">
        <v>1950</v>
      </c>
      <c r="B2212" t="s">
        <v>1334</v>
      </c>
      <c r="C2212" t="s">
        <v>890</v>
      </c>
      <c r="D2212">
        <v>3.7</v>
      </c>
    </row>
    <row r="2213" spans="1:4" x14ac:dyDescent="0.25">
      <c r="A2213" t="s">
        <v>1939</v>
      </c>
      <c r="B2213" t="s">
        <v>1331</v>
      </c>
      <c r="C2213" t="s">
        <v>890</v>
      </c>
      <c r="D2213">
        <v>3.85</v>
      </c>
    </row>
    <row r="2214" spans="1:4" x14ac:dyDescent="0.25">
      <c r="A2214" t="s">
        <v>1929</v>
      </c>
      <c r="B2214" t="s">
        <v>1331</v>
      </c>
      <c r="C2214" t="s">
        <v>890</v>
      </c>
      <c r="D2214">
        <v>591</v>
      </c>
    </row>
    <row r="2215" spans="1:4" x14ac:dyDescent="0.25">
      <c r="A2215" t="s">
        <v>1923</v>
      </c>
      <c r="B2215" t="s">
        <v>1331</v>
      </c>
      <c r="C2215" t="s">
        <v>890</v>
      </c>
      <c r="D2215">
        <v>80</v>
      </c>
    </row>
    <row r="2216" spans="1:4" x14ac:dyDescent="0.25">
      <c r="A2216" t="s">
        <v>1902</v>
      </c>
      <c r="B2216" t="s">
        <v>1335</v>
      </c>
      <c r="C2216" t="s">
        <v>890</v>
      </c>
      <c r="D2216">
        <v>10.55</v>
      </c>
    </row>
    <row r="2217" spans="1:4" x14ac:dyDescent="0.25">
      <c r="A2217" t="s">
        <v>1976</v>
      </c>
      <c r="B2217" t="s">
        <v>1331</v>
      </c>
      <c r="C2217" t="s">
        <v>890</v>
      </c>
      <c r="D2217">
        <v>6</v>
      </c>
    </row>
    <row r="2218" spans="1:4" x14ac:dyDescent="0.25">
      <c r="A2218" t="s">
        <v>1929</v>
      </c>
      <c r="B2218" t="s">
        <v>1334</v>
      </c>
      <c r="C2218" t="s">
        <v>890</v>
      </c>
      <c r="D2218">
        <v>1</v>
      </c>
    </row>
    <row r="2219" spans="1:4" x14ac:dyDescent="0.25">
      <c r="A2219" t="s">
        <v>1925</v>
      </c>
      <c r="B2219" t="s">
        <v>1331</v>
      </c>
      <c r="C2219" t="s">
        <v>893</v>
      </c>
      <c r="D2219">
        <v>11.55</v>
      </c>
    </row>
    <row r="2220" spans="1:4" x14ac:dyDescent="0.25">
      <c r="A2220" t="s">
        <v>1945</v>
      </c>
      <c r="B2220" t="s">
        <v>1331</v>
      </c>
      <c r="C2220" t="s">
        <v>893</v>
      </c>
      <c r="D2220">
        <v>21</v>
      </c>
    </row>
    <row r="2221" spans="1:4" x14ac:dyDescent="0.25">
      <c r="A2221" t="s">
        <v>2026</v>
      </c>
      <c r="B2221" t="s">
        <v>1334</v>
      </c>
      <c r="C2221" t="s">
        <v>893</v>
      </c>
      <c r="D2221">
        <v>40.200000000000003</v>
      </c>
    </row>
    <row r="2222" spans="1:4" x14ac:dyDescent="0.25">
      <c r="A2222" t="s">
        <v>1920</v>
      </c>
      <c r="B2222" t="s">
        <v>1331</v>
      </c>
      <c r="C2222" t="s">
        <v>893</v>
      </c>
      <c r="D2222">
        <v>90</v>
      </c>
    </row>
    <row r="2223" spans="1:4" x14ac:dyDescent="0.25">
      <c r="A2223" t="s">
        <v>1995</v>
      </c>
      <c r="B2223" t="s">
        <v>1330</v>
      </c>
      <c r="C2223" t="s">
        <v>893</v>
      </c>
      <c r="D2223">
        <v>4</v>
      </c>
    </row>
    <row r="2224" spans="1:4" x14ac:dyDescent="0.25">
      <c r="A2224" t="s">
        <v>2024</v>
      </c>
      <c r="B2224" t="s">
        <v>1334</v>
      </c>
      <c r="C2224" t="s">
        <v>893</v>
      </c>
      <c r="D2224">
        <v>27.2</v>
      </c>
    </row>
    <row r="2225" spans="1:4" x14ac:dyDescent="0.25">
      <c r="A2225" t="s">
        <v>1920</v>
      </c>
      <c r="B2225" t="s">
        <v>1334</v>
      </c>
      <c r="C2225" t="s">
        <v>893</v>
      </c>
      <c r="D2225">
        <v>262.05</v>
      </c>
    </row>
    <row r="2226" spans="1:4" x14ac:dyDescent="0.25">
      <c r="A2226" t="s">
        <v>1980</v>
      </c>
      <c r="B2226" t="s">
        <v>1331</v>
      </c>
      <c r="C2226" t="s">
        <v>893</v>
      </c>
      <c r="D2226">
        <v>2</v>
      </c>
    </row>
    <row r="2227" spans="1:4" x14ac:dyDescent="0.25">
      <c r="A2227" t="s">
        <v>2022</v>
      </c>
      <c r="B2227" t="s">
        <v>1334</v>
      </c>
      <c r="C2227" t="s">
        <v>893</v>
      </c>
      <c r="D2227">
        <v>30.8</v>
      </c>
    </row>
    <row r="2228" spans="1:4" x14ac:dyDescent="0.25">
      <c r="A2228" t="s">
        <v>1927</v>
      </c>
      <c r="B2228" t="s">
        <v>1331</v>
      </c>
      <c r="C2228" t="s">
        <v>893</v>
      </c>
      <c r="D2228">
        <v>84.7</v>
      </c>
    </row>
    <row r="2229" spans="1:4" x14ac:dyDescent="0.25">
      <c r="A2229" t="s">
        <v>1921</v>
      </c>
      <c r="B2229" t="s">
        <v>1330</v>
      </c>
      <c r="C2229" t="s">
        <v>893</v>
      </c>
      <c r="D2229">
        <v>110.9</v>
      </c>
    </row>
    <row r="2230" spans="1:4" x14ac:dyDescent="0.25">
      <c r="A2230" t="s">
        <v>1989</v>
      </c>
      <c r="B2230" t="s">
        <v>1331</v>
      </c>
      <c r="C2230" t="s">
        <v>893</v>
      </c>
      <c r="D2230">
        <v>17.2</v>
      </c>
    </row>
    <row r="2231" spans="1:4" x14ac:dyDescent="0.25">
      <c r="A2231" t="s">
        <v>1987</v>
      </c>
      <c r="B2231" t="s">
        <v>1331</v>
      </c>
      <c r="C2231" t="s">
        <v>893</v>
      </c>
      <c r="D2231">
        <v>934.12</v>
      </c>
    </row>
    <row r="2232" spans="1:4" x14ac:dyDescent="0.25">
      <c r="A2232" t="s">
        <v>1969</v>
      </c>
      <c r="B2232" t="s">
        <v>1331</v>
      </c>
      <c r="C2232" t="s">
        <v>893</v>
      </c>
      <c r="D2232">
        <v>980.1</v>
      </c>
    </row>
    <row r="2233" spans="1:4" x14ac:dyDescent="0.25">
      <c r="A2233" t="s">
        <v>1950</v>
      </c>
      <c r="B2233" t="s">
        <v>1334</v>
      </c>
      <c r="C2233" t="s">
        <v>893</v>
      </c>
      <c r="D2233">
        <v>428.1</v>
      </c>
    </row>
    <row r="2234" spans="1:4" x14ac:dyDescent="0.25">
      <c r="A2234" t="s">
        <v>1902</v>
      </c>
      <c r="B2234" t="s">
        <v>1335</v>
      </c>
      <c r="C2234" t="s">
        <v>893</v>
      </c>
      <c r="D2234">
        <v>2</v>
      </c>
    </row>
    <row r="2235" spans="1:4" x14ac:dyDescent="0.25">
      <c r="A2235" t="s">
        <v>1931</v>
      </c>
      <c r="B2235" t="s">
        <v>1335</v>
      </c>
      <c r="C2235" t="s">
        <v>893</v>
      </c>
      <c r="D2235">
        <v>19.25</v>
      </c>
    </row>
    <row r="2236" spans="1:4" x14ac:dyDescent="0.25">
      <c r="A2236" t="s">
        <v>1972</v>
      </c>
      <c r="B2236" t="s">
        <v>1334</v>
      </c>
      <c r="C2236" t="s">
        <v>893</v>
      </c>
      <c r="D2236">
        <v>746.2</v>
      </c>
    </row>
    <row r="2237" spans="1:4" x14ac:dyDescent="0.25">
      <c r="A2237" t="s">
        <v>1911</v>
      </c>
      <c r="B2237" t="s">
        <v>1335</v>
      </c>
      <c r="C2237" t="s">
        <v>893</v>
      </c>
      <c r="D2237">
        <v>3.85</v>
      </c>
    </row>
    <row r="2238" spans="1:4" x14ac:dyDescent="0.25">
      <c r="A2238" t="s">
        <v>1923</v>
      </c>
      <c r="B2238" t="s">
        <v>1331</v>
      </c>
      <c r="C2238" t="s">
        <v>893</v>
      </c>
      <c r="D2238">
        <v>163.55000000000001</v>
      </c>
    </row>
    <row r="2239" spans="1:4" x14ac:dyDescent="0.25">
      <c r="A2239" t="s">
        <v>1913</v>
      </c>
      <c r="B2239" t="s">
        <v>1335</v>
      </c>
      <c r="C2239" t="s">
        <v>893</v>
      </c>
      <c r="D2239">
        <v>29.95</v>
      </c>
    </row>
    <row r="2240" spans="1:4" x14ac:dyDescent="0.25">
      <c r="A2240" t="s">
        <v>1935</v>
      </c>
      <c r="B2240" t="s">
        <v>1331</v>
      </c>
      <c r="C2240" t="s">
        <v>893</v>
      </c>
      <c r="D2240">
        <v>1113.1500000000001</v>
      </c>
    </row>
    <row r="2241" spans="1:4" x14ac:dyDescent="0.25">
      <c r="A2241" t="s">
        <v>2019</v>
      </c>
      <c r="B2241" t="s">
        <v>1334</v>
      </c>
      <c r="C2241" t="s">
        <v>893</v>
      </c>
      <c r="D2241">
        <v>85.3</v>
      </c>
    </row>
    <row r="2242" spans="1:4" x14ac:dyDescent="0.25">
      <c r="A2242" t="s">
        <v>1921</v>
      </c>
      <c r="B2242" t="s">
        <v>1330</v>
      </c>
      <c r="C2242" t="s">
        <v>1346</v>
      </c>
      <c r="D2242">
        <v>320.10000000000002</v>
      </c>
    </row>
    <row r="2243" spans="1:4" x14ac:dyDescent="0.25">
      <c r="A2243" t="s">
        <v>1925</v>
      </c>
      <c r="B2243" t="s">
        <v>1331</v>
      </c>
      <c r="C2243" t="s">
        <v>1346</v>
      </c>
      <c r="D2243">
        <v>412.15</v>
      </c>
    </row>
    <row r="2244" spans="1:4" x14ac:dyDescent="0.25">
      <c r="A2244" t="s">
        <v>1900</v>
      </c>
      <c r="B2244" t="s">
        <v>1335</v>
      </c>
      <c r="C2244" t="s">
        <v>1346</v>
      </c>
      <c r="D2244">
        <v>124.8</v>
      </c>
    </row>
    <row r="2245" spans="1:4" x14ac:dyDescent="0.25">
      <c r="A2245" t="s">
        <v>1973</v>
      </c>
      <c r="B2245" t="s">
        <v>1331</v>
      </c>
      <c r="C2245" t="s">
        <v>1346</v>
      </c>
      <c r="D2245">
        <v>38.9</v>
      </c>
    </row>
    <row r="2246" spans="1:4" x14ac:dyDescent="0.25">
      <c r="A2246" t="s">
        <v>2010</v>
      </c>
      <c r="B2246" t="s">
        <v>1330</v>
      </c>
      <c r="C2246" t="s">
        <v>1346</v>
      </c>
      <c r="D2246">
        <v>10</v>
      </c>
    </row>
    <row r="2247" spans="1:4" x14ac:dyDescent="0.25">
      <c r="A2247" t="s">
        <v>1968</v>
      </c>
      <c r="B2247" t="s">
        <v>1331</v>
      </c>
      <c r="C2247" t="s">
        <v>1346</v>
      </c>
      <c r="D2247">
        <v>25.1</v>
      </c>
    </row>
    <row r="2248" spans="1:4" x14ac:dyDescent="0.25">
      <c r="A2248" t="s">
        <v>1979</v>
      </c>
      <c r="B2248" t="s">
        <v>1331</v>
      </c>
      <c r="C2248" t="s">
        <v>1346</v>
      </c>
      <c r="D2248">
        <v>938.9</v>
      </c>
    </row>
    <row r="2249" spans="1:4" x14ac:dyDescent="0.25">
      <c r="A2249" t="s">
        <v>1931</v>
      </c>
      <c r="B2249" t="s">
        <v>1335</v>
      </c>
      <c r="C2249" t="s">
        <v>1346</v>
      </c>
      <c r="D2249">
        <v>451.53</v>
      </c>
    </row>
    <row r="2250" spans="1:4" x14ac:dyDescent="0.25">
      <c r="A2250" t="s">
        <v>1980</v>
      </c>
      <c r="B2250" t="s">
        <v>1331</v>
      </c>
      <c r="C2250" t="s">
        <v>1346</v>
      </c>
      <c r="D2250">
        <v>17.100000000000001</v>
      </c>
    </row>
    <row r="2251" spans="1:4" x14ac:dyDescent="0.25">
      <c r="A2251" t="s">
        <v>1962</v>
      </c>
      <c r="B2251" t="s">
        <v>1331</v>
      </c>
      <c r="C2251" t="s">
        <v>1346</v>
      </c>
      <c r="D2251">
        <v>35.5</v>
      </c>
    </row>
    <row r="2252" spans="1:4" x14ac:dyDescent="0.25">
      <c r="A2252" t="s">
        <v>2010</v>
      </c>
      <c r="B2252" t="s">
        <v>1331</v>
      </c>
      <c r="C2252" t="s">
        <v>1346</v>
      </c>
      <c r="D2252">
        <v>915.05</v>
      </c>
    </row>
    <row r="2253" spans="1:4" x14ac:dyDescent="0.25">
      <c r="A2253" t="s">
        <v>1927</v>
      </c>
      <c r="B2253" t="s">
        <v>1331</v>
      </c>
      <c r="C2253" t="s">
        <v>1346</v>
      </c>
      <c r="D2253">
        <v>766</v>
      </c>
    </row>
    <row r="2254" spans="1:4" x14ac:dyDescent="0.25">
      <c r="A2254" t="s">
        <v>1939</v>
      </c>
      <c r="B2254" t="s">
        <v>1331</v>
      </c>
      <c r="C2254" t="s">
        <v>1346</v>
      </c>
      <c r="D2254">
        <v>50.9</v>
      </c>
    </row>
    <row r="2255" spans="1:4" x14ac:dyDescent="0.25">
      <c r="A2255" t="s">
        <v>1902</v>
      </c>
      <c r="B2255" t="s">
        <v>1335</v>
      </c>
      <c r="C2255" t="s">
        <v>1346</v>
      </c>
      <c r="D2255">
        <v>153.4</v>
      </c>
    </row>
    <row r="2256" spans="1:4" x14ac:dyDescent="0.25">
      <c r="A2256" t="s">
        <v>1995</v>
      </c>
      <c r="B2256" t="s">
        <v>1330</v>
      </c>
      <c r="C2256" t="s">
        <v>1346</v>
      </c>
      <c r="D2256">
        <v>2</v>
      </c>
    </row>
    <row r="2257" spans="1:4" x14ac:dyDescent="0.25">
      <c r="A2257" t="s">
        <v>1923</v>
      </c>
      <c r="B2257" t="s">
        <v>1331</v>
      </c>
      <c r="C2257" t="s">
        <v>1346</v>
      </c>
      <c r="D2257">
        <v>2.7</v>
      </c>
    </row>
    <row r="2258" spans="1:4" x14ac:dyDescent="0.25">
      <c r="A2258" t="s">
        <v>1920</v>
      </c>
      <c r="B2258" t="s">
        <v>1331</v>
      </c>
      <c r="C2258" t="s">
        <v>1346</v>
      </c>
      <c r="D2258">
        <v>32.5</v>
      </c>
    </row>
    <row r="2259" spans="1:4" x14ac:dyDescent="0.25">
      <c r="A2259" t="s">
        <v>1969</v>
      </c>
      <c r="B2259" t="s">
        <v>1331</v>
      </c>
      <c r="C2259" t="s">
        <v>1346</v>
      </c>
      <c r="D2259">
        <v>45.4</v>
      </c>
    </row>
    <row r="2260" spans="1:4" x14ac:dyDescent="0.25">
      <c r="A2260" t="s">
        <v>2016</v>
      </c>
      <c r="B2260" t="s">
        <v>1331</v>
      </c>
      <c r="C2260" t="s">
        <v>1346</v>
      </c>
      <c r="D2260">
        <v>1.85</v>
      </c>
    </row>
    <row r="2261" spans="1:4" x14ac:dyDescent="0.25">
      <c r="A2261" t="s">
        <v>1950</v>
      </c>
      <c r="B2261" t="s">
        <v>1334</v>
      </c>
      <c r="C2261" t="s">
        <v>1346</v>
      </c>
      <c r="D2261">
        <v>22.1</v>
      </c>
    </row>
    <row r="2262" spans="1:4" x14ac:dyDescent="0.25">
      <c r="A2262" t="s">
        <v>1913</v>
      </c>
      <c r="B2262" t="s">
        <v>1335</v>
      </c>
      <c r="C2262" t="s">
        <v>1346</v>
      </c>
      <c r="D2262">
        <v>26.6</v>
      </c>
    </row>
    <row r="2263" spans="1:4" x14ac:dyDescent="0.25">
      <c r="A2263" t="s">
        <v>1967</v>
      </c>
      <c r="B2263" t="s">
        <v>1331</v>
      </c>
      <c r="C2263" t="s">
        <v>1346</v>
      </c>
      <c r="D2263">
        <v>977.25</v>
      </c>
    </row>
    <row r="2264" spans="1:4" x14ac:dyDescent="0.25">
      <c r="A2264" t="s">
        <v>1907</v>
      </c>
      <c r="B2264" t="s">
        <v>1335</v>
      </c>
      <c r="C2264" t="s">
        <v>1346</v>
      </c>
      <c r="D2264">
        <v>40.049999999999997</v>
      </c>
    </row>
    <row r="2265" spans="1:4" x14ac:dyDescent="0.25">
      <c r="A2265" t="s">
        <v>2010</v>
      </c>
      <c r="B2265" t="s">
        <v>1331</v>
      </c>
      <c r="C2265" t="s">
        <v>1352</v>
      </c>
      <c r="D2265">
        <v>643.79999999999995</v>
      </c>
    </row>
    <row r="2266" spans="1:4" x14ac:dyDescent="0.25">
      <c r="A2266" t="s">
        <v>1967</v>
      </c>
      <c r="B2266" t="s">
        <v>1331</v>
      </c>
      <c r="C2266" t="s">
        <v>1352</v>
      </c>
      <c r="D2266">
        <v>297.2</v>
      </c>
    </row>
    <row r="2267" spans="1:4" x14ac:dyDescent="0.25">
      <c r="A2267" t="s">
        <v>1918</v>
      </c>
      <c r="B2267" t="s">
        <v>1335</v>
      </c>
      <c r="C2267" t="s">
        <v>1352</v>
      </c>
      <c r="D2267">
        <v>5</v>
      </c>
    </row>
    <row r="2268" spans="1:4" x14ac:dyDescent="0.25">
      <c r="A2268" t="s">
        <v>1921</v>
      </c>
      <c r="B2268" t="s">
        <v>1330</v>
      </c>
      <c r="C2268" t="s">
        <v>1352</v>
      </c>
      <c r="D2268">
        <v>363.6</v>
      </c>
    </row>
    <row r="2269" spans="1:4" x14ac:dyDescent="0.25">
      <c r="A2269" t="s">
        <v>1968</v>
      </c>
      <c r="B2269" t="s">
        <v>1331</v>
      </c>
      <c r="C2269" t="s">
        <v>1352</v>
      </c>
      <c r="D2269">
        <v>184.6</v>
      </c>
    </row>
    <row r="2270" spans="1:4" x14ac:dyDescent="0.25">
      <c r="A2270" t="s">
        <v>1920</v>
      </c>
      <c r="B2270" t="s">
        <v>1331</v>
      </c>
      <c r="C2270" t="s">
        <v>1352</v>
      </c>
      <c r="D2270">
        <v>11</v>
      </c>
    </row>
    <row r="2271" spans="1:4" x14ac:dyDescent="0.25">
      <c r="A2271" t="s">
        <v>1969</v>
      </c>
      <c r="B2271" t="s">
        <v>1331</v>
      </c>
      <c r="C2271" t="s">
        <v>1352</v>
      </c>
      <c r="D2271">
        <v>19.899999999999999</v>
      </c>
    </row>
    <row r="2272" spans="1:4" x14ac:dyDescent="0.25">
      <c r="A2272" t="s">
        <v>1939</v>
      </c>
      <c r="B2272" t="s">
        <v>1331</v>
      </c>
      <c r="C2272" t="s">
        <v>1352</v>
      </c>
      <c r="D2272">
        <v>688.7</v>
      </c>
    </row>
    <row r="2273" spans="1:4" x14ac:dyDescent="0.25">
      <c r="A2273" t="s">
        <v>1984</v>
      </c>
      <c r="B2273" t="s">
        <v>1331</v>
      </c>
      <c r="C2273" t="s">
        <v>1352</v>
      </c>
      <c r="D2273">
        <v>30.3</v>
      </c>
    </row>
    <row r="2274" spans="1:4" x14ac:dyDescent="0.25">
      <c r="A2274" t="s">
        <v>1962</v>
      </c>
      <c r="B2274" t="s">
        <v>1331</v>
      </c>
      <c r="C2274" t="s">
        <v>1352</v>
      </c>
      <c r="D2274">
        <v>45.2</v>
      </c>
    </row>
    <row r="2275" spans="1:4" x14ac:dyDescent="0.25">
      <c r="A2275" t="s">
        <v>1902</v>
      </c>
      <c r="B2275" t="s">
        <v>1335</v>
      </c>
      <c r="C2275" t="s">
        <v>1352</v>
      </c>
      <c r="D2275">
        <v>105.95</v>
      </c>
    </row>
    <row r="2276" spans="1:4" x14ac:dyDescent="0.25">
      <c r="A2276" t="s">
        <v>1913</v>
      </c>
      <c r="B2276" t="s">
        <v>1335</v>
      </c>
      <c r="C2276" t="s">
        <v>1352</v>
      </c>
      <c r="D2276">
        <v>22.75</v>
      </c>
    </row>
    <row r="2277" spans="1:4" x14ac:dyDescent="0.25">
      <c r="A2277" t="s">
        <v>2010</v>
      </c>
      <c r="B2277" t="s">
        <v>1330</v>
      </c>
      <c r="C2277" t="s">
        <v>1352</v>
      </c>
      <c r="D2277">
        <v>88.9</v>
      </c>
    </row>
    <row r="2278" spans="1:4" x14ac:dyDescent="0.25">
      <c r="A2278" t="s">
        <v>1959</v>
      </c>
      <c r="B2278" t="s">
        <v>1330</v>
      </c>
      <c r="C2278" t="s">
        <v>1352</v>
      </c>
      <c r="D2278">
        <v>46.8</v>
      </c>
    </row>
    <row r="2279" spans="1:4" x14ac:dyDescent="0.25">
      <c r="A2279" t="s">
        <v>1958</v>
      </c>
      <c r="B2279" t="s">
        <v>1335</v>
      </c>
      <c r="C2279" t="s">
        <v>1352</v>
      </c>
      <c r="D2279">
        <v>1.7</v>
      </c>
    </row>
    <row r="2280" spans="1:4" x14ac:dyDescent="0.25">
      <c r="A2280" t="s">
        <v>1925</v>
      </c>
      <c r="B2280" t="s">
        <v>1331</v>
      </c>
      <c r="C2280" t="s">
        <v>1352</v>
      </c>
      <c r="D2280">
        <v>362.75</v>
      </c>
    </row>
    <row r="2281" spans="1:4" x14ac:dyDescent="0.25">
      <c r="A2281" t="s">
        <v>2028</v>
      </c>
      <c r="B2281" t="s">
        <v>1331</v>
      </c>
      <c r="C2281" t="s">
        <v>1352</v>
      </c>
      <c r="D2281">
        <v>23.1</v>
      </c>
    </row>
    <row r="2282" spans="1:4" x14ac:dyDescent="0.25">
      <c r="A2282" t="s">
        <v>1931</v>
      </c>
      <c r="B2282" t="s">
        <v>1335</v>
      </c>
      <c r="C2282" t="s">
        <v>1352</v>
      </c>
      <c r="D2282">
        <v>201.27</v>
      </c>
    </row>
    <row r="2283" spans="1:4" x14ac:dyDescent="0.25">
      <c r="A2283" t="s">
        <v>1959</v>
      </c>
      <c r="B2283" t="s">
        <v>1335</v>
      </c>
      <c r="C2283" t="s">
        <v>1352</v>
      </c>
      <c r="D2283">
        <v>21.4</v>
      </c>
    </row>
    <row r="2284" spans="1:4" x14ac:dyDescent="0.25">
      <c r="A2284" t="s">
        <v>1925</v>
      </c>
      <c r="B2284" t="s">
        <v>1335</v>
      </c>
      <c r="C2284" t="s">
        <v>1352</v>
      </c>
      <c r="D2284">
        <v>11.55</v>
      </c>
    </row>
    <row r="2285" spans="1:4" x14ac:dyDescent="0.25">
      <c r="A2285" t="s">
        <v>1927</v>
      </c>
      <c r="B2285" t="s">
        <v>1331</v>
      </c>
      <c r="C2285" t="s">
        <v>1352</v>
      </c>
      <c r="D2285">
        <v>204.05</v>
      </c>
    </row>
    <row r="2286" spans="1:4" x14ac:dyDescent="0.25">
      <c r="A2286" t="s">
        <v>1950</v>
      </c>
      <c r="B2286" t="s">
        <v>1334</v>
      </c>
      <c r="C2286" t="s">
        <v>1352</v>
      </c>
      <c r="D2286">
        <v>37.200000000000003</v>
      </c>
    </row>
    <row r="2287" spans="1:4" x14ac:dyDescent="0.25">
      <c r="A2287" t="s">
        <v>1900</v>
      </c>
      <c r="B2287" t="s">
        <v>1335</v>
      </c>
      <c r="C2287" t="s">
        <v>1352</v>
      </c>
      <c r="D2287">
        <v>211.3</v>
      </c>
    </row>
    <row r="2288" spans="1:4" x14ac:dyDescent="0.25">
      <c r="A2288" t="s">
        <v>1907</v>
      </c>
      <c r="B2288" t="s">
        <v>1335</v>
      </c>
      <c r="C2288" t="s">
        <v>1352</v>
      </c>
      <c r="D2288">
        <v>46.8</v>
      </c>
    </row>
    <row r="2289" spans="1:4" x14ac:dyDescent="0.25">
      <c r="A2289" t="s">
        <v>1966</v>
      </c>
      <c r="B2289" t="s">
        <v>1331</v>
      </c>
      <c r="C2289" t="s">
        <v>1363</v>
      </c>
      <c r="D2289">
        <v>95.8</v>
      </c>
    </row>
    <row r="2290" spans="1:4" x14ac:dyDescent="0.25">
      <c r="A2290" t="s">
        <v>1950</v>
      </c>
      <c r="B2290" t="s">
        <v>1334</v>
      </c>
      <c r="C2290" t="s">
        <v>1363</v>
      </c>
      <c r="D2290">
        <v>7.7</v>
      </c>
    </row>
    <row r="2291" spans="1:4" x14ac:dyDescent="0.25">
      <c r="A2291" t="s">
        <v>2029</v>
      </c>
      <c r="B2291" t="s">
        <v>1331</v>
      </c>
      <c r="C2291" t="s">
        <v>1363</v>
      </c>
      <c r="D2291">
        <v>38.5</v>
      </c>
    </row>
    <row r="2292" spans="1:4" x14ac:dyDescent="0.25">
      <c r="A2292" t="s">
        <v>2025</v>
      </c>
      <c r="B2292" t="s">
        <v>1334</v>
      </c>
      <c r="C2292" t="s">
        <v>1363</v>
      </c>
      <c r="D2292">
        <v>74.45</v>
      </c>
    </row>
    <row r="2293" spans="1:4" x14ac:dyDescent="0.25">
      <c r="A2293" t="s">
        <v>2029</v>
      </c>
      <c r="B2293" t="s">
        <v>1334</v>
      </c>
      <c r="C2293" t="s">
        <v>1363</v>
      </c>
      <c r="D2293">
        <v>1241.3499999999999</v>
      </c>
    </row>
    <row r="2294" spans="1:4" x14ac:dyDescent="0.25">
      <c r="A2294" t="s">
        <v>1984</v>
      </c>
      <c r="B2294" t="s">
        <v>1331</v>
      </c>
      <c r="C2294" t="s">
        <v>1363</v>
      </c>
      <c r="D2294">
        <v>16.100000000000001</v>
      </c>
    </row>
    <row r="2295" spans="1:4" x14ac:dyDescent="0.25">
      <c r="A2295" t="s">
        <v>1962</v>
      </c>
      <c r="B2295" t="s">
        <v>1331</v>
      </c>
      <c r="C2295" t="s">
        <v>1363</v>
      </c>
      <c r="D2295">
        <v>115.9</v>
      </c>
    </row>
    <row r="2296" spans="1:4" x14ac:dyDescent="0.25">
      <c r="A2296" t="s">
        <v>1961</v>
      </c>
      <c r="B2296" t="s">
        <v>1331</v>
      </c>
      <c r="C2296" t="s">
        <v>1363</v>
      </c>
      <c r="D2296">
        <v>489.1</v>
      </c>
    </row>
    <row r="2297" spans="1:4" x14ac:dyDescent="0.25">
      <c r="A2297" t="s">
        <v>1968</v>
      </c>
      <c r="B2297" t="s">
        <v>1331</v>
      </c>
      <c r="C2297" t="s">
        <v>1363</v>
      </c>
      <c r="D2297">
        <v>2</v>
      </c>
    </row>
    <row r="2298" spans="1:4" x14ac:dyDescent="0.25">
      <c r="A2298" t="s">
        <v>1921</v>
      </c>
      <c r="B2298" t="s">
        <v>1330</v>
      </c>
      <c r="C2298" t="s">
        <v>1363</v>
      </c>
      <c r="D2298">
        <v>27.8</v>
      </c>
    </row>
    <row r="2299" spans="1:4" x14ac:dyDescent="0.25">
      <c r="A2299" t="s">
        <v>2024</v>
      </c>
      <c r="B2299" t="s">
        <v>1334</v>
      </c>
      <c r="C2299" t="s">
        <v>1363</v>
      </c>
      <c r="D2299">
        <v>13.4</v>
      </c>
    </row>
    <row r="2300" spans="1:4" x14ac:dyDescent="0.25">
      <c r="A2300" t="s">
        <v>2023</v>
      </c>
      <c r="B2300" t="s">
        <v>1330</v>
      </c>
      <c r="C2300" t="s">
        <v>1363</v>
      </c>
      <c r="D2300">
        <v>10.45</v>
      </c>
    </row>
    <row r="2301" spans="1:4" x14ac:dyDescent="0.25">
      <c r="A2301" t="s">
        <v>1949</v>
      </c>
      <c r="B2301" t="s">
        <v>1331</v>
      </c>
      <c r="C2301" t="s">
        <v>1363</v>
      </c>
      <c r="D2301">
        <v>3</v>
      </c>
    </row>
    <row r="2302" spans="1:4" x14ac:dyDescent="0.25">
      <c r="A2302" t="s">
        <v>2022</v>
      </c>
      <c r="B2302" t="s">
        <v>1334</v>
      </c>
      <c r="C2302" t="s">
        <v>1363</v>
      </c>
      <c r="D2302">
        <v>115.5</v>
      </c>
    </row>
    <row r="2303" spans="1:4" x14ac:dyDescent="0.25">
      <c r="A2303" t="s">
        <v>1982</v>
      </c>
      <c r="B2303" t="s">
        <v>1334</v>
      </c>
      <c r="C2303" t="s">
        <v>897</v>
      </c>
      <c r="D2303">
        <v>83</v>
      </c>
    </row>
    <row r="2304" spans="1:4" x14ac:dyDescent="0.25">
      <c r="A2304" t="s">
        <v>1950</v>
      </c>
      <c r="B2304" t="s">
        <v>1334</v>
      </c>
      <c r="C2304" t="s">
        <v>897</v>
      </c>
      <c r="D2304">
        <v>63.3</v>
      </c>
    </row>
    <row r="2305" spans="1:4" x14ac:dyDescent="0.25">
      <c r="A2305" t="s">
        <v>1913</v>
      </c>
      <c r="B2305" t="s">
        <v>1335</v>
      </c>
      <c r="C2305" t="s">
        <v>897</v>
      </c>
      <c r="D2305">
        <v>3.85</v>
      </c>
    </row>
    <row r="2306" spans="1:4" x14ac:dyDescent="0.25">
      <c r="A2306" t="s">
        <v>1956</v>
      </c>
      <c r="B2306" t="s">
        <v>1335</v>
      </c>
      <c r="C2306" t="s">
        <v>897</v>
      </c>
      <c r="D2306">
        <v>19.25</v>
      </c>
    </row>
    <row r="2307" spans="1:4" x14ac:dyDescent="0.25">
      <c r="A2307" t="s">
        <v>1980</v>
      </c>
      <c r="B2307" t="s">
        <v>1331</v>
      </c>
      <c r="C2307" t="s">
        <v>897</v>
      </c>
      <c r="D2307">
        <v>244.35</v>
      </c>
    </row>
    <row r="2308" spans="1:4" x14ac:dyDescent="0.25">
      <c r="A2308" t="s">
        <v>1921</v>
      </c>
      <c r="B2308" t="s">
        <v>1330</v>
      </c>
      <c r="C2308" t="s">
        <v>897</v>
      </c>
      <c r="D2308">
        <v>13.4</v>
      </c>
    </row>
    <row r="2309" spans="1:4" x14ac:dyDescent="0.25">
      <c r="A2309" t="s">
        <v>1983</v>
      </c>
      <c r="B2309" t="s">
        <v>1330</v>
      </c>
      <c r="C2309" t="s">
        <v>902</v>
      </c>
      <c r="D2309">
        <v>4</v>
      </c>
    </row>
    <row r="2310" spans="1:4" x14ac:dyDescent="0.25">
      <c r="A2310" t="s">
        <v>1916</v>
      </c>
      <c r="B2310" t="s">
        <v>1331</v>
      </c>
      <c r="C2310" t="s">
        <v>902</v>
      </c>
      <c r="D2310">
        <v>92.3</v>
      </c>
    </row>
    <row r="2311" spans="1:4" x14ac:dyDescent="0.25">
      <c r="A2311" t="s">
        <v>1916</v>
      </c>
      <c r="B2311" t="s">
        <v>1335</v>
      </c>
      <c r="C2311" t="s">
        <v>902</v>
      </c>
      <c r="D2311">
        <v>35.35</v>
      </c>
    </row>
    <row r="2312" spans="1:4" x14ac:dyDescent="0.25">
      <c r="A2312" t="s">
        <v>1966</v>
      </c>
      <c r="B2312" t="s">
        <v>1331</v>
      </c>
      <c r="C2312" t="s">
        <v>902</v>
      </c>
      <c r="D2312">
        <v>7.7</v>
      </c>
    </row>
    <row r="2313" spans="1:4" x14ac:dyDescent="0.25">
      <c r="A2313" t="s">
        <v>1956</v>
      </c>
      <c r="B2313" t="s">
        <v>1335</v>
      </c>
      <c r="C2313" t="s">
        <v>902</v>
      </c>
      <c r="D2313">
        <v>8.6999999999999993</v>
      </c>
    </row>
    <row r="2314" spans="1:4" x14ac:dyDescent="0.25">
      <c r="A2314" t="s">
        <v>1995</v>
      </c>
      <c r="B2314" t="s">
        <v>1330</v>
      </c>
      <c r="C2314" t="s">
        <v>902</v>
      </c>
      <c r="D2314">
        <v>119.4</v>
      </c>
    </row>
    <row r="2315" spans="1:4" x14ac:dyDescent="0.25">
      <c r="A2315" t="s">
        <v>1953</v>
      </c>
      <c r="B2315" t="s">
        <v>1335</v>
      </c>
      <c r="C2315" t="s">
        <v>902</v>
      </c>
      <c r="D2315">
        <v>72.7</v>
      </c>
    </row>
    <row r="2316" spans="1:4" x14ac:dyDescent="0.25">
      <c r="A2316" t="s">
        <v>1902</v>
      </c>
      <c r="B2316" t="s">
        <v>1335</v>
      </c>
      <c r="C2316" t="s">
        <v>902</v>
      </c>
      <c r="D2316">
        <v>23.1</v>
      </c>
    </row>
    <row r="2317" spans="1:4" x14ac:dyDescent="0.25">
      <c r="A2317" t="s">
        <v>1984</v>
      </c>
      <c r="B2317" t="s">
        <v>1331</v>
      </c>
      <c r="C2317" t="s">
        <v>902</v>
      </c>
      <c r="D2317">
        <v>3.7</v>
      </c>
    </row>
    <row r="2318" spans="1:4" x14ac:dyDescent="0.25">
      <c r="A2318" t="s">
        <v>1902</v>
      </c>
      <c r="B2318" t="s">
        <v>1335</v>
      </c>
      <c r="C2318" t="s">
        <v>905</v>
      </c>
      <c r="D2318">
        <v>0</v>
      </c>
    </row>
    <row r="2319" spans="1:4" x14ac:dyDescent="0.25">
      <c r="A2319" t="s">
        <v>1916</v>
      </c>
      <c r="B2319" t="s">
        <v>1335</v>
      </c>
      <c r="C2319" t="s">
        <v>905</v>
      </c>
      <c r="D2319">
        <v>16.2</v>
      </c>
    </row>
    <row r="2320" spans="1:4" x14ac:dyDescent="0.25">
      <c r="A2320" t="s">
        <v>1983</v>
      </c>
      <c r="B2320" t="s">
        <v>1335</v>
      </c>
      <c r="C2320" t="s">
        <v>905</v>
      </c>
      <c r="D2320">
        <v>0</v>
      </c>
    </row>
    <row r="2321" spans="1:4" x14ac:dyDescent="0.25">
      <c r="A2321" t="s">
        <v>1991</v>
      </c>
      <c r="B2321" t="s">
        <v>1331</v>
      </c>
      <c r="C2321" t="s">
        <v>905</v>
      </c>
      <c r="D2321">
        <v>25</v>
      </c>
    </row>
    <row r="2322" spans="1:4" x14ac:dyDescent="0.25">
      <c r="A2322" t="s">
        <v>1983</v>
      </c>
      <c r="B2322" t="s">
        <v>1330</v>
      </c>
      <c r="C2322" t="s">
        <v>905</v>
      </c>
      <c r="D2322">
        <v>0</v>
      </c>
    </row>
    <row r="2323" spans="1:4" x14ac:dyDescent="0.25">
      <c r="A2323" t="s">
        <v>1923</v>
      </c>
      <c r="B2323" t="s">
        <v>1331</v>
      </c>
      <c r="C2323" t="s">
        <v>905</v>
      </c>
      <c r="D2323">
        <v>3</v>
      </c>
    </row>
    <row r="2324" spans="1:4" x14ac:dyDescent="0.25">
      <c r="A2324" t="s">
        <v>1916</v>
      </c>
      <c r="B2324" t="s">
        <v>1331</v>
      </c>
      <c r="C2324" t="s">
        <v>905</v>
      </c>
      <c r="D2324">
        <v>10.1</v>
      </c>
    </row>
    <row r="2325" spans="1:4" x14ac:dyDescent="0.25">
      <c r="A2325" t="s">
        <v>1978</v>
      </c>
      <c r="B2325" t="s">
        <v>1335</v>
      </c>
      <c r="C2325" t="s">
        <v>905</v>
      </c>
      <c r="D2325">
        <v>0</v>
      </c>
    </row>
    <row r="2326" spans="1:4" x14ac:dyDescent="0.25">
      <c r="A2326" t="s">
        <v>1950</v>
      </c>
      <c r="B2326" t="s">
        <v>1334</v>
      </c>
      <c r="C2326" t="s">
        <v>905</v>
      </c>
      <c r="D2326">
        <v>41.5</v>
      </c>
    </row>
    <row r="2327" spans="1:4" x14ac:dyDescent="0.25">
      <c r="A2327" t="s">
        <v>1982</v>
      </c>
      <c r="B2327" t="s">
        <v>1334</v>
      </c>
      <c r="C2327" t="s">
        <v>905</v>
      </c>
      <c r="D2327">
        <v>5</v>
      </c>
    </row>
    <row r="2328" spans="1:4" x14ac:dyDescent="0.25">
      <c r="A2328" t="s">
        <v>1956</v>
      </c>
      <c r="B2328" t="s">
        <v>1335</v>
      </c>
      <c r="C2328" t="s">
        <v>905</v>
      </c>
      <c r="D2328">
        <v>0</v>
      </c>
    </row>
    <row r="2329" spans="1:4" x14ac:dyDescent="0.25">
      <c r="A2329" t="s">
        <v>1921</v>
      </c>
      <c r="B2329" t="s">
        <v>1330</v>
      </c>
      <c r="C2329" t="s">
        <v>905</v>
      </c>
      <c r="D2329">
        <v>18</v>
      </c>
    </row>
    <row r="2330" spans="1:4" x14ac:dyDescent="0.25">
      <c r="A2330" t="s">
        <v>1953</v>
      </c>
      <c r="B2330" t="s">
        <v>1335</v>
      </c>
      <c r="C2330" t="s">
        <v>905</v>
      </c>
      <c r="D2330">
        <v>0</v>
      </c>
    </row>
    <row r="2331" spans="1:4" x14ac:dyDescent="0.25">
      <c r="A2331" t="s">
        <v>1972</v>
      </c>
      <c r="B2331" t="s">
        <v>1334</v>
      </c>
      <c r="C2331" t="s">
        <v>910</v>
      </c>
      <c r="D2331">
        <v>4</v>
      </c>
    </row>
    <row r="2332" spans="1:4" x14ac:dyDescent="0.25">
      <c r="A2332" t="s">
        <v>1920</v>
      </c>
      <c r="B2332" t="s">
        <v>1331</v>
      </c>
      <c r="C2332" t="s">
        <v>910</v>
      </c>
      <c r="D2332">
        <v>195.85</v>
      </c>
    </row>
    <row r="2333" spans="1:4" x14ac:dyDescent="0.25">
      <c r="A2333" t="s">
        <v>1931</v>
      </c>
      <c r="B2333" t="s">
        <v>1335</v>
      </c>
      <c r="C2333" t="s">
        <v>910</v>
      </c>
      <c r="D2333">
        <v>3.85</v>
      </c>
    </row>
    <row r="2334" spans="1:4" x14ac:dyDescent="0.25">
      <c r="A2334" t="s">
        <v>1984</v>
      </c>
      <c r="B2334" t="s">
        <v>1331</v>
      </c>
      <c r="C2334" t="s">
        <v>910</v>
      </c>
      <c r="D2334">
        <v>48.9</v>
      </c>
    </row>
    <row r="2335" spans="1:4" x14ac:dyDescent="0.25">
      <c r="A2335" t="s">
        <v>1965</v>
      </c>
      <c r="B2335" t="s">
        <v>1331</v>
      </c>
      <c r="C2335" t="s">
        <v>910</v>
      </c>
      <c r="D2335">
        <v>16.399999999999999</v>
      </c>
    </row>
    <row r="2336" spans="1:4" x14ac:dyDescent="0.25">
      <c r="A2336" t="s">
        <v>1927</v>
      </c>
      <c r="B2336" t="s">
        <v>1331</v>
      </c>
      <c r="C2336" t="s">
        <v>910</v>
      </c>
      <c r="D2336">
        <v>57.75</v>
      </c>
    </row>
    <row r="2337" spans="1:4" x14ac:dyDescent="0.25">
      <c r="A2337" t="s">
        <v>1921</v>
      </c>
      <c r="B2337" t="s">
        <v>1330</v>
      </c>
      <c r="C2337" t="s">
        <v>910</v>
      </c>
      <c r="D2337">
        <v>64.3</v>
      </c>
    </row>
    <row r="2338" spans="1:4" x14ac:dyDescent="0.25">
      <c r="A2338" t="s">
        <v>1902</v>
      </c>
      <c r="B2338" t="s">
        <v>1335</v>
      </c>
      <c r="C2338" t="s">
        <v>910</v>
      </c>
      <c r="D2338">
        <v>13.1</v>
      </c>
    </row>
    <row r="2339" spans="1:4" x14ac:dyDescent="0.25">
      <c r="A2339" t="s">
        <v>1962</v>
      </c>
      <c r="B2339" t="s">
        <v>1331</v>
      </c>
      <c r="C2339" t="s">
        <v>910</v>
      </c>
      <c r="D2339">
        <v>542.70000000000005</v>
      </c>
    </row>
    <row r="2340" spans="1:4" x14ac:dyDescent="0.25">
      <c r="A2340" t="s">
        <v>1982</v>
      </c>
      <c r="B2340" t="s">
        <v>1334</v>
      </c>
      <c r="C2340" t="s">
        <v>910</v>
      </c>
      <c r="D2340">
        <v>310.39999999999998</v>
      </c>
    </row>
    <row r="2341" spans="1:4" x14ac:dyDescent="0.25">
      <c r="A2341" t="s">
        <v>1995</v>
      </c>
      <c r="B2341" t="s">
        <v>1330</v>
      </c>
      <c r="C2341" t="s">
        <v>910</v>
      </c>
      <c r="D2341">
        <v>57</v>
      </c>
    </row>
    <row r="2342" spans="1:4" x14ac:dyDescent="0.25">
      <c r="A2342" t="s">
        <v>1950</v>
      </c>
      <c r="B2342" t="s">
        <v>1334</v>
      </c>
      <c r="C2342" t="s">
        <v>910</v>
      </c>
      <c r="D2342">
        <v>179.9</v>
      </c>
    </row>
    <row r="2343" spans="1:4" x14ac:dyDescent="0.25">
      <c r="A2343" t="s">
        <v>1950</v>
      </c>
      <c r="B2343" t="s">
        <v>1334</v>
      </c>
      <c r="C2343" t="s">
        <v>917</v>
      </c>
      <c r="D2343">
        <v>27.9</v>
      </c>
    </row>
    <row r="2344" spans="1:4" x14ac:dyDescent="0.25">
      <c r="A2344" t="s">
        <v>1927</v>
      </c>
      <c r="B2344" t="s">
        <v>1331</v>
      </c>
      <c r="C2344" t="s">
        <v>917</v>
      </c>
      <c r="D2344">
        <v>3.85</v>
      </c>
    </row>
    <row r="2345" spans="1:4" x14ac:dyDescent="0.25">
      <c r="A2345" t="s">
        <v>1987</v>
      </c>
      <c r="B2345" t="s">
        <v>1331</v>
      </c>
      <c r="C2345" t="s">
        <v>917</v>
      </c>
      <c r="D2345">
        <v>89.27</v>
      </c>
    </row>
    <row r="2346" spans="1:4" x14ac:dyDescent="0.25">
      <c r="A2346" t="s">
        <v>1995</v>
      </c>
      <c r="B2346" t="s">
        <v>1330</v>
      </c>
      <c r="C2346" t="s">
        <v>917</v>
      </c>
      <c r="D2346">
        <v>1.5</v>
      </c>
    </row>
    <row r="2347" spans="1:4" x14ac:dyDescent="0.25">
      <c r="A2347" t="s">
        <v>1939</v>
      </c>
      <c r="B2347" t="s">
        <v>1331</v>
      </c>
      <c r="C2347" t="s">
        <v>917</v>
      </c>
      <c r="D2347">
        <v>15.55</v>
      </c>
    </row>
    <row r="2348" spans="1:4" x14ac:dyDescent="0.25">
      <c r="A2348" t="s">
        <v>1966</v>
      </c>
      <c r="B2348" t="s">
        <v>1331</v>
      </c>
      <c r="C2348" t="s">
        <v>917</v>
      </c>
      <c r="D2348">
        <v>382.4</v>
      </c>
    </row>
    <row r="2349" spans="1:4" x14ac:dyDescent="0.25">
      <c r="A2349" t="s">
        <v>1920</v>
      </c>
      <c r="B2349" t="s">
        <v>1331</v>
      </c>
      <c r="C2349" t="s">
        <v>917</v>
      </c>
      <c r="D2349">
        <v>86.35</v>
      </c>
    </row>
    <row r="2350" spans="1:4" x14ac:dyDescent="0.25">
      <c r="A2350" t="s">
        <v>1945</v>
      </c>
      <c r="B2350" t="s">
        <v>1331</v>
      </c>
      <c r="C2350" t="s">
        <v>917</v>
      </c>
      <c r="D2350">
        <v>2</v>
      </c>
    </row>
    <row r="2351" spans="1:4" x14ac:dyDescent="0.25">
      <c r="A2351" t="s">
        <v>1921</v>
      </c>
      <c r="B2351" t="s">
        <v>1330</v>
      </c>
      <c r="C2351" t="s">
        <v>917</v>
      </c>
      <c r="D2351">
        <v>68.45</v>
      </c>
    </row>
    <row r="2352" spans="1:4" x14ac:dyDescent="0.25">
      <c r="A2352" t="s">
        <v>1966</v>
      </c>
      <c r="B2352" t="s">
        <v>1331</v>
      </c>
      <c r="C2352" t="s">
        <v>1384</v>
      </c>
      <c r="D2352">
        <v>298.85000000000002</v>
      </c>
    </row>
    <row r="2353" spans="1:4" x14ac:dyDescent="0.25">
      <c r="A2353" t="s">
        <v>1949</v>
      </c>
      <c r="B2353" t="s">
        <v>1331</v>
      </c>
      <c r="C2353" t="s">
        <v>1384</v>
      </c>
      <c r="D2353">
        <v>122.5</v>
      </c>
    </row>
    <row r="2354" spans="1:4" x14ac:dyDescent="0.25">
      <c r="A2354" t="s">
        <v>2022</v>
      </c>
      <c r="B2354" t="s">
        <v>1334</v>
      </c>
      <c r="C2354" t="s">
        <v>1384</v>
      </c>
      <c r="D2354">
        <v>30.8</v>
      </c>
    </row>
    <row r="2355" spans="1:4" x14ac:dyDescent="0.25">
      <c r="A2355" t="s">
        <v>1902</v>
      </c>
      <c r="B2355" t="s">
        <v>1335</v>
      </c>
      <c r="C2355" t="s">
        <v>1384</v>
      </c>
      <c r="D2355">
        <v>29.5</v>
      </c>
    </row>
    <row r="2356" spans="1:4" x14ac:dyDescent="0.25">
      <c r="A2356" t="s">
        <v>1929</v>
      </c>
      <c r="B2356" t="s">
        <v>1331</v>
      </c>
      <c r="C2356" t="s">
        <v>1384</v>
      </c>
      <c r="D2356">
        <v>218</v>
      </c>
    </row>
    <row r="2357" spans="1:4" x14ac:dyDescent="0.25">
      <c r="A2357" t="s">
        <v>1939</v>
      </c>
      <c r="B2357" t="s">
        <v>1331</v>
      </c>
      <c r="C2357" t="s">
        <v>1384</v>
      </c>
      <c r="D2357">
        <v>133.4</v>
      </c>
    </row>
    <row r="2358" spans="1:4" x14ac:dyDescent="0.25">
      <c r="A2358" t="s">
        <v>1923</v>
      </c>
      <c r="B2358" t="s">
        <v>1331</v>
      </c>
      <c r="C2358" t="s">
        <v>1384</v>
      </c>
      <c r="D2358">
        <v>90.25</v>
      </c>
    </row>
    <row r="2359" spans="1:4" x14ac:dyDescent="0.25">
      <c r="A2359" t="s">
        <v>1929</v>
      </c>
      <c r="B2359" t="s">
        <v>1331</v>
      </c>
      <c r="C2359" t="s">
        <v>920</v>
      </c>
      <c r="D2359">
        <v>2</v>
      </c>
    </row>
    <row r="2360" spans="1:4" x14ac:dyDescent="0.25">
      <c r="A2360" t="s">
        <v>1950</v>
      </c>
      <c r="B2360" t="s">
        <v>1334</v>
      </c>
      <c r="C2360" t="s">
        <v>920</v>
      </c>
      <c r="D2360">
        <v>30.4</v>
      </c>
    </row>
    <row r="2361" spans="1:4" x14ac:dyDescent="0.25">
      <c r="A2361" t="s">
        <v>1995</v>
      </c>
      <c r="B2361" t="s">
        <v>1330</v>
      </c>
      <c r="C2361" t="s">
        <v>920</v>
      </c>
      <c r="D2361">
        <v>2</v>
      </c>
    </row>
    <row r="2362" spans="1:4" x14ac:dyDescent="0.25">
      <c r="A2362" t="s">
        <v>1965</v>
      </c>
      <c r="B2362" t="s">
        <v>1331</v>
      </c>
      <c r="C2362" t="s">
        <v>920</v>
      </c>
      <c r="D2362">
        <v>122.1</v>
      </c>
    </row>
    <row r="2363" spans="1:4" x14ac:dyDescent="0.25">
      <c r="A2363" t="s">
        <v>1980</v>
      </c>
      <c r="B2363" t="s">
        <v>1331</v>
      </c>
      <c r="C2363" t="s">
        <v>920</v>
      </c>
      <c r="D2363">
        <v>2</v>
      </c>
    </row>
    <row r="2364" spans="1:4" x14ac:dyDescent="0.25">
      <c r="A2364" t="s">
        <v>1902</v>
      </c>
      <c r="B2364" t="s">
        <v>1335</v>
      </c>
      <c r="C2364" t="s">
        <v>920</v>
      </c>
      <c r="D2364">
        <v>7.7</v>
      </c>
    </row>
    <row r="2365" spans="1:4" x14ac:dyDescent="0.25">
      <c r="A2365" t="s">
        <v>1920</v>
      </c>
      <c r="B2365" t="s">
        <v>1331</v>
      </c>
      <c r="C2365" t="s">
        <v>920</v>
      </c>
      <c r="D2365">
        <v>24.5</v>
      </c>
    </row>
    <row r="2366" spans="1:4" x14ac:dyDescent="0.25">
      <c r="A2366" t="s">
        <v>1904</v>
      </c>
      <c r="B2366" t="s">
        <v>1331</v>
      </c>
      <c r="C2366" t="s">
        <v>1432</v>
      </c>
      <c r="D2366">
        <v>231.5</v>
      </c>
    </row>
    <row r="2367" spans="1:4" x14ac:dyDescent="0.25">
      <c r="A2367" t="s">
        <v>2023</v>
      </c>
      <c r="B2367" t="s">
        <v>1330</v>
      </c>
      <c r="C2367" t="s">
        <v>1432</v>
      </c>
      <c r="D2367">
        <v>34.65</v>
      </c>
    </row>
    <row r="2368" spans="1:4" x14ac:dyDescent="0.25">
      <c r="A2368" t="s">
        <v>1920</v>
      </c>
      <c r="B2368" t="s">
        <v>1334</v>
      </c>
      <c r="C2368" t="s">
        <v>1432</v>
      </c>
      <c r="D2368">
        <v>49</v>
      </c>
    </row>
    <row r="2369" spans="1:4" x14ac:dyDescent="0.25">
      <c r="A2369" t="s">
        <v>2022</v>
      </c>
      <c r="B2369" t="s">
        <v>1334</v>
      </c>
      <c r="C2369" t="s">
        <v>1432</v>
      </c>
      <c r="D2369">
        <v>7.7</v>
      </c>
    </row>
    <row r="2370" spans="1:4" x14ac:dyDescent="0.25">
      <c r="A2370" t="s">
        <v>2021</v>
      </c>
      <c r="B2370" t="s">
        <v>1334</v>
      </c>
      <c r="C2370" t="s">
        <v>1432</v>
      </c>
      <c r="D2370">
        <v>31.45</v>
      </c>
    </row>
    <row r="2371" spans="1:4" x14ac:dyDescent="0.25">
      <c r="A2371" t="s">
        <v>1961</v>
      </c>
      <c r="B2371" t="s">
        <v>1331</v>
      </c>
      <c r="C2371" t="s">
        <v>1432</v>
      </c>
      <c r="D2371">
        <v>10.199999999999999</v>
      </c>
    </row>
    <row r="2372" spans="1:4" x14ac:dyDescent="0.25">
      <c r="A2372" t="s">
        <v>1982</v>
      </c>
      <c r="B2372" t="s">
        <v>1334</v>
      </c>
      <c r="C2372" t="s">
        <v>926</v>
      </c>
      <c r="D2372">
        <v>58.7</v>
      </c>
    </row>
    <row r="2373" spans="1:4" x14ac:dyDescent="0.25">
      <c r="A2373" t="s">
        <v>1950</v>
      </c>
      <c r="B2373" t="s">
        <v>1334</v>
      </c>
      <c r="C2373" t="s">
        <v>926</v>
      </c>
      <c r="D2373">
        <v>44.5</v>
      </c>
    </row>
    <row r="2374" spans="1:4" x14ac:dyDescent="0.25">
      <c r="A2374" t="s">
        <v>1965</v>
      </c>
      <c r="B2374" t="s">
        <v>1331</v>
      </c>
      <c r="C2374" t="s">
        <v>926</v>
      </c>
      <c r="D2374">
        <v>173.7</v>
      </c>
    </row>
    <row r="2375" spans="1:4" x14ac:dyDescent="0.25">
      <c r="A2375" t="s">
        <v>1956</v>
      </c>
      <c r="B2375" t="s">
        <v>1335</v>
      </c>
      <c r="C2375" t="s">
        <v>926</v>
      </c>
      <c r="D2375">
        <v>7.7</v>
      </c>
    </row>
    <row r="2376" spans="1:4" x14ac:dyDescent="0.25">
      <c r="A2376" t="s">
        <v>1902</v>
      </c>
      <c r="B2376" t="s">
        <v>1335</v>
      </c>
      <c r="C2376" t="s">
        <v>926</v>
      </c>
      <c r="D2376">
        <v>2</v>
      </c>
    </row>
    <row r="2377" spans="1:4" x14ac:dyDescent="0.25">
      <c r="A2377" t="s">
        <v>1984</v>
      </c>
      <c r="B2377" t="s">
        <v>1331</v>
      </c>
      <c r="C2377" t="s">
        <v>931</v>
      </c>
      <c r="D2377">
        <v>66</v>
      </c>
    </row>
    <row r="2378" spans="1:4" x14ac:dyDescent="0.25">
      <c r="A2378" t="s">
        <v>1953</v>
      </c>
      <c r="B2378" t="s">
        <v>1335</v>
      </c>
      <c r="C2378" t="s">
        <v>931</v>
      </c>
      <c r="D2378">
        <v>180.85</v>
      </c>
    </row>
    <row r="2379" spans="1:4" x14ac:dyDescent="0.25">
      <c r="A2379" t="s">
        <v>1950</v>
      </c>
      <c r="B2379" t="s">
        <v>1334</v>
      </c>
      <c r="C2379" t="s">
        <v>931</v>
      </c>
      <c r="D2379">
        <v>10.1</v>
      </c>
    </row>
    <row r="2380" spans="1:4" x14ac:dyDescent="0.25">
      <c r="A2380" t="s">
        <v>1931</v>
      </c>
      <c r="B2380" t="s">
        <v>1335</v>
      </c>
      <c r="C2380" t="s">
        <v>931</v>
      </c>
      <c r="D2380">
        <v>24.1</v>
      </c>
    </row>
    <row r="2381" spans="1:4" x14ac:dyDescent="0.25">
      <c r="A2381" t="s">
        <v>1956</v>
      </c>
      <c r="B2381" t="s">
        <v>1335</v>
      </c>
      <c r="C2381" t="s">
        <v>931</v>
      </c>
      <c r="D2381">
        <v>6.85</v>
      </c>
    </row>
    <row r="2382" spans="1:4" x14ac:dyDescent="0.25">
      <c r="A2382" t="s">
        <v>1995</v>
      </c>
      <c r="B2382" t="s">
        <v>1330</v>
      </c>
      <c r="C2382" t="s">
        <v>931</v>
      </c>
      <c r="D2382">
        <v>3</v>
      </c>
    </row>
    <row r="2383" spans="1:4" x14ac:dyDescent="0.25">
      <c r="A2383" t="s">
        <v>1902</v>
      </c>
      <c r="B2383" t="s">
        <v>1335</v>
      </c>
      <c r="C2383" t="s">
        <v>931</v>
      </c>
      <c r="D2383">
        <v>10.85</v>
      </c>
    </row>
    <row r="2384" spans="1:4" x14ac:dyDescent="0.25">
      <c r="A2384" t="s">
        <v>1978</v>
      </c>
      <c r="B2384" t="s">
        <v>1335</v>
      </c>
      <c r="C2384" t="s">
        <v>931</v>
      </c>
      <c r="D2384">
        <v>331.35</v>
      </c>
    </row>
    <row r="2385" spans="1:4" x14ac:dyDescent="0.25">
      <c r="A2385" t="s">
        <v>1900</v>
      </c>
      <c r="B2385" t="s">
        <v>1335</v>
      </c>
      <c r="C2385" t="s">
        <v>931</v>
      </c>
      <c r="D2385">
        <v>17.399999999999999</v>
      </c>
    </row>
    <row r="2386" spans="1:4" x14ac:dyDescent="0.25">
      <c r="A2386" t="s">
        <v>1916</v>
      </c>
      <c r="B2386" t="s">
        <v>1335</v>
      </c>
      <c r="C2386" t="s">
        <v>931</v>
      </c>
      <c r="D2386">
        <v>37.200000000000003</v>
      </c>
    </row>
    <row r="2387" spans="1:4" x14ac:dyDescent="0.25">
      <c r="A2387" t="s">
        <v>1921</v>
      </c>
      <c r="B2387" t="s">
        <v>1330</v>
      </c>
      <c r="C2387" t="s">
        <v>931</v>
      </c>
      <c r="D2387">
        <v>18.399999999999999</v>
      </c>
    </row>
    <row r="2388" spans="1:4" x14ac:dyDescent="0.25">
      <c r="A2388" t="s">
        <v>1911</v>
      </c>
      <c r="B2388" t="s">
        <v>1335</v>
      </c>
      <c r="C2388" t="s">
        <v>931</v>
      </c>
      <c r="D2388">
        <v>11.55</v>
      </c>
    </row>
    <row r="2389" spans="1:4" x14ac:dyDescent="0.25">
      <c r="A2389" t="s">
        <v>1983</v>
      </c>
      <c r="B2389" t="s">
        <v>1330</v>
      </c>
      <c r="C2389" t="s">
        <v>936</v>
      </c>
      <c r="D2389">
        <v>3</v>
      </c>
    </row>
    <row r="2390" spans="1:4" x14ac:dyDescent="0.25">
      <c r="A2390" t="s">
        <v>1953</v>
      </c>
      <c r="B2390" t="s">
        <v>1335</v>
      </c>
      <c r="C2390" t="s">
        <v>936</v>
      </c>
      <c r="D2390">
        <v>112.95</v>
      </c>
    </row>
    <row r="2391" spans="1:4" x14ac:dyDescent="0.25">
      <c r="A2391" t="s">
        <v>1956</v>
      </c>
      <c r="B2391" t="s">
        <v>1335</v>
      </c>
      <c r="C2391" t="s">
        <v>936</v>
      </c>
      <c r="D2391">
        <v>5.85</v>
      </c>
    </row>
    <row r="2392" spans="1:4" x14ac:dyDescent="0.25">
      <c r="A2392" t="s">
        <v>1984</v>
      </c>
      <c r="B2392" t="s">
        <v>1331</v>
      </c>
      <c r="C2392" t="s">
        <v>936</v>
      </c>
      <c r="D2392">
        <v>39</v>
      </c>
    </row>
    <row r="2393" spans="1:4" x14ac:dyDescent="0.25">
      <c r="A2393" t="s">
        <v>1921</v>
      </c>
      <c r="B2393" t="s">
        <v>1330</v>
      </c>
      <c r="C2393" t="s">
        <v>936</v>
      </c>
      <c r="D2393">
        <v>10.4</v>
      </c>
    </row>
    <row r="2394" spans="1:4" x14ac:dyDescent="0.25">
      <c r="A2394" t="s">
        <v>1978</v>
      </c>
      <c r="B2394" t="s">
        <v>1335</v>
      </c>
      <c r="C2394" t="s">
        <v>936</v>
      </c>
      <c r="D2394">
        <v>154.1</v>
      </c>
    </row>
    <row r="2395" spans="1:4" x14ac:dyDescent="0.25">
      <c r="A2395" t="s">
        <v>1916</v>
      </c>
      <c r="B2395" t="s">
        <v>1335</v>
      </c>
      <c r="C2395" t="s">
        <v>936</v>
      </c>
      <c r="D2395">
        <v>28.95</v>
      </c>
    </row>
    <row r="2396" spans="1:4" x14ac:dyDescent="0.25">
      <c r="A2396" t="s">
        <v>1950</v>
      </c>
      <c r="B2396" t="s">
        <v>1334</v>
      </c>
      <c r="C2396" t="s">
        <v>936</v>
      </c>
      <c r="D2396">
        <v>5.7</v>
      </c>
    </row>
    <row r="2397" spans="1:4" x14ac:dyDescent="0.25">
      <c r="A2397" t="s">
        <v>1923</v>
      </c>
      <c r="B2397" t="s">
        <v>1331</v>
      </c>
      <c r="C2397" t="s">
        <v>940</v>
      </c>
      <c r="D2397">
        <v>2</v>
      </c>
    </row>
    <row r="2398" spans="1:4" x14ac:dyDescent="0.25">
      <c r="A2398" t="s">
        <v>1956</v>
      </c>
      <c r="B2398" t="s">
        <v>1335</v>
      </c>
      <c r="C2398" t="s">
        <v>940</v>
      </c>
      <c r="D2398">
        <v>3.85</v>
      </c>
    </row>
    <row r="2399" spans="1:4" x14ac:dyDescent="0.25">
      <c r="A2399" t="s">
        <v>1972</v>
      </c>
      <c r="B2399" t="s">
        <v>1334</v>
      </c>
      <c r="C2399" t="s">
        <v>940</v>
      </c>
      <c r="D2399">
        <v>2</v>
      </c>
    </row>
    <row r="2400" spans="1:4" x14ac:dyDescent="0.25">
      <c r="A2400" t="s">
        <v>1995</v>
      </c>
      <c r="B2400" t="s">
        <v>1330</v>
      </c>
      <c r="C2400" t="s">
        <v>940</v>
      </c>
      <c r="D2400">
        <v>753.35</v>
      </c>
    </row>
    <row r="2401" spans="1:4" x14ac:dyDescent="0.25">
      <c r="A2401" t="s">
        <v>1969</v>
      </c>
      <c r="B2401" t="s">
        <v>1331</v>
      </c>
      <c r="C2401" t="s">
        <v>940</v>
      </c>
      <c r="D2401">
        <v>2</v>
      </c>
    </row>
    <row r="2402" spans="1:4" x14ac:dyDescent="0.25">
      <c r="A2402" t="s">
        <v>1982</v>
      </c>
      <c r="B2402" t="s">
        <v>1334</v>
      </c>
      <c r="C2402" t="s">
        <v>940</v>
      </c>
      <c r="D2402">
        <v>14</v>
      </c>
    </row>
    <row r="2403" spans="1:4" x14ac:dyDescent="0.25">
      <c r="A2403" t="s">
        <v>1920</v>
      </c>
      <c r="B2403" t="s">
        <v>1331</v>
      </c>
      <c r="C2403" t="s">
        <v>940</v>
      </c>
      <c r="D2403">
        <v>79.2</v>
      </c>
    </row>
    <row r="2404" spans="1:4" x14ac:dyDescent="0.25">
      <c r="A2404" t="s">
        <v>1931</v>
      </c>
      <c r="B2404" t="s">
        <v>1335</v>
      </c>
      <c r="C2404" t="s">
        <v>940</v>
      </c>
      <c r="D2404">
        <v>49.05</v>
      </c>
    </row>
    <row r="2405" spans="1:4" x14ac:dyDescent="0.25">
      <c r="A2405" t="s">
        <v>1920</v>
      </c>
      <c r="B2405" t="s">
        <v>1330</v>
      </c>
      <c r="C2405" t="s">
        <v>940</v>
      </c>
      <c r="D2405">
        <v>2</v>
      </c>
    </row>
    <row r="2406" spans="1:4" x14ac:dyDescent="0.25">
      <c r="A2406" t="s">
        <v>1950</v>
      </c>
      <c r="B2406" t="s">
        <v>1331</v>
      </c>
      <c r="C2406" t="s">
        <v>940</v>
      </c>
      <c r="D2406">
        <v>4</v>
      </c>
    </row>
    <row r="2407" spans="1:4" x14ac:dyDescent="0.25">
      <c r="A2407" t="s">
        <v>1935</v>
      </c>
      <c r="B2407" t="s">
        <v>1331</v>
      </c>
      <c r="C2407" t="s">
        <v>940</v>
      </c>
      <c r="D2407">
        <v>463.65</v>
      </c>
    </row>
    <row r="2408" spans="1:4" x14ac:dyDescent="0.25">
      <c r="A2408" t="s">
        <v>1950</v>
      </c>
      <c r="B2408" t="s">
        <v>1334</v>
      </c>
      <c r="C2408" t="s">
        <v>940</v>
      </c>
      <c r="D2408">
        <v>237</v>
      </c>
    </row>
    <row r="2409" spans="1:4" x14ac:dyDescent="0.25">
      <c r="A2409" t="s">
        <v>1902</v>
      </c>
      <c r="B2409" t="s">
        <v>1335</v>
      </c>
      <c r="C2409" t="s">
        <v>940</v>
      </c>
      <c r="D2409">
        <v>3.85</v>
      </c>
    </row>
    <row r="2410" spans="1:4" x14ac:dyDescent="0.25">
      <c r="A2410" t="s">
        <v>1995</v>
      </c>
      <c r="B2410" t="s">
        <v>1331</v>
      </c>
      <c r="C2410" t="s">
        <v>940</v>
      </c>
      <c r="D2410">
        <v>3</v>
      </c>
    </row>
    <row r="2411" spans="1:4" x14ac:dyDescent="0.25">
      <c r="A2411" t="s">
        <v>1958</v>
      </c>
      <c r="B2411" t="s">
        <v>1330</v>
      </c>
      <c r="C2411" t="s">
        <v>940</v>
      </c>
      <c r="D2411">
        <v>9.6999999999999993</v>
      </c>
    </row>
    <row r="2412" spans="1:4" x14ac:dyDescent="0.25">
      <c r="A2412" t="s">
        <v>1982</v>
      </c>
      <c r="B2412" t="s">
        <v>1334</v>
      </c>
      <c r="C2412" t="s">
        <v>944</v>
      </c>
      <c r="D2412">
        <v>64</v>
      </c>
    </row>
    <row r="2413" spans="1:4" x14ac:dyDescent="0.25">
      <c r="A2413" t="s">
        <v>1950</v>
      </c>
      <c r="B2413" t="s">
        <v>1334</v>
      </c>
      <c r="C2413" t="s">
        <v>944</v>
      </c>
      <c r="D2413">
        <v>45.6</v>
      </c>
    </row>
    <row r="2414" spans="1:4" x14ac:dyDescent="0.25">
      <c r="A2414" t="s">
        <v>1965</v>
      </c>
      <c r="B2414" t="s">
        <v>1331</v>
      </c>
      <c r="C2414" t="s">
        <v>944</v>
      </c>
      <c r="D2414">
        <v>108.1</v>
      </c>
    </row>
    <row r="2415" spans="1:4" x14ac:dyDescent="0.25">
      <c r="A2415" t="s">
        <v>2005</v>
      </c>
      <c r="B2415" t="s">
        <v>1331</v>
      </c>
      <c r="C2415" t="s">
        <v>944</v>
      </c>
      <c r="D2415">
        <v>9.1999999999999993</v>
      </c>
    </row>
    <row r="2416" spans="1:4" x14ac:dyDescent="0.25">
      <c r="A2416" t="s">
        <v>1920</v>
      </c>
      <c r="B2416" t="s">
        <v>1331</v>
      </c>
      <c r="C2416" t="s">
        <v>944</v>
      </c>
      <c r="D2416">
        <v>3</v>
      </c>
    </row>
    <row r="2417" spans="1:4" x14ac:dyDescent="0.25">
      <c r="A2417" t="s">
        <v>2018</v>
      </c>
      <c r="B2417" t="s">
        <v>1335</v>
      </c>
      <c r="C2417" t="s">
        <v>944</v>
      </c>
      <c r="D2417">
        <v>11.4</v>
      </c>
    </row>
    <row r="2418" spans="1:4" x14ac:dyDescent="0.25">
      <c r="A2418" t="s">
        <v>1995</v>
      </c>
      <c r="B2418" t="s">
        <v>1330</v>
      </c>
      <c r="C2418" t="s">
        <v>944</v>
      </c>
      <c r="D2418">
        <v>3.2</v>
      </c>
    </row>
    <row r="2419" spans="1:4" x14ac:dyDescent="0.25">
      <c r="A2419" t="s">
        <v>1921</v>
      </c>
      <c r="B2419" t="s">
        <v>1330</v>
      </c>
      <c r="C2419" t="s">
        <v>949</v>
      </c>
      <c r="D2419">
        <v>98.8</v>
      </c>
    </row>
    <row r="2420" spans="1:4" x14ac:dyDescent="0.25">
      <c r="A2420" t="s">
        <v>1988</v>
      </c>
      <c r="B2420" t="s">
        <v>1330</v>
      </c>
      <c r="C2420" t="s">
        <v>949</v>
      </c>
      <c r="D2420">
        <v>2</v>
      </c>
    </row>
    <row r="2421" spans="1:4" x14ac:dyDescent="0.25">
      <c r="A2421" t="s">
        <v>1982</v>
      </c>
      <c r="B2421" t="s">
        <v>1334</v>
      </c>
      <c r="C2421" t="s">
        <v>949</v>
      </c>
      <c r="D2421">
        <v>317.10000000000002</v>
      </c>
    </row>
    <row r="2422" spans="1:4" x14ac:dyDescent="0.25">
      <c r="A2422" t="s">
        <v>1950</v>
      </c>
      <c r="B2422" t="s">
        <v>1334</v>
      </c>
      <c r="C2422" t="s">
        <v>949</v>
      </c>
      <c r="D2422">
        <v>273.64999999999998</v>
      </c>
    </row>
    <row r="2423" spans="1:4" x14ac:dyDescent="0.25">
      <c r="A2423" t="s">
        <v>1920</v>
      </c>
      <c r="B2423" t="s">
        <v>1330</v>
      </c>
      <c r="C2423" t="s">
        <v>949</v>
      </c>
      <c r="D2423">
        <v>2</v>
      </c>
    </row>
    <row r="2424" spans="1:4" x14ac:dyDescent="0.25">
      <c r="A2424" t="s">
        <v>1920</v>
      </c>
      <c r="B2424" t="s">
        <v>1331</v>
      </c>
      <c r="C2424" t="s">
        <v>949</v>
      </c>
      <c r="D2424">
        <v>42</v>
      </c>
    </row>
    <row r="2425" spans="1:4" x14ac:dyDescent="0.25">
      <c r="A2425" t="s">
        <v>1902</v>
      </c>
      <c r="B2425" t="s">
        <v>1335</v>
      </c>
      <c r="C2425" t="s">
        <v>949</v>
      </c>
      <c r="D2425">
        <v>9.3000000000000007</v>
      </c>
    </row>
    <row r="2426" spans="1:4" x14ac:dyDescent="0.25">
      <c r="A2426" t="s">
        <v>1913</v>
      </c>
      <c r="B2426" t="s">
        <v>1335</v>
      </c>
      <c r="C2426" t="s">
        <v>949</v>
      </c>
      <c r="D2426">
        <v>19.25</v>
      </c>
    </row>
    <row r="2427" spans="1:4" x14ac:dyDescent="0.25">
      <c r="A2427" t="s">
        <v>1900</v>
      </c>
      <c r="B2427" t="s">
        <v>1335</v>
      </c>
      <c r="C2427" t="s">
        <v>949</v>
      </c>
      <c r="D2427">
        <v>18.25</v>
      </c>
    </row>
    <row r="2428" spans="1:4" x14ac:dyDescent="0.25">
      <c r="A2428" t="s">
        <v>1991</v>
      </c>
      <c r="B2428" t="s">
        <v>1331</v>
      </c>
      <c r="C2428" t="s">
        <v>949</v>
      </c>
      <c r="D2428">
        <v>19.350000000000001</v>
      </c>
    </row>
    <row r="2429" spans="1:4" x14ac:dyDescent="0.25">
      <c r="A2429" t="s">
        <v>1983</v>
      </c>
      <c r="B2429" t="s">
        <v>1335</v>
      </c>
      <c r="C2429" t="s">
        <v>949</v>
      </c>
      <c r="D2429">
        <v>14.2</v>
      </c>
    </row>
    <row r="2430" spans="1:4" x14ac:dyDescent="0.25">
      <c r="A2430" t="s">
        <v>1987</v>
      </c>
      <c r="B2430" t="s">
        <v>1331</v>
      </c>
      <c r="C2430" t="s">
        <v>949</v>
      </c>
      <c r="D2430">
        <v>177.28</v>
      </c>
    </row>
    <row r="2431" spans="1:4" x14ac:dyDescent="0.25">
      <c r="A2431" t="s">
        <v>1978</v>
      </c>
      <c r="B2431" t="s">
        <v>1335</v>
      </c>
      <c r="C2431" t="s">
        <v>949</v>
      </c>
      <c r="D2431">
        <v>408.6</v>
      </c>
    </row>
    <row r="2432" spans="1:4" x14ac:dyDescent="0.25">
      <c r="A2432" t="s">
        <v>1995</v>
      </c>
      <c r="B2432" t="s">
        <v>1330</v>
      </c>
      <c r="C2432" t="s">
        <v>949</v>
      </c>
      <c r="D2432">
        <v>41.4</v>
      </c>
    </row>
    <row r="2433" spans="1:4" x14ac:dyDescent="0.25">
      <c r="A2433" t="s">
        <v>1916</v>
      </c>
      <c r="B2433" t="s">
        <v>1335</v>
      </c>
      <c r="C2433" t="s">
        <v>949</v>
      </c>
      <c r="D2433">
        <v>28.1</v>
      </c>
    </row>
    <row r="2434" spans="1:4" x14ac:dyDescent="0.25">
      <c r="A2434" t="s">
        <v>1956</v>
      </c>
      <c r="B2434" t="s">
        <v>1335</v>
      </c>
      <c r="C2434" t="s">
        <v>949</v>
      </c>
      <c r="D2434">
        <v>20.95</v>
      </c>
    </row>
    <row r="2435" spans="1:4" x14ac:dyDescent="0.25">
      <c r="A2435" t="s">
        <v>1966</v>
      </c>
      <c r="B2435" t="s">
        <v>1335</v>
      </c>
      <c r="C2435" t="s">
        <v>949</v>
      </c>
      <c r="D2435">
        <v>123.2</v>
      </c>
    </row>
    <row r="2436" spans="1:4" x14ac:dyDescent="0.25">
      <c r="A2436" t="s">
        <v>1950</v>
      </c>
      <c r="B2436" t="s">
        <v>1334</v>
      </c>
      <c r="C2436" t="s">
        <v>954</v>
      </c>
      <c r="D2436">
        <v>12</v>
      </c>
    </row>
    <row r="2437" spans="1:4" x14ac:dyDescent="0.25">
      <c r="A2437" t="s">
        <v>1956</v>
      </c>
      <c r="B2437" t="s">
        <v>1335</v>
      </c>
      <c r="C2437" t="s">
        <v>954</v>
      </c>
      <c r="D2437">
        <v>6.55</v>
      </c>
    </row>
    <row r="2438" spans="1:4" x14ac:dyDescent="0.25">
      <c r="A2438" t="s">
        <v>1913</v>
      </c>
      <c r="B2438" t="s">
        <v>1335</v>
      </c>
      <c r="C2438" t="s">
        <v>954</v>
      </c>
      <c r="D2438">
        <v>15.4</v>
      </c>
    </row>
    <row r="2439" spans="1:4" x14ac:dyDescent="0.25">
      <c r="A2439" t="s">
        <v>1953</v>
      </c>
      <c r="B2439" t="s">
        <v>1335</v>
      </c>
      <c r="C2439" t="s">
        <v>954</v>
      </c>
      <c r="D2439">
        <v>416</v>
      </c>
    </row>
    <row r="2440" spans="1:4" x14ac:dyDescent="0.25">
      <c r="A2440" t="s">
        <v>1916</v>
      </c>
      <c r="B2440" t="s">
        <v>1335</v>
      </c>
      <c r="C2440" t="s">
        <v>954</v>
      </c>
      <c r="D2440">
        <v>130</v>
      </c>
    </row>
    <row r="2441" spans="1:4" x14ac:dyDescent="0.25">
      <c r="A2441" t="s">
        <v>1978</v>
      </c>
      <c r="B2441" t="s">
        <v>1335</v>
      </c>
      <c r="C2441" t="s">
        <v>954</v>
      </c>
      <c r="D2441">
        <v>142.75</v>
      </c>
    </row>
    <row r="2442" spans="1:4" x14ac:dyDescent="0.25">
      <c r="A2442" t="s">
        <v>1982</v>
      </c>
      <c r="B2442" t="s">
        <v>1334</v>
      </c>
      <c r="C2442" t="s">
        <v>954</v>
      </c>
      <c r="D2442">
        <v>7</v>
      </c>
    </row>
    <row r="2443" spans="1:4" x14ac:dyDescent="0.25">
      <c r="A2443" t="s">
        <v>1931</v>
      </c>
      <c r="B2443" t="s">
        <v>1335</v>
      </c>
      <c r="C2443" t="s">
        <v>954</v>
      </c>
      <c r="D2443">
        <v>7.7</v>
      </c>
    </row>
    <row r="2444" spans="1:4" x14ac:dyDescent="0.25">
      <c r="A2444" t="s">
        <v>1968</v>
      </c>
      <c r="B2444" t="s">
        <v>1331</v>
      </c>
      <c r="C2444" t="s">
        <v>958</v>
      </c>
      <c r="D2444">
        <v>51.5</v>
      </c>
    </row>
    <row r="2445" spans="1:4" x14ac:dyDescent="0.25">
      <c r="A2445" t="s">
        <v>1907</v>
      </c>
      <c r="B2445" t="s">
        <v>1335</v>
      </c>
      <c r="C2445" t="s">
        <v>958</v>
      </c>
      <c r="D2445">
        <v>28.8</v>
      </c>
    </row>
    <row r="2446" spans="1:4" x14ac:dyDescent="0.25">
      <c r="A2446" t="s">
        <v>1913</v>
      </c>
      <c r="B2446" t="s">
        <v>1335</v>
      </c>
      <c r="C2446" t="s">
        <v>958</v>
      </c>
      <c r="D2446">
        <v>31.95</v>
      </c>
    </row>
    <row r="2447" spans="1:4" x14ac:dyDescent="0.25">
      <c r="A2447" t="s">
        <v>1987</v>
      </c>
      <c r="B2447" t="s">
        <v>1331</v>
      </c>
      <c r="C2447" t="s">
        <v>958</v>
      </c>
      <c r="D2447">
        <v>297.77999999999997</v>
      </c>
    </row>
    <row r="2448" spans="1:4" x14ac:dyDescent="0.25">
      <c r="A2448" t="s">
        <v>1902</v>
      </c>
      <c r="B2448" t="s">
        <v>1335</v>
      </c>
      <c r="C2448" t="s">
        <v>958</v>
      </c>
      <c r="D2448">
        <v>19.399999999999999</v>
      </c>
    </row>
    <row r="2449" spans="1:4" x14ac:dyDescent="0.25">
      <c r="A2449" t="s">
        <v>1939</v>
      </c>
      <c r="B2449" t="s">
        <v>1331</v>
      </c>
      <c r="C2449" t="s">
        <v>958</v>
      </c>
      <c r="D2449">
        <v>32.299999999999997</v>
      </c>
    </row>
    <row r="2450" spans="1:4" x14ac:dyDescent="0.25">
      <c r="A2450" t="s">
        <v>1911</v>
      </c>
      <c r="B2450" t="s">
        <v>1335</v>
      </c>
      <c r="C2450" t="s">
        <v>958</v>
      </c>
      <c r="D2450">
        <v>27.95</v>
      </c>
    </row>
    <row r="2451" spans="1:4" x14ac:dyDescent="0.25">
      <c r="A2451" t="s">
        <v>1981</v>
      </c>
      <c r="B2451" t="s">
        <v>1331</v>
      </c>
      <c r="C2451" t="s">
        <v>958</v>
      </c>
      <c r="D2451">
        <v>15.4</v>
      </c>
    </row>
    <row r="2452" spans="1:4" x14ac:dyDescent="0.25">
      <c r="A2452" t="s">
        <v>1950</v>
      </c>
      <c r="B2452" t="s">
        <v>1334</v>
      </c>
      <c r="C2452" t="s">
        <v>958</v>
      </c>
      <c r="D2452">
        <v>218.7</v>
      </c>
    </row>
    <row r="2453" spans="1:4" x14ac:dyDescent="0.25">
      <c r="A2453" t="s">
        <v>1966</v>
      </c>
      <c r="B2453" t="s">
        <v>1331</v>
      </c>
      <c r="C2453" t="s">
        <v>958</v>
      </c>
      <c r="D2453">
        <v>629.4</v>
      </c>
    </row>
    <row r="2454" spans="1:4" x14ac:dyDescent="0.25">
      <c r="A2454" t="s">
        <v>1995</v>
      </c>
      <c r="B2454" t="s">
        <v>1331</v>
      </c>
      <c r="C2454" t="s">
        <v>958</v>
      </c>
      <c r="D2454">
        <v>37.4</v>
      </c>
    </row>
    <row r="2455" spans="1:4" x14ac:dyDescent="0.25">
      <c r="A2455" t="s">
        <v>1956</v>
      </c>
      <c r="B2455" t="s">
        <v>1335</v>
      </c>
      <c r="C2455" t="s">
        <v>958</v>
      </c>
      <c r="D2455">
        <v>11.55</v>
      </c>
    </row>
    <row r="2456" spans="1:4" x14ac:dyDescent="0.25">
      <c r="A2456" t="s">
        <v>1920</v>
      </c>
      <c r="B2456" t="s">
        <v>1331</v>
      </c>
      <c r="C2456" t="s">
        <v>958</v>
      </c>
      <c r="D2456">
        <v>212</v>
      </c>
    </row>
    <row r="2457" spans="1:4" x14ac:dyDescent="0.25">
      <c r="A2457" t="s">
        <v>1962</v>
      </c>
      <c r="B2457" t="s">
        <v>1331</v>
      </c>
      <c r="C2457" t="s">
        <v>958</v>
      </c>
      <c r="D2457">
        <v>7.7</v>
      </c>
    </row>
    <row r="2458" spans="1:4" x14ac:dyDescent="0.25">
      <c r="A2458" t="s">
        <v>1920</v>
      </c>
      <c r="B2458" t="s">
        <v>1330</v>
      </c>
      <c r="C2458" t="s">
        <v>958</v>
      </c>
      <c r="D2458">
        <v>2</v>
      </c>
    </row>
    <row r="2459" spans="1:4" x14ac:dyDescent="0.25">
      <c r="A2459" t="s">
        <v>1990</v>
      </c>
      <c r="B2459" t="s">
        <v>1334</v>
      </c>
      <c r="C2459" t="s">
        <v>958</v>
      </c>
      <c r="D2459">
        <v>7.7</v>
      </c>
    </row>
    <row r="2460" spans="1:4" x14ac:dyDescent="0.25">
      <c r="A2460" t="s">
        <v>1982</v>
      </c>
      <c r="B2460" t="s">
        <v>1334</v>
      </c>
      <c r="C2460" t="s">
        <v>958</v>
      </c>
      <c r="D2460">
        <v>123.7</v>
      </c>
    </row>
    <row r="2461" spans="1:4" x14ac:dyDescent="0.25">
      <c r="A2461" t="s">
        <v>1931</v>
      </c>
      <c r="B2461" t="s">
        <v>1335</v>
      </c>
      <c r="C2461" t="s">
        <v>958</v>
      </c>
      <c r="D2461">
        <v>110.65</v>
      </c>
    </row>
    <row r="2462" spans="1:4" x14ac:dyDescent="0.25">
      <c r="A2462" t="s">
        <v>1972</v>
      </c>
      <c r="B2462" t="s">
        <v>1334</v>
      </c>
      <c r="C2462" t="s">
        <v>958</v>
      </c>
      <c r="D2462">
        <v>24</v>
      </c>
    </row>
    <row r="2463" spans="1:4" x14ac:dyDescent="0.25">
      <c r="A2463" t="s">
        <v>1995</v>
      </c>
      <c r="B2463" t="s">
        <v>1330</v>
      </c>
      <c r="C2463" t="s">
        <v>958</v>
      </c>
      <c r="D2463">
        <v>1121.3499999999999</v>
      </c>
    </row>
    <row r="2464" spans="1:4" x14ac:dyDescent="0.25">
      <c r="A2464" t="s">
        <v>1966</v>
      </c>
      <c r="B2464" t="s">
        <v>1335</v>
      </c>
      <c r="C2464" t="s">
        <v>958</v>
      </c>
      <c r="D2464">
        <v>200.2</v>
      </c>
    </row>
    <row r="2465" spans="1:4" x14ac:dyDescent="0.25">
      <c r="A2465" t="s">
        <v>1967</v>
      </c>
      <c r="B2465" t="s">
        <v>1331</v>
      </c>
      <c r="C2465" t="s">
        <v>958</v>
      </c>
      <c r="D2465">
        <v>97</v>
      </c>
    </row>
    <row r="2466" spans="1:4" x14ac:dyDescent="0.25">
      <c r="A2466" t="s">
        <v>1995</v>
      </c>
      <c r="B2466" t="s">
        <v>1334</v>
      </c>
      <c r="C2466" t="s">
        <v>958</v>
      </c>
      <c r="D2466">
        <v>40.799999999999997</v>
      </c>
    </row>
    <row r="2467" spans="1:4" x14ac:dyDescent="0.25">
      <c r="A2467" t="s">
        <v>1927</v>
      </c>
      <c r="B2467" t="s">
        <v>1331</v>
      </c>
      <c r="C2467" t="s">
        <v>958</v>
      </c>
      <c r="D2467">
        <v>127.05</v>
      </c>
    </row>
    <row r="2468" spans="1:4" x14ac:dyDescent="0.25">
      <c r="A2468" t="s">
        <v>1921</v>
      </c>
      <c r="B2468" t="s">
        <v>1330</v>
      </c>
      <c r="C2468" t="s">
        <v>958</v>
      </c>
      <c r="D2468">
        <v>138</v>
      </c>
    </row>
    <row r="2469" spans="1:4" x14ac:dyDescent="0.25">
      <c r="A2469" t="s">
        <v>1935</v>
      </c>
      <c r="B2469" t="s">
        <v>1331</v>
      </c>
      <c r="C2469" t="s">
        <v>958</v>
      </c>
      <c r="D2469">
        <v>13</v>
      </c>
    </row>
    <row r="2470" spans="1:4" x14ac:dyDescent="0.25">
      <c r="A2470" t="s">
        <v>1920</v>
      </c>
      <c r="B2470" t="s">
        <v>1331</v>
      </c>
      <c r="C2470" t="s">
        <v>962</v>
      </c>
      <c r="D2470">
        <v>95</v>
      </c>
    </row>
    <row r="2471" spans="1:4" x14ac:dyDescent="0.25">
      <c r="A2471" t="s">
        <v>1929</v>
      </c>
      <c r="B2471" t="s">
        <v>1331</v>
      </c>
      <c r="C2471" t="s">
        <v>962</v>
      </c>
      <c r="D2471">
        <v>301.7</v>
      </c>
    </row>
    <row r="2472" spans="1:4" x14ac:dyDescent="0.25">
      <c r="A2472" t="s">
        <v>1950</v>
      </c>
      <c r="B2472" t="s">
        <v>1334</v>
      </c>
      <c r="C2472" t="s">
        <v>962</v>
      </c>
      <c r="D2472">
        <v>5.7</v>
      </c>
    </row>
    <row r="2473" spans="1:4" x14ac:dyDescent="0.25">
      <c r="A2473" t="s">
        <v>1927</v>
      </c>
      <c r="B2473" t="s">
        <v>1331</v>
      </c>
      <c r="C2473" t="s">
        <v>962</v>
      </c>
      <c r="D2473">
        <v>42.35</v>
      </c>
    </row>
    <row r="2474" spans="1:4" x14ac:dyDescent="0.25">
      <c r="A2474" t="s">
        <v>1982</v>
      </c>
      <c r="B2474" t="s">
        <v>1334</v>
      </c>
      <c r="C2474" t="s">
        <v>962</v>
      </c>
      <c r="D2474">
        <v>62</v>
      </c>
    </row>
    <row r="2475" spans="1:4" x14ac:dyDescent="0.25">
      <c r="A2475" t="s">
        <v>1913</v>
      </c>
      <c r="B2475" t="s">
        <v>1335</v>
      </c>
      <c r="C2475" t="s">
        <v>962</v>
      </c>
      <c r="D2475">
        <v>4</v>
      </c>
    </row>
    <row r="2476" spans="1:4" x14ac:dyDescent="0.25">
      <c r="A2476" t="s">
        <v>1945</v>
      </c>
      <c r="B2476" t="s">
        <v>1331</v>
      </c>
      <c r="C2476" t="s">
        <v>962</v>
      </c>
      <c r="D2476">
        <v>3</v>
      </c>
    </row>
    <row r="2477" spans="1:4" x14ac:dyDescent="0.25">
      <c r="A2477" t="s">
        <v>1921</v>
      </c>
      <c r="B2477" t="s">
        <v>1330</v>
      </c>
      <c r="C2477" t="s">
        <v>962</v>
      </c>
      <c r="D2477">
        <v>43.2</v>
      </c>
    </row>
    <row r="2478" spans="1:4" x14ac:dyDescent="0.25">
      <c r="A2478" t="s">
        <v>1995</v>
      </c>
      <c r="B2478" t="s">
        <v>1330</v>
      </c>
      <c r="C2478" t="s">
        <v>962</v>
      </c>
      <c r="D2478">
        <v>2</v>
      </c>
    </row>
    <row r="2479" spans="1:4" x14ac:dyDescent="0.25">
      <c r="A2479" t="s">
        <v>1923</v>
      </c>
      <c r="B2479" t="s">
        <v>1331</v>
      </c>
      <c r="C2479" t="s">
        <v>962</v>
      </c>
      <c r="D2479">
        <v>15</v>
      </c>
    </row>
    <row r="2480" spans="1:4" x14ac:dyDescent="0.25">
      <c r="A2480" t="s">
        <v>1965</v>
      </c>
      <c r="B2480" t="s">
        <v>1331</v>
      </c>
      <c r="C2480" t="s">
        <v>967</v>
      </c>
      <c r="D2480">
        <v>197.1</v>
      </c>
    </row>
    <row r="2481" spans="1:4" x14ac:dyDescent="0.25">
      <c r="A2481" t="s">
        <v>1982</v>
      </c>
      <c r="B2481" t="s">
        <v>1334</v>
      </c>
      <c r="C2481" t="s">
        <v>967</v>
      </c>
      <c r="D2481">
        <v>34</v>
      </c>
    </row>
    <row r="2482" spans="1:4" x14ac:dyDescent="0.25">
      <c r="A2482" t="s">
        <v>1921</v>
      </c>
      <c r="B2482" t="s">
        <v>1330</v>
      </c>
      <c r="C2482" t="s">
        <v>967</v>
      </c>
      <c r="D2482">
        <v>1</v>
      </c>
    </row>
    <row r="2483" spans="1:4" x14ac:dyDescent="0.25">
      <c r="A2483" t="s">
        <v>1995</v>
      </c>
      <c r="B2483" t="s">
        <v>1330</v>
      </c>
      <c r="C2483" t="s">
        <v>967</v>
      </c>
      <c r="D2483">
        <v>1</v>
      </c>
    </row>
    <row r="2484" spans="1:4" x14ac:dyDescent="0.25">
      <c r="A2484" t="s">
        <v>1920</v>
      </c>
      <c r="B2484" t="s">
        <v>1331</v>
      </c>
      <c r="C2484" t="s">
        <v>967</v>
      </c>
      <c r="D2484">
        <v>30</v>
      </c>
    </row>
    <row r="2485" spans="1:4" x14ac:dyDescent="0.25">
      <c r="A2485" t="s">
        <v>1950</v>
      </c>
      <c r="B2485" t="s">
        <v>1334</v>
      </c>
      <c r="C2485" t="s">
        <v>967</v>
      </c>
      <c r="D2485">
        <v>48.4</v>
      </c>
    </row>
    <row r="2486" spans="1:4" x14ac:dyDescent="0.25">
      <c r="A2486" t="s">
        <v>1967</v>
      </c>
      <c r="B2486" t="s">
        <v>1331</v>
      </c>
      <c r="C2486" t="s">
        <v>1341</v>
      </c>
      <c r="D2486">
        <v>390.1</v>
      </c>
    </row>
    <row r="2487" spans="1:4" x14ac:dyDescent="0.25">
      <c r="A2487" t="s">
        <v>2023</v>
      </c>
      <c r="B2487" t="s">
        <v>1330</v>
      </c>
      <c r="C2487" t="s">
        <v>1341</v>
      </c>
      <c r="D2487">
        <v>1406</v>
      </c>
    </row>
    <row r="2488" spans="1:4" x14ac:dyDescent="0.25">
      <c r="A2488" t="s">
        <v>2025</v>
      </c>
      <c r="B2488" t="s">
        <v>1334</v>
      </c>
      <c r="C2488" t="s">
        <v>1341</v>
      </c>
      <c r="D2488">
        <v>1975.9</v>
      </c>
    </row>
    <row r="2489" spans="1:4" x14ac:dyDescent="0.25">
      <c r="A2489" t="s">
        <v>2046</v>
      </c>
      <c r="B2489" t="s">
        <v>1334</v>
      </c>
      <c r="C2489" t="s">
        <v>1341</v>
      </c>
      <c r="D2489">
        <v>-14.4</v>
      </c>
    </row>
    <row r="2490" spans="1:4" x14ac:dyDescent="0.25">
      <c r="A2490" t="s">
        <v>2023</v>
      </c>
      <c r="B2490" t="s">
        <v>1331</v>
      </c>
      <c r="C2490" t="s">
        <v>1341</v>
      </c>
      <c r="D2490">
        <v>28.85</v>
      </c>
    </row>
    <row r="2491" spans="1:4" x14ac:dyDescent="0.25">
      <c r="A2491" t="s">
        <v>2021</v>
      </c>
      <c r="B2491" t="s">
        <v>1334</v>
      </c>
      <c r="C2491" t="s">
        <v>1341</v>
      </c>
      <c r="D2491">
        <v>847.05</v>
      </c>
    </row>
    <row r="2492" spans="1:4" x14ac:dyDescent="0.25">
      <c r="A2492" t="s">
        <v>2022</v>
      </c>
      <c r="B2492" t="s">
        <v>1334</v>
      </c>
      <c r="C2492" t="s">
        <v>1341</v>
      </c>
      <c r="D2492">
        <v>261.8</v>
      </c>
    </row>
    <row r="2493" spans="1:4" x14ac:dyDescent="0.25">
      <c r="A2493" t="s">
        <v>1958</v>
      </c>
      <c r="B2493" t="s">
        <v>1335</v>
      </c>
      <c r="C2493" t="s">
        <v>1341</v>
      </c>
      <c r="D2493">
        <v>76.400000000000006</v>
      </c>
    </row>
    <row r="2494" spans="1:4" x14ac:dyDescent="0.25">
      <c r="A2494" t="s">
        <v>1911</v>
      </c>
      <c r="B2494" t="s">
        <v>1335</v>
      </c>
      <c r="C2494" t="s">
        <v>1341</v>
      </c>
      <c r="D2494">
        <v>1.5</v>
      </c>
    </row>
    <row r="2495" spans="1:4" x14ac:dyDescent="0.25">
      <c r="A2495" t="s">
        <v>1968</v>
      </c>
      <c r="B2495" t="s">
        <v>1331</v>
      </c>
      <c r="C2495" t="s">
        <v>1341</v>
      </c>
      <c r="D2495">
        <v>2245.8000000000002</v>
      </c>
    </row>
    <row r="2496" spans="1:4" x14ac:dyDescent="0.25">
      <c r="A2496" t="s">
        <v>2029</v>
      </c>
      <c r="B2496" t="s">
        <v>1334</v>
      </c>
      <c r="C2496" t="s">
        <v>1341</v>
      </c>
      <c r="D2496">
        <v>846.5</v>
      </c>
    </row>
    <row r="2497" spans="1:4" x14ac:dyDescent="0.25">
      <c r="A2497" t="s">
        <v>1902</v>
      </c>
      <c r="B2497" t="s">
        <v>1335</v>
      </c>
      <c r="C2497" t="s">
        <v>1341</v>
      </c>
      <c r="D2497">
        <v>57.6</v>
      </c>
    </row>
    <row r="2498" spans="1:4" x14ac:dyDescent="0.25">
      <c r="A2498" t="s">
        <v>1961</v>
      </c>
      <c r="B2498" t="s">
        <v>1331</v>
      </c>
      <c r="C2498" t="s">
        <v>1341</v>
      </c>
      <c r="D2498">
        <v>40.299999999999997</v>
      </c>
    </row>
    <row r="2499" spans="1:4" x14ac:dyDescent="0.25">
      <c r="A2499" t="s">
        <v>1962</v>
      </c>
      <c r="B2499" t="s">
        <v>1331</v>
      </c>
      <c r="C2499" t="s">
        <v>1341</v>
      </c>
      <c r="D2499">
        <v>103.5</v>
      </c>
    </row>
    <row r="2500" spans="1:4" x14ac:dyDescent="0.25">
      <c r="A2500" t="s">
        <v>2047</v>
      </c>
      <c r="B2500" t="s">
        <v>1334</v>
      </c>
      <c r="C2500" t="s">
        <v>1341</v>
      </c>
      <c r="D2500">
        <v>240.7</v>
      </c>
    </row>
    <row r="2501" spans="1:4" x14ac:dyDescent="0.25">
      <c r="A2501" t="s">
        <v>2047</v>
      </c>
      <c r="B2501" t="s">
        <v>1333</v>
      </c>
      <c r="C2501" t="s">
        <v>1341</v>
      </c>
      <c r="D2501">
        <v>23.1</v>
      </c>
    </row>
    <row r="2502" spans="1:4" x14ac:dyDescent="0.25">
      <c r="A2502" t="s">
        <v>1913</v>
      </c>
      <c r="B2502" t="s">
        <v>1335</v>
      </c>
      <c r="C2502" t="s">
        <v>1341</v>
      </c>
      <c r="D2502">
        <v>36.65</v>
      </c>
    </row>
    <row r="2503" spans="1:4" x14ac:dyDescent="0.25">
      <c r="A2503" t="s">
        <v>1963</v>
      </c>
      <c r="B2503" t="s">
        <v>1334</v>
      </c>
      <c r="C2503" t="s">
        <v>1341</v>
      </c>
      <c r="D2503">
        <v>7.7</v>
      </c>
    </row>
    <row r="2504" spans="1:4" x14ac:dyDescent="0.25">
      <c r="A2504" t="s">
        <v>1958</v>
      </c>
      <c r="B2504" t="s">
        <v>1331</v>
      </c>
      <c r="C2504" t="s">
        <v>1341</v>
      </c>
      <c r="D2504">
        <v>263.60000000000002</v>
      </c>
    </row>
    <row r="2505" spans="1:4" x14ac:dyDescent="0.25">
      <c r="A2505" t="s">
        <v>2004</v>
      </c>
      <c r="B2505" t="s">
        <v>1331</v>
      </c>
      <c r="C2505" t="s">
        <v>1341</v>
      </c>
      <c r="D2505">
        <v>1496.5</v>
      </c>
    </row>
    <row r="2506" spans="1:4" x14ac:dyDescent="0.25">
      <c r="A2506" t="s">
        <v>1979</v>
      </c>
      <c r="B2506" t="s">
        <v>1331</v>
      </c>
      <c r="C2506" t="s">
        <v>1341</v>
      </c>
      <c r="D2506">
        <v>16</v>
      </c>
    </row>
    <row r="2507" spans="1:4" x14ac:dyDescent="0.25">
      <c r="A2507" t="s">
        <v>1983</v>
      </c>
      <c r="B2507" t="s">
        <v>1331</v>
      </c>
      <c r="C2507" t="s">
        <v>1341</v>
      </c>
      <c r="D2507">
        <v>117</v>
      </c>
    </row>
    <row r="2508" spans="1:4" x14ac:dyDescent="0.25">
      <c r="A2508" t="s">
        <v>1958</v>
      </c>
      <c r="B2508" t="s">
        <v>1330</v>
      </c>
      <c r="C2508" t="s">
        <v>1341</v>
      </c>
      <c r="D2508">
        <v>13.05</v>
      </c>
    </row>
    <row r="2509" spans="1:4" x14ac:dyDescent="0.25">
      <c r="A2509" t="s">
        <v>1969</v>
      </c>
      <c r="B2509" t="s">
        <v>1331</v>
      </c>
      <c r="C2509" t="s">
        <v>1341</v>
      </c>
      <c r="D2509">
        <v>569.95000000000005</v>
      </c>
    </row>
    <row r="2510" spans="1:4" x14ac:dyDescent="0.25">
      <c r="A2510" t="s">
        <v>1900</v>
      </c>
      <c r="B2510" t="s">
        <v>1335</v>
      </c>
      <c r="C2510" t="s">
        <v>1341</v>
      </c>
      <c r="D2510">
        <v>18.100000000000001</v>
      </c>
    </row>
    <row r="2511" spans="1:4" x14ac:dyDescent="0.25">
      <c r="A2511" t="s">
        <v>1918</v>
      </c>
      <c r="B2511" t="s">
        <v>1335</v>
      </c>
      <c r="C2511" t="s">
        <v>1341</v>
      </c>
      <c r="D2511">
        <v>1</v>
      </c>
    </row>
    <row r="2512" spans="1:4" x14ac:dyDescent="0.25">
      <c r="A2512" t="s">
        <v>1963</v>
      </c>
      <c r="B2512" t="s">
        <v>1332</v>
      </c>
      <c r="C2512" t="s">
        <v>1341</v>
      </c>
      <c r="D2512">
        <v>23.1</v>
      </c>
    </row>
    <row r="2513" spans="1:4" x14ac:dyDescent="0.25">
      <c r="A2513" t="s">
        <v>1920</v>
      </c>
      <c r="B2513" t="s">
        <v>1334</v>
      </c>
      <c r="C2513" t="s">
        <v>1341</v>
      </c>
      <c r="D2513">
        <v>530.20000000000005</v>
      </c>
    </row>
    <row r="2514" spans="1:4" x14ac:dyDescent="0.25">
      <c r="A2514" t="s">
        <v>1990</v>
      </c>
      <c r="B2514" t="s">
        <v>1334</v>
      </c>
      <c r="C2514" t="s">
        <v>1341</v>
      </c>
      <c r="D2514">
        <v>777.4</v>
      </c>
    </row>
    <row r="2515" spans="1:4" x14ac:dyDescent="0.25">
      <c r="A2515" t="s">
        <v>2026</v>
      </c>
      <c r="B2515" t="s">
        <v>1331</v>
      </c>
      <c r="C2515" t="s">
        <v>1341</v>
      </c>
      <c r="D2515">
        <v>439.9</v>
      </c>
    </row>
    <row r="2516" spans="1:4" x14ac:dyDescent="0.25">
      <c r="A2516" t="s">
        <v>1984</v>
      </c>
      <c r="B2516" t="s">
        <v>1331</v>
      </c>
      <c r="C2516" t="s">
        <v>1341</v>
      </c>
      <c r="D2516">
        <v>85.9</v>
      </c>
    </row>
    <row r="2517" spans="1:4" x14ac:dyDescent="0.25">
      <c r="A2517" t="s">
        <v>2027</v>
      </c>
      <c r="B2517" t="s">
        <v>1334</v>
      </c>
      <c r="C2517" t="s">
        <v>1341</v>
      </c>
      <c r="D2517">
        <v>61.1</v>
      </c>
    </row>
    <row r="2518" spans="1:4" x14ac:dyDescent="0.25">
      <c r="A2518" t="s">
        <v>2028</v>
      </c>
      <c r="B2518" t="s">
        <v>1334</v>
      </c>
      <c r="C2518" t="s">
        <v>1341</v>
      </c>
      <c r="D2518">
        <v>1460.05</v>
      </c>
    </row>
    <row r="2519" spans="1:4" x14ac:dyDescent="0.25">
      <c r="A2519" t="s">
        <v>2019</v>
      </c>
      <c r="B2519" t="s">
        <v>1334</v>
      </c>
      <c r="C2519" t="s">
        <v>1341</v>
      </c>
      <c r="D2519">
        <v>5.7</v>
      </c>
    </row>
    <row r="2520" spans="1:4" x14ac:dyDescent="0.25">
      <c r="A2520" t="s">
        <v>2026</v>
      </c>
      <c r="B2520" t="s">
        <v>1335</v>
      </c>
      <c r="C2520" t="s">
        <v>1341</v>
      </c>
      <c r="D2520">
        <v>155.4</v>
      </c>
    </row>
    <row r="2521" spans="1:4" x14ac:dyDescent="0.25">
      <c r="A2521" t="s">
        <v>1923</v>
      </c>
      <c r="B2521" t="s">
        <v>1331</v>
      </c>
      <c r="C2521" t="s">
        <v>1341</v>
      </c>
      <c r="D2521">
        <v>127.4</v>
      </c>
    </row>
    <row r="2522" spans="1:4" x14ac:dyDescent="0.25">
      <c r="A2522" t="s">
        <v>2026</v>
      </c>
      <c r="B2522" t="s">
        <v>1334</v>
      </c>
      <c r="C2522" t="s">
        <v>1341</v>
      </c>
      <c r="D2522">
        <v>4419.3</v>
      </c>
    </row>
    <row r="2523" spans="1:4" x14ac:dyDescent="0.25">
      <c r="A2523" t="s">
        <v>1973</v>
      </c>
      <c r="B2523" t="s">
        <v>1331</v>
      </c>
      <c r="C2523" t="s">
        <v>1341</v>
      </c>
      <c r="D2523">
        <v>324.64999999999998</v>
      </c>
    </row>
    <row r="2524" spans="1:4" x14ac:dyDescent="0.25">
      <c r="A2524" t="s">
        <v>2046</v>
      </c>
      <c r="B2524" t="s">
        <v>1331</v>
      </c>
      <c r="C2524" t="s">
        <v>1341</v>
      </c>
      <c r="D2524">
        <v>-3.7</v>
      </c>
    </row>
    <row r="2525" spans="1:4" x14ac:dyDescent="0.25">
      <c r="A2525" t="s">
        <v>1990</v>
      </c>
      <c r="B2525" t="s">
        <v>1331</v>
      </c>
      <c r="C2525" t="s">
        <v>1341</v>
      </c>
      <c r="D2525">
        <v>1</v>
      </c>
    </row>
    <row r="2526" spans="1:4" x14ac:dyDescent="0.25">
      <c r="A2526" t="s">
        <v>2023</v>
      </c>
      <c r="B2526" t="s">
        <v>1333</v>
      </c>
      <c r="C2526" t="s">
        <v>1341</v>
      </c>
      <c r="D2526">
        <v>2</v>
      </c>
    </row>
    <row r="2527" spans="1:4" x14ac:dyDescent="0.25">
      <c r="A2527" t="s">
        <v>2024</v>
      </c>
      <c r="B2527" t="s">
        <v>1334</v>
      </c>
      <c r="C2527" t="s">
        <v>1341</v>
      </c>
      <c r="D2527">
        <v>3513.02</v>
      </c>
    </row>
    <row r="2528" spans="1:4" x14ac:dyDescent="0.25">
      <c r="A2528" t="s">
        <v>1963</v>
      </c>
      <c r="B2528" t="s">
        <v>1331</v>
      </c>
      <c r="C2528" t="s">
        <v>1341</v>
      </c>
      <c r="D2528">
        <v>1724.35</v>
      </c>
    </row>
    <row r="2529" spans="1:4" x14ac:dyDescent="0.25">
      <c r="A2529" t="s">
        <v>1965</v>
      </c>
      <c r="B2529" t="s">
        <v>1331</v>
      </c>
      <c r="C2529" t="s">
        <v>1341</v>
      </c>
      <c r="D2529">
        <v>38.799999999999997</v>
      </c>
    </row>
    <row r="2530" spans="1:4" x14ac:dyDescent="0.25">
      <c r="A2530" t="s">
        <v>1984</v>
      </c>
      <c r="B2530" t="s">
        <v>1330</v>
      </c>
      <c r="C2530" t="s">
        <v>1341</v>
      </c>
      <c r="D2530">
        <v>1</v>
      </c>
    </row>
    <row r="2531" spans="1:4" x14ac:dyDescent="0.25">
      <c r="A2531" t="s">
        <v>1995</v>
      </c>
      <c r="B2531" t="s">
        <v>1330</v>
      </c>
      <c r="C2531" t="s">
        <v>972</v>
      </c>
      <c r="D2531">
        <v>11.5</v>
      </c>
    </row>
    <row r="2532" spans="1:4" x14ac:dyDescent="0.25">
      <c r="A2532" t="s">
        <v>1950</v>
      </c>
      <c r="B2532" t="s">
        <v>1334</v>
      </c>
      <c r="C2532" t="s">
        <v>972</v>
      </c>
      <c r="D2532">
        <v>4.7</v>
      </c>
    </row>
    <row r="2533" spans="1:4" x14ac:dyDescent="0.25">
      <c r="A2533" t="s">
        <v>1953</v>
      </c>
      <c r="B2533" t="s">
        <v>1335</v>
      </c>
      <c r="C2533" t="s">
        <v>972</v>
      </c>
      <c r="D2533">
        <v>67.599999999999994</v>
      </c>
    </row>
    <row r="2534" spans="1:4" x14ac:dyDescent="0.25">
      <c r="A2534" t="s">
        <v>1982</v>
      </c>
      <c r="B2534" t="s">
        <v>1334</v>
      </c>
      <c r="C2534" t="s">
        <v>972</v>
      </c>
      <c r="D2534">
        <v>34.700000000000003</v>
      </c>
    </row>
    <row r="2535" spans="1:4" x14ac:dyDescent="0.25">
      <c r="A2535" t="s">
        <v>1995</v>
      </c>
      <c r="B2535" t="s">
        <v>1330</v>
      </c>
      <c r="C2535" t="s">
        <v>977</v>
      </c>
      <c r="D2535">
        <v>3.2</v>
      </c>
    </row>
    <row r="2536" spans="1:4" x14ac:dyDescent="0.25">
      <c r="A2536" t="s">
        <v>1921</v>
      </c>
      <c r="B2536" t="s">
        <v>1330</v>
      </c>
      <c r="C2536" t="s">
        <v>977</v>
      </c>
      <c r="D2536">
        <v>1</v>
      </c>
    </row>
    <row r="2537" spans="1:4" x14ac:dyDescent="0.25">
      <c r="A2537" t="s">
        <v>1972</v>
      </c>
      <c r="B2537" t="s">
        <v>1334</v>
      </c>
      <c r="C2537" t="s">
        <v>977</v>
      </c>
      <c r="D2537">
        <v>3</v>
      </c>
    </row>
    <row r="2538" spans="1:4" x14ac:dyDescent="0.25">
      <c r="A2538" t="s">
        <v>1965</v>
      </c>
      <c r="B2538" t="s">
        <v>1331</v>
      </c>
      <c r="C2538" t="s">
        <v>977</v>
      </c>
      <c r="D2538">
        <v>100.4</v>
      </c>
    </row>
    <row r="2539" spans="1:4" x14ac:dyDescent="0.25">
      <c r="A2539" t="s">
        <v>1920</v>
      </c>
      <c r="B2539" t="s">
        <v>1331</v>
      </c>
      <c r="C2539" t="s">
        <v>977</v>
      </c>
      <c r="D2539">
        <v>2</v>
      </c>
    </row>
    <row r="2540" spans="1:4" x14ac:dyDescent="0.25">
      <c r="A2540" t="s">
        <v>1950</v>
      </c>
      <c r="B2540" t="s">
        <v>1334</v>
      </c>
      <c r="C2540" t="s">
        <v>977</v>
      </c>
      <c r="D2540">
        <v>23.9</v>
      </c>
    </row>
    <row r="2541" spans="1:4" x14ac:dyDescent="0.25">
      <c r="A2541" t="s">
        <v>1982</v>
      </c>
      <c r="B2541" t="s">
        <v>1334</v>
      </c>
      <c r="C2541" t="s">
        <v>977</v>
      </c>
      <c r="D2541">
        <v>1</v>
      </c>
    </row>
    <row r="2542" spans="1:4" x14ac:dyDescent="0.25">
      <c r="A2542" t="s">
        <v>1983</v>
      </c>
      <c r="B2542" t="s">
        <v>1330</v>
      </c>
      <c r="C2542" t="s">
        <v>980</v>
      </c>
      <c r="D2542">
        <v>8.6</v>
      </c>
    </row>
    <row r="2543" spans="1:4" x14ac:dyDescent="0.25">
      <c r="A2543" t="s">
        <v>1920</v>
      </c>
      <c r="B2543" t="s">
        <v>1334</v>
      </c>
      <c r="C2543" t="s">
        <v>980</v>
      </c>
      <c r="D2543">
        <v>34</v>
      </c>
    </row>
    <row r="2544" spans="1:4" x14ac:dyDescent="0.25">
      <c r="A2544" t="s">
        <v>1935</v>
      </c>
      <c r="B2544" t="s">
        <v>1331</v>
      </c>
      <c r="C2544" t="s">
        <v>980</v>
      </c>
      <c r="D2544">
        <v>719.4</v>
      </c>
    </row>
    <row r="2545" spans="1:4" x14ac:dyDescent="0.25">
      <c r="A2545" t="s">
        <v>1987</v>
      </c>
      <c r="B2545" t="s">
        <v>1331</v>
      </c>
      <c r="C2545" t="s">
        <v>980</v>
      </c>
      <c r="D2545">
        <v>479.52</v>
      </c>
    </row>
    <row r="2546" spans="1:4" x14ac:dyDescent="0.25">
      <c r="A2546" t="s">
        <v>1927</v>
      </c>
      <c r="B2546" t="s">
        <v>1331</v>
      </c>
      <c r="C2546" t="s">
        <v>980</v>
      </c>
      <c r="D2546">
        <v>84.7</v>
      </c>
    </row>
    <row r="2547" spans="1:4" x14ac:dyDescent="0.25">
      <c r="A2547" t="s">
        <v>1950</v>
      </c>
      <c r="B2547" t="s">
        <v>1334</v>
      </c>
      <c r="C2547" t="s">
        <v>980</v>
      </c>
      <c r="D2547">
        <v>58.75</v>
      </c>
    </row>
    <row r="2548" spans="1:4" x14ac:dyDescent="0.25">
      <c r="A2548" t="s">
        <v>1995</v>
      </c>
      <c r="B2548" t="s">
        <v>1330</v>
      </c>
      <c r="C2548" t="s">
        <v>980</v>
      </c>
      <c r="D2548">
        <v>1.5</v>
      </c>
    </row>
    <row r="2549" spans="1:4" x14ac:dyDescent="0.25">
      <c r="A2549" t="s">
        <v>1904</v>
      </c>
      <c r="B2549" t="s">
        <v>1331</v>
      </c>
      <c r="C2549" t="s">
        <v>980</v>
      </c>
      <c r="D2549">
        <v>31</v>
      </c>
    </row>
    <row r="2550" spans="1:4" x14ac:dyDescent="0.25">
      <c r="A2550" t="s">
        <v>2010</v>
      </c>
      <c r="B2550" t="s">
        <v>1331</v>
      </c>
      <c r="C2550" t="s">
        <v>980</v>
      </c>
      <c r="D2550">
        <v>30</v>
      </c>
    </row>
    <row r="2551" spans="1:4" x14ac:dyDescent="0.25">
      <c r="A2551" t="s">
        <v>1911</v>
      </c>
      <c r="B2551" t="s">
        <v>1335</v>
      </c>
      <c r="C2551" t="s">
        <v>980</v>
      </c>
      <c r="D2551">
        <v>17.75</v>
      </c>
    </row>
    <row r="2552" spans="1:4" x14ac:dyDescent="0.25">
      <c r="A2552" t="s">
        <v>1913</v>
      </c>
      <c r="B2552" t="s">
        <v>1335</v>
      </c>
      <c r="C2552" t="s">
        <v>980</v>
      </c>
      <c r="D2552">
        <v>3.85</v>
      </c>
    </row>
    <row r="2553" spans="1:4" x14ac:dyDescent="0.25">
      <c r="A2553" t="s">
        <v>1967</v>
      </c>
      <c r="B2553" t="s">
        <v>1331</v>
      </c>
      <c r="C2553" t="s">
        <v>980</v>
      </c>
      <c r="D2553">
        <v>376.9</v>
      </c>
    </row>
    <row r="2554" spans="1:4" x14ac:dyDescent="0.25">
      <c r="A2554" t="s">
        <v>1973</v>
      </c>
      <c r="B2554" t="s">
        <v>1331</v>
      </c>
      <c r="C2554" t="s">
        <v>980</v>
      </c>
      <c r="D2554">
        <v>35.5</v>
      </c>
    </row>
    <row r="2555" spans="1:4" x14ac:dyDescent="0.25">
      <c r="A2555" t="s">
        <v>1978</v>
      </c>
      <c r="B2555" t="s">
        <v>1335</v>
      </c>
      <c r="C2555" t="s">
        <v>983</v>
      </c>
      <c r="D2555">
        <v>198.1</v>
      </c>
    </row>
    <row r="2556" spans="1:4" x14ac:dyDescent="0.25">
      <c r="A2556" t="s">
        <v>1958</v>
      </c>
      <c r="B2556" t="s">
        <v>1335</v>
      </c>
      <c r="C2556" t="s">
        <v>983</v>
      </c>
      <c r="D2556">
        <v>18.350000000000001</v>
      </c>
    </row>
    <row r="2557" spans="1:4" x14ac:dyDescent="0.25">
      <c r="A2557" t="s">
        <v>1950</v>
      </c>
      <c r="B2557" t="s">
        <v>1334</v>
      </c>
      <c r="C2557" t="s">
        <v>983</v>
      </c>
      <c r="D2557">
        <v>11.7</v>
      </c>
    </row>
    <row r="2558" spans="1:4" x14ac:dyDescent="0.25">
      <c r="A2558" t="s">
        <v>1983</v>
      </c>
      <c r="B2558" t="s">
        <v>1335</v>
      </c>
      <c r="C2558" t="s">
        <v>983</v>
      </c>
      <c r="D2558">
        <v>11.7</v>
      </c>
    </row>
    <row r="2559" spans="1:4" x14ac:dyDescent="0.25">
      <c r="A2559" t="s">
        <v>1965</v>
      </c>
      <c r="B2559" t="s">
        <v>1331</v>
      </c>
      <c r="C2559" t="s">
        <v>983</v>
      </c>
      <c r="D2559">
        <v>34.799999999999997</v>
      </c>
    </row>
    <row r="2560" spans="1:4" x14ac:dyDescent="0.25">
      <c r="A2560" t="s">
        <v>1921</v>
      </c>
      <c r="B2560" t="s">
        <v>1330</v>
      </c>
      <c r="C2560" t="s">
        <v>983</v>
      </c>
      <c r="D2560">
        <v>28.8</v>
      </c>
    </row>
    <row r="2561" spans="1:4" x14ac:dyDescent="0.25">
      <c r="A2561" t="s">
        <v>1991</v>
      </c>
      <c r="B2561" t="s">
        <v>1331</v>
      </c>
      <c r="C2561" t="s">
        <v>983</v>
      </c>
      <c r="D2561">
        <v>15.4</v>
      </c>
    </row>
    <row r="2562" spans="1:4" x14ac:dyDescent="0.25">
      <c r="A2562" t="s">
        <v>1956</v>
      </c>
      <c r="B2562" t="s">
        <v>1335</v>
      </c>
      <c r="C2562" t="s">
        <v>983</v>
      </c>
      <c r="D2562">
        <v>1</v>
      </c>
    </row>
    <row r="2563" spans="1:4" x14ac:dyDescent="0.25">
      <c r="A2563" t="s">
        <v>1991</v>
      </c>
      <c r="B2563" t="s">
        <v>1330</v>
      </c>
      <c r="C2563" t="s">
        <v>983</v>
      </c>
      <c r="D2563">
        <v>7.7</v>
      </c>
    </row>
    <row r="2564" spans="1:4" x14ac:dyDescent="0.25">
      <c r="A2564" t="s">
        <v>1958</v>
      </c>
      <c r="B2564" t="s">
        <v>1330</v>
      </c>
      <c r="C2564" t="s">
        <v>983</v>
      </c>
      <c r="D2564">
        <v>0</v>
      </c>
    </row>
    <row r="2565" spans="1:4" x14ac:dyDescent="0.25">
      <c r="A2565" t="s">
        <v>1988</v>
      </c>
      <c r="B2565" t="s">
        <v>1330</v>
      </c>
      <c r="C2565" t="s">
        <v>986</v>
      </c>
      <c r="D2565">
        <v>3.7</v>
      </c>
    </row>
    <row r="2566" spans="1:4" x14ac:dyDescent="0.25">
      <c r="A2566" t="s">
        <v>1973</v>
      </c>
      <c r="B2566" t="s">
        <v>1331</v>
      </c>
      <c r="C2566" t="s">
        <v>986</v>
      </c>
      <c r="D2566">
        <v>123.75</v>
      </c>
    </row>
    <row r="2567" spans="1:4" x14ac:dyDescent="0.25">
      <c r="A2567" t="s">
        <v>1913</v>
      </c>
      <c r="B2567" t="s">
        <v>1335</v>
      </c>
      <c r="C2567" t="s">
        <v>986</v>
      </c>
      <c r="D2567">
        <v>6.85</v>
      </c>
    </row>
    <row r="2568" spans="1:4" x14ac:dyDescent="0.25">
      <c r="A2568" t="s">
        <v>1931</v>
      </c>
      <c r="B2568" t="s">
        <v>1335</v>
      </c>
      <c r="C2568" t="s">
        <v>986</v>
      </c>
      <c r="D2568">
        <v>11.55</v>
      </c>
    </row>
    <row r="2569" spans="1:4" x14ac:dyDescent="0.25">
      <c r="A2569" t="s">
        <v>1921</v>
      </c>
      <c r="B2569" t="s">
        <v>1330</v>
      </c>
      <c r="C2569" t="s">
        <v>986</v>
      </c>
      <c r="D2569">
        <v>167.2</v>
      </c>
    </row>
    <row r="2570" spans="1:4" x14ac:dyDescent="0.25">
      <c r="A2570" t="s">
        <v>1965</v>
      </c>
      <c r="B2570" t="s">
        <v>1331</v>
      </c>
      <c r="C2570" t="s">
        <v>986</v>
      </c>
      <c r="D2570">
        <v>96.85</v>
      </c>
    </row>
    <row r="2571" spans="1:4" x14ac:dyDescent="0.25">
      <c r="A2571" t="s">
        <v>1962</v>
      </c>
      <c r="B2571" t="s">
        <v>1331</v>
      </c>
      <c r="C2571" t="s">
        <v>986</v>
      </c>
      <c r="D2571">
        <v>803.1</v>
      </c>
    </row>
    <row r="2572" spans="1:4" x14ac:dyDescent="0.25">
      <c r="A2572" t="s">
        <v>1927</v>
      </c>
      <c r="B2572" t="s">
        <v>1331</v>
      </c>
      <c r="C2572" t="s">
        <v>986</v>
      </c>
      <c r="D2572">
        <v>138.6</v>
      </c>
    </row>
    <row r="2573" spans="1:4" x14ac:dyDescent="0.25">
      <c r="A2573" t="s">
        <v>1902</v>
      </c>
      <c r="B2573" t="s">
        <v>1335</v>
      </c>
      <c r="C2573" t="s">
        <v>986</v>
      </c>
      <c r="D2573">
        <v>84.6</v>
      </c>
    </row>
    <row r="2574" spans="1:4" x14ac:dyDescent="0.25">
      <c r="A2574" t="s">
        <v>1968</v>
      </c>
      <c r="B2574" t="s">
        <v>1331</v>
      </c>
      <c r="C2574" t="s">
        <v>986</v>
      </c>
      <c r="D2574">
        <v>3</v>
      </c>
    </row>
    <row r="2575" spans="1:4" x14ac:dyDescent="0.25">
      <c r="A2575" t="s">
        <v>1995</v>
      </c>
      <c r="B2575" t="s">
        <v>1330</v>
      </c>
      <c r="C2575" t="s">
        <v>986</v>
      </c>
      <c r="D2575">
        <v>10</v>
      </c>
    </row>
    <row r="2576" spans="1:4" x14ac:dyDescent="0.25">
      <c r="A2576" t="s">
        <v>1966</v>
      </c>
      <c r="B2576" t="s">
        <v>1331</v>
      </c>
      <c r="C2576" t="s">
        <v>991</v>
      </c>
      <c r="D2576">
        <v>15.4</v>
      </c>
    </row>
    <row r="2577" spans="1:4" x14ac:dyDescent="0.25">
      <c r="A2577" t="s">
        <v>1961</v>
      </c>
      <c r="B2577" t="s">
        <v>1331</v>
      </c>
      <c r="C2577" t="s">
        <v>991</v>
      </c>
      <c r="D2577">
        <v>11.4</v>
      </c>
    </row>
    <row r="2578" spans="1:4" x14ac:dyDescent="0.25">
      <c r="A2578" t="s">
        <v>1913</v>
      </c>
      <c r="B2578" t="s">
        <v>1335</v>
      </c>
      <c r="C2578" t="s">
        <v>991</v>
      </c>
      <c r="D2578">
        <v>7.35</v>
      </c>
    </row>
    <row r="2579" spans="1:4" x14ac:dyDescent="0.25">
      <c r="A2579" t="s">
        <v>1973</v>
      </c>
      <c r="B2579" t="s">
        <v>1331</v>
      </c>
      <c r="C2579" t="s">
        <v>991</v>
      </c>
      <c r="D2579">
        <v>7.4</v>
      </c>
    </row>
    <row r="2580" spans="1:4" x14ac:dyDescent="0.25">
      <c r="A2580" t="s">
        <v>1902</v>
      </c>
      <c r="B2580" t="s">
        <v>1335</v>
      </c>
      <c r="C2580" t="s">
        <v>991</v>
      </c>
      <c r="D2580">
        <v>1</v>
      </c>
    </row>
    <row r="2581" spans="1:4" x14ac:dyDescent="0.25">
      <c r="A2581" t="s">
        <v>1923</v>
      </c>
      <c r="B2581" t="s">
        <v>1331</v>
      </c>
      <c r="C2581" t="s">
        <v>991</v>
      </c>
      <c r="D2581">
        <v>7.7</v>
      </c>
    </row>
    <row r="2582" spans="1:4" x14ac:dyDescent="0.25">
      <c r="A2582" t="s">
        <v>1909</v>
      </c>
      <c r="B2582" t="s">
        <v>1335</v>
      </c>
      <c r="C2582" t="s">
        <v>991</v>
      </c>
      <c r="D2582">
        <v>61.2</v>
      </c>
    </row>
    <row r="2583" spans="1:4" x14ac:dyDescent="0.25">
      <c r="A2583" t="s">
        <v>1953</v>
      </c>
      <c r="B2583" t="s">
        <v>1335</v>
      </c>
      <c r="C2583" t="s">
        <v>991</v>
      </c>
      <c r="D2583">
        <v>162.80000000000001</v>
      </c>
    </row>
    <row r="2584" spans="1:4" x14ac:dyDescent="0.25">
      <c r="A2584" t="s">
        <v>1956</v>
      </c>
      <c r="B2584" t="s">
        <v>1335</v>
      </c>
      <c r="C2584" t="s">
        <v>991</v>
      </c>
      <c r="D2584">
        <v>23.1</v>
      </c>
    </row>
    <row r="2585" spans="1:4" x14ac:dyDescent="0.25">
      <c r="A2585" t="s">
        <v>1984</v>
      </c>
      <c r="B2585" t="s">
        <v>1333</v>
      </c>
      <c r="C2585" t="s">
        <v>991</v>
      </c>
      <c r="D2585">
        <v>34.36</v>
      </c>
    </row>
    <row r="2586" spans="1:4" x14ac:dyDescent="0.25">
      <c r="A2586" t="s">
        <v>1911</v>
      </c>
      <c r="B2586" t="s">
        <v>1335</v>
      </c>
      <c r="C2586" t="s">
        <v>991</v>
      </c>
      <c r="D2586">
        <v>7.7</v>
      </c>
    </row>
    <row r="2587" spans="1:4" x14ac:dyDescent="0.25">
      <c r="A2587" t="s">
        <v>1978</v>
      </c>
      <c r="B2587" t="s">
        <v>1335</v>
      </c>
      <c r="C2587" t="s">
        <v>991</v>
      </c>
      <c r="D2587">
        <v>30.3</v>
      </c>
    </row>
    <row r="2588" spans="1:4" x14ac:dyDescent="0.25">
      <c r="A2588" t="s">
        <v>1980</v>
      </c>
      <c r="B2588" t="s">
        <v>1331</v>
      </c>
      <c r="C2588" t="s">
        <v>991</v>
      </c>
      <c r="D2588">
        <v>7.55</v>
      </c>
    </row>
    <row r="2589" spans="1:4" x14ac:dyDescent="0.25">
      <c r="A2589" t="s">
        <v>1978</v>
      </c>
      <c r="B2589" t="s">
        <v>1333</v>
      </c>
      <c r="C2589" t="s">
        <v>991</v>
      </c>
      <c r="D2589">
        <v>3.5</v>
      </c>
    </row>
    <row r="2590" spans="1:4" x14ac:dyDescent="0.25">
      <c r="A2590" t="s">
        <v>1984</v>
      </c>
      <c r="B2590" t="s">
        <v>1331</v>
      </c>
      <c r="C2590" t="s">
        <v>991</v>
      </c>
      <c r="D2590">
        <v>853.8</v>
      </c>
    </row>
    <row r="2591" spans="1:4" x14ac:dyDescent="0.25">
      <c r="A2591" t="s">
        <v>1931</v>
      </c>
      <c r="B2591" t="s">
        <v>1335</v>
      </c>
      <c r="C2591" t="s">
        <v>991</v>
      </c>
      <c r="D2591">
        <v>19.25</v>
      </c>
    </row>
    <row r="2592" spans="1:4" x14ac:dyDescent="0.25">
      <c r="A2592" t="s">
        <v>1907</v>
      </c>
      <c r="B2592" t="s">
        <v>1335</v>
      </c>
      <c r="C2592" t="s">
        <v>991</v>
      </c>
      <c r="D2592">
        <v>4.4000000000000004</v>
      </c>
    </row>
    <row r="2593" spans="1:4" x14ac:dyDescent="0.25">
      <c r="A2593" t="s">
        <v>1950</v>
      </c>
      <c r="B2593" t="s">
        <v>1331</v>
      </c>
      <c r="C2593" t="s">
        <v>991</v>
      </c>
      <c r="D2593">
        <v>13.7</v>
      </c>
    </row>
    <row r="2594" spans="1:4" x14ac:dyDescent="0.25">
      <c r="A2594" t="s">
        <v>1918</v>
      </c>
      <c r="B2594" t="s">
        <v>1335</v>
      </c>
      <c r="C2594" t="s">
        <v>991</v>
      </c>
      <c r="D2594">
        <v>26.75</v>
      </c>
    </row>
    <row r="2595" spans="1:4" x14ac:dyDescent="0.25">
      <c r="A2595" t="s">
        <v>1927</v>
      </c>
      <c r="B2595" t="s">
        <v>1331</v>
      </c>
      <c r="C2595" t="s">
        <v>991</v>
      </c>
      <c r="D2595">
        <v>77</v>
      </c>
    </row>
    <row r="2596" spans="1:4" x14ac:dyDescent="0.25">
      <c r="A2596" t="s">
        <v>1987</v>
      </c>
      <c r="B2596" t="s">
        <v>1331</v>
      </c>
      <c r="C2596" t="s">
        <v>991</v>
      </c>
      <c r="D2596">
        <v>98.31</v>
      </c>
    </row>
    <row r="2597" spans="1:4" x14ac:dyDescent="0.25">
      <c r="A2597" t="s">
        <v>1988</v>
      </c>
      <c r="B2597" t="s">
        <v>1330</v>
      </c>
      <c r="C2597" t="s">
        <v>991</v>
      </c>
      <c r="D2597">
        <v>8.1</v>
      </c>
    </row>
    <row r="2598" spans="1:4" x14ac:dyDescent="0.25">
      <c r="A2598" t="s">
        <v>1982</v>
      </c>
      <c r="B2598" t="s">
        <v>1334</v>
      </c>
      <c r="C2598" t="s">
        <v>991</v>
      </c>
      <c r="D2598">
        <v>12</v>
      </c>
    </row>
    <row r="2599" spans="1:4" x14ac:dyDescent="0.25">
      <c r="A2599" t="s">
        <v>1960</v>
      </c>
      <c r="B2599" t="s">
        <v>1331</v>
      </c>
      <c r="C2599" t="s">
        <v>991</v>
      </c>
      <c r="D2599">
        <v>35.799999999999997</v>
      </c>
    </row>
    <row r="2600" spans="1:4" x14ac:dyDescent="0.25">
      <c r="A2600" t="s">
        <v>1939</v>
      </c>
      <c r="B2600" t="s">
        <v>1331</v>
      </c>
      <c r="C2600" t="s">
        <v>991</v>
      </c>
      <c r="D2600">
        <v>71.55</v>
      </c>
    </row>
    <row r="2601" spans="1:4" x14ac:dyDescent="0.25">
      <c r="A2601" t="s">
        <v>1920</v>
      </c>
      <c r="B2601" t="s">
        <v>1334</v>
      </c>
      <c r="C2601" t="s">
        <v>991</v>
      </c>
      <c r="D2601">
        <v>40</v>
      </c>
    </row>
    <row r="2602" spans="1:4" x14ac:dyDescent="0.25">
      <c r="A2602" t="s">
        <v>1945</v>
      </c>
      <c r="B2602" t="s">
        <v>1331</v>
      </c>
      <c r="C2602" t="s">
        <v>991</v>
      </c>
      <c r="D2602">
        <v>2</v>
      </c>
    </row>
    <row r="2603" spans="1:4" x14ac:dyDescent="0.25">
      <c r="A2603" t="s">
        <v>1950</v>
      </c>
      <c r="B2603" t="s">
        <v>1334</v>
      </c>
      <c r="C2603" t="s">
        <v>991</v>
      </c>
      <c r="D2603">
        <v>64.599999999999994</v>
      </c>
    </row>
    <row r="2604" spans="1:4" x14ac:dyDescent="0.25">
      <c r="A2604" t="s">
        <v>1995</v>
      </c>
      <c r="B2604" t="s">
        <v>1330</v>
      </c>
      <c r="C2604" t="s">
        <v>991</v>
      </c>
      <c r="D2604">
        <v>37.1</v>
      </c>
    </row>
    <row r="2605" spans="1:4" x14ac:dyDescent="0.25">
      <c r="A2605" t="s">
        <v>1902</v>
      </c>
      <c r="B2605" t="s">
        <v>1335</v>
      </c>
      <c r="C2605" t="s">
        <v>1574</v>
      </c>
      <c r="D2605">
        <v>2</v>
      </c>
    </row>
    <row r="2606" spans="1:4" x14ac:dyDescent="0.25">
      <c r="A2606" t="s">
        <v>1953</v>
      </c>
      <c r="B2606" t="s">
        <v>1335</v>
      </c>
      <c r="C2606" t="s">
        <v>1574</v>
      </c>
      <c r="D2606">
        <v>34.5</v>
      </c>
    </row>
    <row r="2607" spans="1:4" x14ac:dyDescent="0.25">
      <c r="A2607" t="s">
        <v>1978</v>
      </c>
      <c r="B2607" t="s">
        <v>1335</v>
      </c>
      <c r="C2607" t="s">
        <v>1574</v>
      </c>
      <c r="D2607">
        <v>25.95</v>
      </c>
    </row>
    <row r="2608" spans="1:4" x14ac:dyDescent="0.25">
      <c r="A2608" t="s">
        <v>1950</v>
      </c>
      <c r="B2608" t="s">
        <v>1334</v>
      </c>
      <c r="C2608" t="s">
        <v>1574</v>
      </c>
      <c r="D2608">
        <v>4</v>
      </c>
    </row>
    <row r="2609" spans="1:4" x14ac:dyDescent="0.25">
      <c r="A2609" t="s">
        <v>1956</v>
      </c>
      <c r="B2609" t="s">
        <v>1335</v>
      </c>
      <c r="C2609" t="s">
        <v>1574</v>
      </c>
      <c r="D2609">
        <v>1.85</v>
      </c>
    </row>
    <row r="2610" spans="1:4" x14ac:dyDescent="0.25">
      <c r="A2610" t="s">
        <v>1968</v>
      </c>
      <c r="B2610" t="s">
        <v>1331</v>
      </c>
      <c r="C2610" t="s">
        <v>1370</v>
      </c>
      <c r="D2610">
        <v>4</v>
      </c>
    </row>
    <row r="2611" spans="1:4" x14ac:dyDescent="0.25">
      <c r="A2611" t="s">
        <v>2033</v>
      </c>
      <c r="B2611" t="s">
        <v>1334</v>
      </c>
      <c r="C2611" t="s">
        <v>1370</v>
      </c>
      <c r="D2611">
        <v>275.08999999999997</v>
      </c>
    </row>
    <row r="2612" spans="1:4" x14ac:dyDescent="0.25">
      <c r="A2612" t="s">
        <v>2047</v>
      </c>
      <c r="B2612" t="s">
        <v>1331</v>
      </c>
      <c r="C2612" t="s">
        <v>1370</v>
      </c>
      <c r="D2612">
        <v>180.1</v>
      </c>
    </row>
    <row r="2613" spans="1:4" x14ac:dyDescent="0.25">
      <c r="A2613" t="s">
        <v>1911</v>
      </c>
      <c r="B2613" t="s">
        <v>1335</v>
      </c>
      <c r="C2613" t="s">
        <v>1370</v>
      </c>
      <c r="D2613">
        <v>13.05</v>
      </c>
    </row>
    <row r="2614" spans="1:4" x14ac:dyDescent="0.25">
      <c r="A2614" t="s">
        <v>2033</v>
      </c>
      <c r="B2614" t="s">
        <v>1331</v>
      </c>
      <c r="C2614" t="s">
        <v>1370</v>
      </c>
      <c r="D2614">
        <v>29.8</v>
      </c>
    </row>
    <row r="2615" spans="1:4" x14ac:dyDescent="0.25">
      <c r="A2615" t="s">
        <v>2024</v>
      </c>
      <c r="B2615" t="s">
        <v>1334</v>
      </c>
      <c r="C2615" t="s">
        <v>1370</v>
      </c>
      <c r="D2615">
        <v>414.45</v>
      </c>
    </row>
    <row r="2616" spans="1:4" x14ac:dyDescent="0.25">
      <c r="A2616" t="s">
        <v>1984</v>
      </c>
      <c r="B2616" t="s">
        <v>1331</v>
      </c>
      <c r="C2616" t="s">
        <v>1370</v>
      </c>
      <c r="D2616">
        <v>7.5</v>
      </c>
    </row>
    <row r="2617" spans="1:4" x14ac:dyDescent="0.25">
      <c r="A2617" t="s">
        <v>2015</v>
      </c>
      <c r="B2617" t="s">
        <v>1331</v>
      </c>
      <c r="C2617" t="s">
        <v>1370</v>
      </c>
      <c r="D2617">
        <v>3.85</v>
      </c>
    </row>
    <row r="2618" spans="1:4" x14ac:dyDescent="0.25">
      <c r="A2618" t="s">
        <v>1971</v>
      </c>
      <c r="B2618" t="s">
        <v>1330</v>
      </c>
      <c r="C2618" t="s">
        <v>1370</v>
      </c>
      <c r="D2618">
        <v>25.5</v>
      </c>
    </row>
    <row r="2619" spans="1:4" x14ac:dyDescent="0.25">
      <c r="A2619" t="s">
        <v>1909</v>
      </c>
      <c r="B2619" t="s">
        <v>1335</v>
      </c>
      <c r="C2619" t="s">
        <v>1370</v>
      </c>
      <c r="D2619">
        <v>2</v>
      </c>
    </row>
    <row r="2620" spans="1:4" x14ac:dyDescent="0.25">
      <c r="A2620" t="s">
        <v>2023</v>
      </c>
      <c r="B2620" t="s">
        <v>1331</v>
      </c>
      <c r="C2620" t="s">
        <v>1370</v>
      </c>
      <c r="D2620">
        <v>26.55</v>
      </c>
    </row>
    <row r="2621" spans="1:4" x14ac:dyDescent="0.25">
      <c r="A2621" t="s">
        <v>2047</v>
      </c>
      <c r="B2621" t="s">
        <v>1334</v>
      </c>
      <c r="C2621" t="s">
        <v>1370</v>
      </c>
      <c r="D2621">
        <v>196.6</v>
      </c>
    </row>
    <row r="2622" spans="1:4" x14ac:dyDescent="0.25">
      <c r="A2622" t="s">
        <v>1984</v>
      </c>
      <c r="B2622" t="s">
        <v>1333</v>
      </c>
      <c r="C2622" t="s">
        <v>1370</v>
      </c>
      <c r="D2622">
        <v>5</v>
      </c>
    </row>
    <row r="2623" spans="1:4" x14ac:dyDescent="0.25">
      <c r="A2623" t="s">
        <v>2011</v>
      </c>
      <c r="B2623" t="s">
        <v>1331</v>
      </c>
      <c r="C2623" t="s">
        <v>1370</v>
      </c>
      <c r="D2623">
        <v>9.9</v>
      </c>
    </row>
    <row r="2624" spans="1:4" x14ac:dyDescent="0.25">
      <c r="A2624" t="s">
        <v>1927</v>
      </c>
      <c r="B2624" t="s">
        <v>1331</v>
      </c>
      <c r="C2624" t="s">
        <v>1370</v>
      </c>
      <c r="D2624">
        <v>7.7</v>
      </c>
    </row>
    <row r="2625" spans="1:4" x14ac:dyDescent="0.25">
      <c r="A2625" t="s">
        <v>1961</v>
      </c>
      <c r="B2625" t="s">
        <v>1331</v>
      </c>
      <c r="C2625" t="s">
        <v>1370</v>
      </c>
      <c r="D2625">
        <v>130</v>
      </c>
    </row>
    <row r="2626" spans="1:4" x14ac:dyDescent="0.25">
      <c r="A2626" t="s">
        <v>1962</v>
      </c>
      <c r="B2626" t="s">
        <v>1331</v>
      </c>
      <c r="C2626" t="s">
        <v>1370</v>
      </c>
      <c r="D2626">
        <v>28.1</v>
      </c>
    </row>
    <row r="2627" spans="1:4" x14ac:dyDescent="0.25">
      <c r="A2627" t="s">
        <v>1904</v>
      </c>
      <c r="B2627" t="s">
        <v>1331</v>
      </c>
      <c r="C2627" t="s">
        <v>1370</v>
      </c>
      <c r="D2627">
        <v>114.4</v>
      </c>
    </row>
    <row r="2628" spans="1:4" x14ac:dyDescent="0.25">
      <c r="A2628" t="s">
        <v>1990</v>
      </c>
      <c r="B2628" t="s">
        <v>1334</v>
      </c>
      <c r="C2628" t="s">
        <v>1370</v>
      </c>
      <c r="D2628">
        <v>5</v>
      </c>
    </row>
    <row r="2629" spans="1:4" x14ac:dyDescent="0.25">
      <c r="A2629" t="s">
        <v>2023</v>
      </c>
      <c r="B2629" t="s">
        <v>1330</v>
      </c>
      <c r="C2629" t="s">
        <v>1370</v>
      </c>
      <c r="D2629">
        <v>39.450000000000003</v>
      </c>
    </row>
    <row r="2630" spans="1:4" x14ac:dyDescent="0.25">
      <c r="A2630" t="s">
        <v>2047</v>
      </c>
      <c r="B2630" t="s">
        <v>1333</v>
      </c>
      <c r="C2630" t="s">
        <v>1370</v>
      </c>
      <c r="D2630">
        <v>17.399999999999999</v>
      </c>
    </row>
    <row r="2631" spans="1:4" x14ac:dyDescent="0.25">
      <c r="A2631" t="s">
        <v>1913</v>
      </c>
      <c r="B2631" t="s">
        <v>1335</v>
      </c>
      <c r="C2631" t="s">
        <v>1370</v>
      </c>
      <c r="D2631">
        <v>47.65</v>
      </c>
    </row>
    <row r="2632" spans="1:4" x14ac:dyDescent="0.25">
      <c r="A2632" t="s">
        <v>2021</v>
      </c>
      <c r="B2632" t="s">
        <v>1334</v>
      </c>
      <c r="C2632" t="s">
        <v>1370</v>
      </c>
      <c r="D2632">
        <v>7.95</v>
      </c>
    </row>
    <row r="2633" spans="1:4" x14ac:dyDescent="0.25">
      <c r="A2633" t="s">
        <v>1984</v>
      </c>
      <c r="B2633" t="s">
        <v>1330</v>
      </c>
      <c r="C2633" t="s">
        <v>1370</v>
      </c>
      <c r="D2633">
        <v>1.5</v>
      </c>
    </row>
    <row r="2634" spans="1:4" x14ac:dyDescent="0.25">
      <c r="A2634" t="s">
        <v>1990</v>
      </c>
      <c r="B2634" t="s">
        <v>1331</v>
      </c>
      <c r="C2634" t="s">
        <v>1370</v>
      </c>
      <c r="D2634">
        <v>8</v>
      </c>
    </row>
    <row r="2635" spans="1:4" x14ac:dyDescent="0.25">
      <c r="A2635" t="s">
        <v>2021</v>
      </c>
      <c r="B2635" t="s">
        <v>1331</v>
      </c>
      <c r="C2635" t="s">
        <v>1370</v>
      </c>
      <c r="D2635">
        <v>0</v>
      </c>
    </row>
    <row r="2636" spans="1:4" x14ac:dyDescent="0.25">
      <c r="A2636" t="s">
        <v>1963</v>
      </c>
      <c r="B2636" t="s">
        <v>1331</v>
      </c>
      <c r="C2636" t="s">
        <v>1370</v>
      </c>
      <c r="D2636">
        <v>3.7</v>
      </c>
    </row>
    <row r="2637" spans="1:4" x14ac:dyDescent="0.25">
      <c r="A2637" t="s">
        <v>1921</v>
      </c>
      <c r="B2637" t="s">
        <v>1330</v>
      </c>
      <c r="C2637" t="s">
        <v>1370</v>
      </c>
      <c r="D2637">
        <v>64.3</v>
      </c>
    </row>
    <row r="2638" spans="1:4" x14ac:dyDescent="0.25">
      <c r="A2638" t="s">
        <v>2004</v>
      </c>
      <c r="B2638" t="s">
        <v>1331</v>
      </c>
      <c r="C2638" t="s">
        <v>1370</v>
      </c>
      <c r="D2638">
        <v>7.7</v>
      </c>
    </row>
    <row r="2639" spans="1:4" x14ac:dyDescent="0.25">
      <c r="A2639" t="s">
        <v>1904</v>
      </c>
      <c r="B2639" t="s">
        <v>1335</v>
      </c>
      <c r="C2639" t="s">
        <v>996</v>
      </c>
      <c r="D2639">
        <v>1</v>
      </c>
    </row>
    <row r="2640" spans="1:4" x14ac:dyDescent="0.25">
      <c r="A2640" t="s">
        <v>1927</v>
      </c>
      <c r="B2640" t="s">
        <v>1331</v>
      </c>
      <c r="C2640" t="s">
        <v>996</v>
      </c>
      <c r="D2640">
        <v>42.35</v>
      </c>
    </row>
    <row r="2641" spans="1:4" x14ac:dyDescent="0.25">
      <c r="A2641" t="s">
        <v>1978</v>
      </c>
      <c r="B2641" t="s">
        <v>1335</v>
      </c>
      <c r="C2641" t="s">
        <v>996</v>
      </c>
      <c r="D2641">
        <v>33.049999999999997</v>
      </c>
    </row>
    <row r="2642" spans="1:4" x14ac:dyDescent="0.25">
      <c r="A2642" t="s">
        <v>1950</v>
      </c>
      <c r="B2642" t="s">
        <v>1334</v>
      </c>
      <c r="C2642" t="s">
        <v>996</v>
      </c>
      <c r="D2642">
        <v>4.7</v>
      </c>
    </row>
    <row r="2643" spans="1:4" x14ac:dyDescent="0.25">
      <c r="A2643" t="s">
        <v>1904</v>
      </c>
      <c r="B2643" t="s">
        <v>1331</v>
      </c>
      <c r="C2643" t="s">
        <v>996</v>
      </c>
      <c r="D2643">
        <v>87</v>
      </c>
    </row>
    <row r="2644" spans="1:4" x14ac:dyDescent="0.25">
      <c r="A2644" t="s">
        <v>1913</v>
      </c>
      <c r="B2644" t="s">
        <v>1335</v>
      </c>
      <c r="C2644" t="s">
        <v>996</v>
      </c>
      <c r="D2644">
        <v>7.7</v>
      </c>
    </row>
    <row r="2645" spans="1:4" x14ac:dyDescent="0.25">
      <c r="A2645" t="s">
        <v>1988</v>
      </c>
      <c r="B2645" t="s">
        <v>1330</v>
      </c>
      <c r="C2645" t="s">
        <v>996</v>
      </c>
      <c r="D2645">
        <v>11.3</v>
      </c>
    </row>
    <row r="2646" spans="1:4" x14ac:dyDescent="0.25">
      <c r="A2646" t="s">
        <v>1972</v>
      </c>
      <c r="B2646" t="s">
        <v>1334</v>
      </c>
      <c r="C2646" t="s">
        <v>996</v>
      </c>
      <c r="D2646">
        <v>1</v>
      </c>
    </row>
    <row r="2647" spans="1:4" x14ac:dyDescent="0.25">
      <c r="A2647" t="s">
        <v>1980</v>
      </c>
      <c r="B2647" t="s">
        <v>1331</v>
      </c>
      <c r="C2647" t="s">
        <v>996</v>
      </c>
      <c r="D2647">
        <v>236.25</v>
      </c>
    </row>
    <row r="2648" spans="1:4" x14ac:dyDescent="0.25">
      <c r="A2648" t="s">
        <v>1945</v>
      </c>
      <c r="B2648" t="s">
        <v>1331</v>
      </c>
      <c r="C2648" t="s">
        <v>996</v>
      </c>
      <c r="D2648">
        <v>8</v>
      </c>
    </row>
    <row r="2649" spans="1:4" x14ac:dyDescent="0.25">
      <c r="A2649" t="s">
        <v>1913</v>
      </c>
      <c r="B2649" t="s">
        <v>1336</v>
      </c>
      <c r="C2649" t="s">
        <v>1423</v>
      </c>
      <c r="D2649">
        <v>3.85</v>
      </c>
    </row>
    <row r="2650" spans="1:4" x14ac:dyDescent="0.25">
      <c r="A2650" t="s">
        <v>1995</v>
      </c>
      <c r="B2650" t="s">
        <v>1330</v>
      </c>
      <c r="C2650" t="s">
        <v>1423</v>
      </c>
      <c r="D2650">
        <v>28</v>
      </c>
    </row>
    <row r="2651" spans="1:4" x14ac:dyDescent="0.25">
      <c r="A2651" t="s">
        <v>1966</v>
      </c>
      <c r="B2651" t="s">
        <v>1331</v>
      </c>
      <c r="C2651" t="s">
        <v>1423</v>
      </c>
      <c r="D2651">
        <v>3.85</v>
      </c>
    </row>
    <row r="2652" spans="1:4" x14ac:dyDescent="0.25">
      <c r="A2652" t="s">
        <v>1978</v>
      </c>
      <c r="B2652" t="s">
        <v>1335</v>
      </c>
      <c r="C2652" t="s">
        <v>1423</v>
      </c>
      <c r="D2652">
        <v>42.55</v>
      </c>
    </row>
    <row r="2653" spans="1:4" x14ac:dyDescent="0.25">
      <c r="A2653" t="s">
        <v>1902</v>
      </c>
      <c r="B2653" t="s">
        <v>1336</v>
      </c>
      <c r="C2653" t="s">
        <v>1423</v>
      </c>
      <c r="D2653">
        <v>103.95</v>
      </c>
    </row>
    <row r="2654" spans="1:4" x14ac:dyDescent="0.25">
      <c r="A2654" t="s">
        <v>1911</v>
      </c>
      <c r="B2654" t="s">
        <v>1336</v>
      </c>
      <c r="C2654" t="s">
        <v>1423</v>
      </c>
      <c r="D2654">
        <v>4.8499999999999996</v>
      </c>
    </row>
    <row r="2655" spans="1:4" x14ac:dyDescent="0.25">
      <c r="A2655" t="s">
        <v>1960</v>
      </c>
      <c r="B2655" t="s">
        <v>1331</v>
      </c>
      <c r="C2655" t="s">
        <v>1423</v>
      </c>
      <c r="D2655">
        <v>151.69999999999999</v>
      </c>
    </row>
    <row r="2656" spans="1:4" x14ac:dyDescent="0.25">
      <c r="A2656" t="s">
        <v>1978</v>
      </c>
      <c r="B2656" t="s">
        <v>1336</v>
      </c>
      <c r="C2656" t="s">
        <v>1423</v>
      </c>
      <c r="D2656">
        <v>74.95</v>
      </c>
    </row>
    <row r="2657" spans="1:4" x14ac:dyDescent="0.25">
      <c r="A2657" t="s">
        <v>1971</v>
      </c>
      <c r="B2657" t="s">
        <v>1330</v>
      </c>
      <c r="C2657" t="s">
        <v>1000</v>
      </c>
      <c r="D2657">
        <v>63.9</v>
      </c>
    </row>
    <row r="2658" spans="1:4" x14ac:dyDescent="0.25">
      <c r="A2658" t="s">
        <v>1968</v>
      </c>
      <c r="B2658" t="s">
        <v>1331</v>
      </c>
      <c r="C2658" t="s">
        <v>1000</v>
      </c>
      <c r="D2658">
        <v>4</v>
      </c>
    </row>
    <row r="2659" spans="1:4" x14ac:dyDescent="0.25">
      <c r="A2659" t="s">
        <v>1939</v>
      </c>
      <c r="B2659" t="s">
        <v>1331</v>
      </c>
      <c r="C2659" t="s">
        <v>1000</v>
      </c>
      <c r="D2659">
        <v>37.200000000000003</v>
      </c>
    </row>
    <row r="2660" spans="1:4" x14ac:dyDescent="0.25">
      <c r="A2660" t="s">
        <v>1968</v>
      </c>
      <c r="B2660" t="s">
        <v>1330</v>
      </c>
      <c r="C2660" t="s">
        <v>1000</v>
      </c>
      <c r="D2660">
        <v>48.1</v>
      </c>
    </row>
    <row r="2661" spans="1:4" x14ac:dyDescent="0.25">
      <c r="A2661" t="s">
        <v>1902</v>
      </c>
      <c r="B2661" t="s">
        <v>1335</v>
      </c>
      <c r="C2661" t="s">
        <v>1000</v>
      </c>
      <c r="D2661">
        <v>9.25</v>
      </c>
    </row>
    <row r="2662" spans="1:4" x14ac:dyDescent="0.25">
      <c r="A2662" t="s">
        <v>1956</v>
      </c>
      <c r="B2662" t="s">
        <v>1335</v>
      </c>
      <c r="C2662" t="s">
        <v>1000</v>
      </c>
      <c r="D2662">
        <v>15.4</v>
      </c>
    </row>
    <row r="2663" spans="1:4" x14ac:dyDescent="0.25">
      <c r="A2663" t="s">
        <v>1965</v>
      </c>
      <c r="B2663" t="s">
        <v>1331</v>
      </c>
      <c r="C2663" t="s">
        <v>1000</v>
      </c>
      <c r="D2663">
        <v>170</v>
      </c>
    </row>
    <row r="2664" spans="1:4" x14ac:dyDescent="0.25">
      <c r="A2664" t="s">
        <v>1983</v>
      </c>
      <c r="B2664" t="s">
        <v>1335</v>
      </c>
      <c r="C2664" t="s">
        <v>1000</v>
      </c>
      <c r="D2664">
        <v>2.5499999999999998</v>
      </c>
    </row>
    <row r="2665" spans="1:4" x14ac:dyDescent="0.25">
      <c r="A2665" t="s">
        <v>1921</v>
      </c>
      <c r="B2665" t="s">
        <v>1330</v>
      </c>
      <c r="C2665" t="s">
        <v>1000</v>
      </c>
      <c r="D2665">
        <v>156.94999999999999</v>
      </c>
    </row>
    <row r="2666" spans="1:4" x14ac:dyDescent="0.25">
      <c r="A2666" t="s">
        <v>1978</v>
      </c>
      <c r="B2666" t="s">
        <v>1335</v>
      </c>
      <c r="C2666" t="s">
        <v>1000</v>
      </c>
      <c r="D2666">
        <v>180.2</v>
      </c>
    </row>
    <row r="2667" spans="1:4" x14ac:dyDescent="0.25">
      <c r="A2667" t="s">
        <v>1962</v>
      </c>
      <c r="B2667" t="s">
        <v>1331</v>
      </c>
      <c r="C2667" t="s">
        <v>1000</v>
      </c>
      <c r="D2667">
        <v>162.30000000000001</v>
      </c>
    </row>
    <row r="2668" spans="1:4" x14ac:dyDescent="0.25">
      <c r="A2668" t="s">
        <v>1961</v>
      </c>
      <c r="B2668" t="s">
        <v>1331</v>
      </c>
      <c r="C2668" t="s">
        <v>1000</v>
      </c>
      <c r="D2668">
        <v>33.700000000000003</v>
      </c>
    </row>
    <row r="2669" spans="1:4" x14ac:dyDescent="0.25">
      <c r="A2669" t="s">
        <v>2019</v>
      </c>
      <c r="B2669" t="s">
        <v>1334</v>
      </c>
      <c r="C2669" t="s">
        <v>1000</v>
      </c>
      <c r="D2669">
        <v>80.5</v>
      </c>
    </row>
    <row r="2670" spans="1:4" x14ac:dyDescent="0.25">
      <c r="A2670" t="s">
        <v>1913</v>
      </c>
      <c r="B2670" t="s">
        <v>1335</v>
      </c>
      <c r="C2670" t="s">
        <v>1000</v>
      </c>
      <c r="D2670">
        <v>3.85</v>
      </c>
    </row>
    <row r="2671" spans="1:4" x14ac:dyDescent="0.25">
      <c r="A2671" t="s">
        <v>1907</v>
      </c>
      <c r="B2671" t="s">
        <v>1335</v>
      </c>
      <c r="C2671" t="s">
        <v>1000</v>
      </c>
      <c r="D2671">
        <v>21.8</v>
      </c>
    </row>
    <row r="2672" spans="1:4" x14ac:dyDescent="0.25">
      <c r="A2672" t="s">
        <v>1972</v>
      </c>
      <c r="B2672" t="s">
        <v>1334</v>
      </c>
      <c r="C2672" t="s">
        <v>1000</v>
      </c>
      <c r="D2672">
        <v>58.9</v>
      </c>
    </row>
    <row r="2673" spans="1:4" x14ac:dyDescent="0.25">
      <c r="A2673" t="s">
        <v>1911</v>
      </c>
      <c r="B2673" t="s">
        <v>1335</v>
      </c>
      <c r="C2673" t="s">
        <v>1000</v>
      </c>
      <c r="D2673">
        <v>3.7</v>
      </c>
    </row>
    <row r="2674" spans="1:4" x14ac:dyDescent="0.25">
      <c r="A2674" t="s">
        <v>1979</v>
      </c>
      <c r="B2674" t="s">
        <v>1331</v>
      </c>
      <c r="C2674" t="s">
        <v>1000</v>
      </c>
      <c r="D2674">
        <v>14</v>
      </c>
    </row>
    <row r="2675" spans="1:4" x14ac:dyDescent="0.25">
      <c r="A2675" t="s">
        <v>1966</v>
      </c>
      <c r="B2675" t="s">
        <v>1331</v>
      </c>
      <c r="C2675" t="s">
        <v>1008</v>
      </c>
      <c r="D2675">
        <v>1004.85</v>
      </c>
    </row>
    <row r="2676" spans="1:4" x14ac:dyDescent="0.25">
      <c r="A2676" t="s">
        <v>1981</v>
      </c>
      <c r="B2676" t="s">
        <v>1331</v>
      </c>
      <c r="C2676" t="s">
        <v>1008</v>
      </c>
      <c r="D2676">
        <v>24.95</v>
      </c>
    </row>
    <row r="2677" spans="1:4" x14ac:dyDescent="0.25">
      <c r="A2677" t="s">
        <v>1987</v>
      </c>
      <c r="B2677" t="s">
        <v>1331</v>
      </c>
      <c r="C2677" t="s">
        <v>1008</v>
      </c>
      <c r="D2677">
        <v>328.17</v>
      </c>
    </row>
    <row r="2678" spans="1:4" x14ac:dyDescent="0.25">
      <c r="A2678" t="s">
        <v>1995</v>
      </c>
      <c r="B2678" t="s">
        <v>1330</v>
      </c>
      <c r="C2678" t="s">
        <v>1008</v>
      </c>
      <c r="D2678">
        <v>2.5</v>
      </c>
    </row>
    <row r="2679" spans="1:4" x14ac:dyDescent="0.25">
      <c r="A2679" t="s">
        <v>1972</v>
      </c>
      <c r="B2679" t="s">
        <v>1334</v>
      </c>
      <c r="C2679" t="s">
        <v>1008</v>
      </c>
      <c r="D2679">
        <v>1</v>
      </c>
    </row>
    <row r="2680" spans="1:4" x14ac:dyDescent="0.25">
      <c r="A2680" t="s">
        <v>1902</v>
      </c>
      <c r="B2680" t="s">
        <v>1335</v>
      </c>
      <c r="C2680" t="s">
        <v>1008</v>
      </c>
      <c r="D2680">
        <v>8.6999999999999993</v>
      </c>
    </row>
    <row r="2681" spans="1:4" x14ac:dyDescent="0.25">
      <c r="A2681" t="s">
        <v>1973</v>
      </c>
      <c r="B2681" t="s">
        <v>1331</v>
      </c>
      <c r="C2681" t="s">
        <v>1008</v>
      </c>
      <c r="D2681">
        <v>28.8</v>
      </c>
    </row>
    <row r="2682" spans="1:4" x14ac:dyDescent="0.25">
      <c r="A2682" t="s">
        <v>1911</v>
      </c>
      <c r="B2682" t="s">
        <v>1335</v>
      </c>
      <c r="C2682" t="s">
        <v>1008</v>
      </c>
      <c r="D2682">
        <v>16.100000000000001</v>
      </c>
    </row>
    <row r="2683" spans="1:4" x14ac:dyDescent="0.25">
      <c r="A2683" t="s">
        <v>1921</v>
      </c>
      <c r="B2683" t="s">
        <v>1330</v>
      </c>
      <c r="C2683" t="s">
        <v>1008</v>
      </c>
      <c r="D2683">
        <v>190.75</v>
      </c>
    </row>
    <row r="2684" spans="1:4" x14ac:dyDescent="0.25">
      <c r="A2684" t="s">
        <v>1950</v>
      </c>
      <c r="B2684" t="s">
        <v>1334</v>
      </c>
      <c r="C2684" t="s">
        <v>1008</v>
      </c>
      <c r="D2684">
        <v>11.4</v>
      </c>
    </row>
    <row r="2685" spans="1:4" x14ac:dyDescent="0.25">
      <c r="A2685" t="s">
        <v>1927</v>
      </c>
      <c r="B2685" t="s">
        <v>1331</v>
      </c>
      <c r="C2685" t="s">
        <v>1013</v>
      </c>
      <c r="D2685">
        <v>38.5</v>
      </c>
    </row>
    <row r="2686" spans="1:4" x14ac:dyDescent="0.25">
      <c r="A2686" t="s">
        <v>1973</v>
      </c>
      <c r="B2686" t="s">
        <v>1331</v>
      </c>
      <c r="C2686" t="s">
        <v>1013</v>
      </c>
      <c r="D2686">
        <v>31.1</v>
      </c>
    </row>
    <row r="2687" spans="1:4" x14ac:dyDescent="0.25">
      <c r="A2687" t="s">
        <v>1960</v>
      </c>
      <c r="B2687" t="s">
        <v>1331</v>
      </c>
      <c r="C2687" t="s">
        <v>1013</v>
      </c>
      <c r="D2687">
        <v>58.4</v>
      </c>
    </row>
    <row r="2688" spans="1:4" x14ac:dyDescent="0.25">
      <c r="A2688" t="s">
        <v>1950</v>
      </c>
      <c r="B2688" t="s">
        <v>1334</v>
      </c>
      <c r="C2688" t="s">
        <v>1013</v>
      </c>
      <c r="D2688">
        <v>8.5500000000000007</v>
      </c>
    </row>
    <row r="2689" spans="1:4" x14ac:dyDescent="0.25">
      <c r="A2689" t="s">
        <v>1995</v>
      </c>
      <c r="B2689" t="s">
        <v>1330</v>
      </c>
      <c r="C2689" t="s">
        <v>1013</v>
      </c>
      <c r="D2689">
        <v>91.5</v>
      </c>
    </row>
    <row r="2690" spans="1:4" x14ac:dyDescent="0.25">
      <c r="A2690" t="s">
        <v>1939</v>
      </c>
      <c r="B2690" t="s">
        <v>1331</v>
      </c>
      <c r="C2690" t="s">
        <v>1013</v>
      </c>
      <c r="D2690">
        <v>23.65</v>
      </c>
    </row>
    <row r="2691" spans="1:4" x14ac:dyDescent="0.25">
      <c r="A2691" t="s">
        <v>1929</v>
      </c>
      <c r="B2691" t="s">
        <v>1331</v>
      </c>
      <c r="C2691" t="s">
        <v>1013</v>
      </c>
      <c r="D2691">
        <v>333.15</v>
      </c>
    </row>
    <row r="2692" spans="1:4" x14ac:dyDescent="0.25">
      <c r="A2692" t="s">
        <v>1921</v>
      </c>
      <c r="B2692" t="s">
        <v>1330</v>
      </c>
      <c r="C2692" t="s">
        <v>1013</v>
      </c>
      <c r="D2692">
        <v>36.5</v>
      </c>
    </row>
    <row r="2693" spans="1:4" x14ac:dyDescent="0.25">
      <c r="A2693" t="s">
        <v>1939</v>
      </c>
      <c r="B2693" t="s">
        <v>1334</v>
      </c>
      <c r="C2693" t="s">
        <v>1340</v>
      </c>
      <c r="D2693">
        <v>2</v>
      </c>
    </row>
    <row r="2694" spans="1:4" x14ac:dyDescent="0.25">
      <c r="A2694" t="s">
        <v>2025</v>
      </c>
      <c r="B2694" t="s">
        <v>1334</v>
      </c>
      <c r="C2694" t="s">
        <v>1340</v>
      </c>
      <c r="D2694">
        <v>590.5</v>
      </c>
    </row>
    <row r="2695" spans="1:4" x14ac:dyDescent="0.25">
      <c r="A2695" t="s">
        <v>2028</v>
      </c>
      <c r="B2695" t="s">
        <v>1334</v>
      </c>
      <c r="C2695" t="s">
        <v>1340</v>
      </c>
      <c r="D2695">
        <v>1852.8</v>
      </c>
    </row>
    <row r="2696" spans="1:4" x14ac:dyDescent="0.25">
      <c r="A2696" t="s">
        <v>1911</v>
      </c>
      <c r="B2696" t="s">
        <v>1335</v>
      </c>
      <c r="C2696" t="s">
        <v>1340</v>
      </c>
      <c r="D2696">
        <v>116.5</v>
      </c>
    </row>
    <row r="2697" spans="1:4" x14ac:dyDescent="0.25">
      <c r="A2697" t="s">
        <v>2026</v>
      </c>
      <c r="B2697" t="s">
        <v>1334</v>
      </c>
      <c r="C2697" t="s">
        <v>1340</v>
      </c>
      <c r="D2697">
        <v>1165.7</v>
      </c>
    </row>
    <row r="2698" spans="1:4" x14ac:dyDescent="0.25">
      <c r="A2698" t="s">
        <v>2028</v>
      </c>
      <c r="B2698" t="s">
        <v>1335</v>
      </c>
      <c r="C2698" t="s">
        <v>1340</v>
      </c>
      <c r="D2698">
        <v>242.95</v>
      </c>
    </row>
    <row r="2699" spans="1:4" x14ac:dyDescent="0.25">
      <c r="A2699" t="s">
        <v>1992</v>
      </c>
      <c r="B2699" t="s">
        <v>1335</v>
      </c>
      <c r="C2699" t="s">
        <v>1340</v>
      </c>
      <c r="D2699">
        <v>11.1</v>
      </c>
    </row>
    <row r="2700" spans="1:4" x14ac:dyDescent="0.25">
      <c r="A2700" t="s">
        <v>2044</v>
      </c>
      <c r="B2700" t="s">
        <v>1331</v>
      </c>
      <c r="C2700" t="s">
        <v>1340</v>
      </c>
      <c r="D2700">
        <v>11.4</v>
      </c>
    </row>
    <row r="2701" spans="1:4" x14ac:dyDescent="0.25">
      <c r="A2701" t="s">
        <v>1961</v>
      </c>
      <c r="B2701" t="s">
        <v>1331</v>
      </c>
      <c r="C2701" t="s">
        <v>1340</v>
      </c>
      <c r="D2701">
        <v>1225.1500000000001</v>
      </c>
    </row>
    <row r="2702" spans="1:4" x14ac:dyDescent="0.25">
      <c r="A2702" t="s">
        <v>2029</v>
      </c>
      <c r="B2702" t="s">
        <v>1334</v>
      </c>
      <c r="C2702" t="s">
        <v>1340</v>
      </c>
      <c r="D2702">
        <v>441.6</v>
      </c>
    </row>
    <row r="2703" spans="1:4" x14ac:dyDescent="0.25">
      <c r="A2703" t="s">
        <v>1913</v>
      </c>
      <c r="B2703" t="s">
        <v>1335</v>
      </c>
      <c r="C2703" t="s">
        <v>1340</v>
      </c>
      <c r="D2703">
        <v>205.8</v>
      </c>
    </row>
    <row r="2704" spans="1:4" x14ac:dyDescent="0.25">
      <c r="A2704" t="s">
        <v>2035</v>
      </c>
      <c r="B2704" t="s">
        <v>1334</v>
      </c>
      <c r="C2704" t="s">
        <v>1340</v>
      </c>
      <c r="D2704">
        <v>921.85</v>
      </c>
    </row>
    <row r="2705" spans="1:4" x14ac:dyDescent="0.25">
      <c r="A2705" t="s">
        <v>2033</v>
      </c>
      <c r="B2705" t="s">
        <v>1331</v>
      </c>
      <c r="C2705" t="s">
        <v>1340</v>
      </c>
      <c r="D2705">
        <v>279</v>
      </c>
    </row>
    <row r="2706" spans="1:4" x14ac:dyDescent="0.25">
      <c r="A2706" t="s">
        <v>1990</v>
      </c>
      <c r="B2706" t="s">
        <v>1331</v>
      </c>
      <c r="C2706" t="s">
        <v>1340</v>
      </c>
      <c r="D2706">
        <v>299.8</v>
      </c>
    </row>
    <row r="2707" spans="1:4" x14ac:dyDescent="0.25">
      <c r="A2707" t="s">
        <v>1984</v>
      </c>
      <c r="B2707" t="s">
        <v>1331</v>
      </c>
      <c r="C2707" t="s">
        <v>1340</v>
      </c>
      <c r="D2707">
        <v>3294.66</v>
      </c>
    </row>
    <row r="2708" spans="1:4" x14ac:dyDescent="0.25">
      <c r="A2708" t="s">
        <v>1962</v>
      </c>
      <c r="B2708" t="s">
        <v>1331</v>
      </c>
      <c r="C2708" t="s">
        <v>1340</v>
      </c>
      <c r="D2708">
        <v>1067.9000000000001</v>
      </c>
    </row>
    <row r="2709" spans="1:4" x14ac:dyDescent="0.25">
      <c r="A2709" t="s">
        <v>2027</v>
      </c>
      <c r="B2709" t="s">
        <v>1334</v>
      </c>
      <c r="C2709" t="s">
        <v>1340</v>
      </c>
      <c r="D2709">
        <v>519.9</v>
      </c>
    </row>
    <row r="2710" spans="1:4" x14ac:dyDescent="0.25">
      <c r="A2710" t="s">
        <v>1973</v>
      </c>
      <c r="B2710" t="s">
        <v>1331</v>
      </c>
      <c r="C2710" t="s">
        <v>1340</v>
      </c>
      <c r="D2710">
        <v>3013.4</v>
      </c>
    </row>
    <row r="2711" spans="1:4" x14ac:dyDescent="0.25">
      <c r="A2711" t="s">
        <v>1990</v>
      </c>
      <c r="B2711" t="s">
        <v>1334</v>
      </c>
      <c r="C2711" t="s">
        <v>1340</v>
      </c>
      <c r="D2711">
        <v>228.4</v>
      </c>
    </row>
    <row r="2712" spans="1:4" x14ac:dyDescent="0.25">
      <c r="A2712" t="s">
        <v>1980</v>
      </c>
      <c r="B2712" t="s">
        <v>1331</v>
      </c>
      <c r="C2712" t="s">
        <v>1340</v>
      </c>
      <c r="D2712">
        <v>2</v>
      </c>
    </row>
    <row r="2713" spans="1:4" x14ac:dyDescent="0.25">
      <c r="A2713" t="s">
        <v>2023</v>
      </c>
      <c r="B2713" t="s">
        <v>1330</v>
      </c>
      <c r="C2713" t="s">
        <v>1340</v>
      </c>
      <c r="D2713">
        <v>449.8</v>
      </c>
    </row>
    <row r="2714" spans="1:4" x14ac:dyDescent="0.25">
      <c r="A2714" t="s">
        <v>2033</v>
      </c>
      <c r="B2714" t="s">
        <v>1334</v>
      </c>
      <c r="C2714" t="s">
        <v>1340</v>
      </c>
      <c r="D2714">
        <v>3638.85</v>
      </c>
    </row>
    <row r="2715" spans="1:4" x14ac:dyDescent="0.25">
      <c r="A2715" t="s">
        <v>2021</v>
      </c>
      <c r="B2715" t="s">
        <v>1334</v>
      </c>
      <c r="C2715" t="s">
        <v>1340</v>
      </c>
      <c r="D2715">
        <v>11.7</v>
      </c>
    </row>
    <row r="2716" spans="1:4" x14ac:dyDescent="0.25">
      <c r="A2716" t="s">
        <v>2027</v>
      </c>
      <c r="B2716" t="s">
        <v>1331</v>
      </c>
      <c r="C2716" t="s">
        <v>1340</v>
      </c>
      <c r="D2716">
        <v>34.65</v>
      </c>
    </row>
    <row r="2717" spans="1:4" x14ac:dyDescent="0.25">
      <c r="A2717" t="s">
        <v>1963</v>
      </c>
      <c r="B2717" t="s">
        <v>1331</v>
      </c>
      <c r="C2717" t="s">
        <v>1340</v>
      </c>
      <c r="D2717">
        <v>131.55000000000001</v>
      </c>
    </row>
    <row r="2718" spans="1:4" x14ac:dyDescent="0.25">
      <c r="A2718" t="s">
        <v>2024</v>
      </c>
      <c r="B2718" t="s">
        <v>1334</v>
      </c>
      <c r="C2718" t="s">
        <v>1340</v>
      </c>
      <c r="D2718">
        <v>2084.08</v>
      </c>
    </row>
    <row r="2719" spans="1:4" x14ac:dyDescent="0.25">
      <c r="A2719" t="s">
        <v>1981</v>
      </c>
      <c r="B2719" t="s">
        <v>1334</v>
      </c>
      <c r="C2719" t="s">
        <v>1340</v>
      </c>
      <c r="D2719">
        <v>136.6</v>
      </c>
    </row>
    <row r="2720" spans="1:4" x14ac:dyDescent="0.25">
      <c r="A2720" t="s">
        <v>1984</v>
      </c>
      <c r="B2720" t="s">
        <v>1333</v>
      </c>
      <c r="C2720" t="s">
        <v>1340</v>
      </c>
      <c r="D2720">
        <v>142.41</v>
      </c>
    </row>
    <row r="2721" spans="1:4" x14ac:dyDescent="0.25">
      <c r="A2721" t="s">
        <v>2008</v>
      </c>
      <c r="B2721" t="s">
        <v>1331</v>
      </c>
      <c r="C2721" t="s">
        <v>1340</v>
      </c>
      <c r="D2721">
        <v>9.4</v>
      </c>
    </row>
    <row r="2722" spans="1:4" x14ac:dyDescent="0.25">
      <c r="A2722" t="s">
        <v>2020</v>
      </c>
      <c r="B2722" t="s">
        <v>1334</v>
      </c>
      <c r="C2722" t="s">
        <v>1340</v>
      </c>
      <c r="D2722">
        <v>3854.75</v>
      </c>
    </row>
    <row r="2723" spans="1:4" x14ac:dyDescent="0.25">
      <c r="A2723" t="s">
        <v>1971</v>
      </c>
      <c r="B2723" t="s">
        <v>1330</v>
      </c>
      <c r="C2723" t="s">
        <v>1340</v>
      </c>
      <c r="D2723">
        <v>38.200000000000003</v>
      </c>
    </row>
    <row r="2724" spans="1:4" x14ac:dyDescent="0.25">
      <c r="A2724" t="s">
        <v>2004</v>
      </c>
      <c r="B2724" t="s">
        <v>1331</v>
      </c>
      <c r="C2724" t="s">
        <v>1340</v>
      </c>
      <c r="D2724">
        <v>1639.62</v>
      </c>
    </row>
    <row r="2725" spans="1:4" x14ac:dyDescent="0.25">
      <c r="A2725" t="s">
        <v>1902</v>
      </c>
      <c r="B2725" t="s">
        <v>1335</v>
      </c>
      <c r="C2725" t="s">
        <v>1340</v>
      </c>
      <c r="D2725">
        <v>9.6999999999999993</v>
      </c>
    </row>
    <row r="2726" spans="1:4" x14ac:dyDescent="0.25">
      <c r="A2726" t="s">
        <v>1909</v>
      </c>
      <c r="B2726" t="s">
        <v>1335</v>
      </c>
      <c r="C2726" t="s">
        <v>1340</v>
      </c>
      <c r="D2726">
        <v>33.85</v>
      </c>
    </row>
    <row r="2727" spans="1:4" x14ac:dyDescent="0.25">
      <c r="A2727" t="s">
        <v>2048</v>
      </c>
      <c r="B2727" t="s">
        <v>1334</v>
      </c>
      <c r="C2727" t="s">
        <v>1340</v>
      </c>
      <c r="D2727">
        <v>122.65</v>
      </c>
    </row>
    <row r="2728" spans="1:4" x14ac:dyDescent="0.25">
      <c r="A2728" t="s">
        <v>1999</v>
      </c>
      <c r="B2728" t="s">
        <v>1331</v>
      </c>
      <c r="C2728" t="s">
        <v>1340</v>
      </c>
      <c r="D2728">
        <v>397.2</v>
      </c>
    </row>
    <row r="2729" spans="1:4" x14ac:dyDescent="0.25">
      <c r="A2729" t="s">
        <v>1918</v>
      </c>
      <c r="B2729" t="s">
        <v>1335</v>
      </c>
      <c r="C2729" t="s">
        <v>1340</v>
      </c>
      <c r="D2729">
        <v>14.9</v>
      </c>
    </row>
    <row r="2730" spans="1:4" x14ac:dyDescent="0.25">
      <c r="A2730" t="s">
        <v>2007</v>
      </c>
      <c r="B2730" t="s">
        <v>1331</v>
      </c>
      <c r="C2730" t="s">
        <v>1340</v>
      </c>
      <c r="D2730">
        <v>65.599999999999994</v>
      </c>
    </row>
    <row r="2731" spans="1:4" x14ac:dyDescent="0.25">
      <c r="A2731" t="s">
        <v>1981</v>
      </c>
      <c r="B2731" t="s">
        <v>1331</v>
      </c>
      <c r="C2731" t="s">
        <v>1340</v>
      </c>
      <c r="D2731">
        <v>667.5</v>
      </c>
    </row>
    <row r="2732" spans="1:4" x14ac:dyDescent="0.25">
      <c r="A2732" t="s">
        <v>1968</v>
      </c>
      <c r="B2732" t="s">
        <v>1331</v>
      </c>
      <c r="C2732" t="s">
        <v>1340</v>
      </c>
      <c r="D2732">
        <v>936.9</v>
      </c>
    </row>
    <row r="2733" spans="1:4" x14ac:dyDescent="0.25">
      <c r="A2733" t="s">
        <v>1921</v>
      </c>
      <c r="B2733" t="s">
        <v>1330</v>
      </c>
      <c r="C2733" t="s">
        <v>1340</v>
      </c>
      <c r="D2733">
        <v>50.9</v>
      </c>
    </row>
    <row r="2734" spans="1:4" x14ac:dyDescent="0.25">
      <c r="A2734" t="s">
        <v>1968</v>
      </c>
      <c r="B2734" t="s">
        <v>1330</v>
      </c>
      <c r="C2734" t="s">
        <v>1340</v>
      </c>
      <c r="D2734">
        <v>7.35</v>
      </c>
    </row>
    <row r="2735" spans="1:4" x14ac:dyDescent="0.25">
      <c r="A2735" t="s">
        <v>2026</v>
      </c>
      <c r="B2735" t="s">
        <v>1331</v>
      </c>
      <c r="C2735" t="s">
        <v>1340</v>
      </c>
      <c r="D2735">
        <v>355</v>
      </c>
    </row>
    <row r="2736" spans="1:4" x14ac:dyDescent="0.25">
      <c r="A2736" t="s">
        <v>1984</v>
      </c>
      <c r="B2736" t="s">
        <v>1330</v>
      </c>
      <c r="C2736" t="s">
        <v>1340</v>
      </c>
      <c r="D2736">
        <v>0</v>
      </c>
    </row>
    <row r="2737" spans="1:4" x14ac:dyDescent="0.25">
      <c r="A2737" t="s">
        <v>1961</v>
      </c>
      <c r="B2737" t="s">
        <v>1331</v>
      </c>
      <c r="C2737" t="s">
        <v>1018</v>
      </c>
      <c r="D2737">
        <v>30.3</v>
      </c>
    </row>
    <row r="2738" spans="1:4" x14ac:dyDescent="0.25">
      <c r="A2738" t="s">
        <v>1980</v>
      </c>
      <c r="B2738" t="s">
        <v>1331</v>
      </c>
      <c r="C2738" t="s">
        <v>1018</v>
      </c>
      <c r="D2738">
        <v>304</v>
      </c>
    </row>
    <row r="2739" spans="1:4" x14ac:dyDescent="0.25">
      <c r="A2739" t="s">
        <v>1904</v>
      </c>
      <c r="B2739" t="s">
        <v>1331</v>
      </c>
      <c r="C2739" t="s">
        <v>1018</v>
      </c>
      <c r="D2739">
        <v>1</v>
      </c>
    </row>
    <row r="2740" spans="1:4" x14ac:dyDescent="0.25">
      <c r="A2740" t="s">
        <v>1972</v>
      </c>
      <c r="B2740" t="s">
        <v>1334</v>
      </c>
      <c r="C2740" t="s">
        <v>1018</v>
      </c>
      <c r="D2740">
        <v>10</v>
      </c>
    </row>
    <row r="2741" spans="1:4" x14ac:dyDescent="0.25">
      <c r="A2741" t="s">
        <v>1950</v>
      </c>
      <c r="B2741" t="s">
        <v>1334</v>
      </c>
      <c r="C2741" t="s">
        <v>1018</v>
      </c>
      <c r="D2741">
        <v>83.15</v>
      </c>
    </row>
    <row r="2742" spans="1:4" x14ac:dyDescent="0.25">
      <c r="A2742" t="s">
        <v>1907</v>
      </c>
      <c r="B2742" t="s">
        <v>1335</v>
      </c>
      <c r="C2742" t="s">
        <v>1018</v>
      </c>
      <c r="D2742">
        <v>23.8</v>
      </c>
    </row>
    <row r="2743" spans="1:4" x14ac:dyDescent="0.25">
      <c r="A2743" t="s">
        <v>1982</v>
      </c>
      <c r="B2743" t="s">
        <v>1334</v>
      </c>
      <c r="C2743" t="s">
        <v>1018</v>
      </c>
      <c r="D2743">
        <v>32</v>
      </c>
    </row>
    <row r="2744" spans="1:4" x14ac:dyDescent="0.25">
      <c r="A2744" t="s">
        <v>1995</v>
      </c>
      <c r="B2744" t="s">
        <v>1330</v>
      </c>
      <c r="C2744" t="s">
        <v>1018</v>
      </c>
      <c r="D2744">
        <v>166.75</v>
      </c>
    </row>
    <row r="2745" spans="1:4" x14ac:dyDescent="0.25">
      <c r="A2745" t="s">
        <v>1909</v>
      </c>
      <c r="B2745" t="s">
        <v>1335</v>
      </c>
      <c r="C2745" t="s">
        <v>1365</v>
      </c>
      <c r="D2745">
        <v>14.5</v>
      </c>
    </row>
    <row r="2746" spans="1:4" x14ac:dyDescent="0.25">
      <c r="A2746" t="s">
        <v>2048</v>
      </c>
      <c r="B2746" t="s">
        <v>1334</v>
      </c>
      <c r="C2746" t="s">
        <v>1365</v>
      </c>
      <c r="D2746">
        <v>32.65</v>
      </c>
    </row>
    <row r="2747" spans="1:4" x14ac:dyDescent="0.25">
      <c r="A2747" t="s">
        <v>2044</v>
      </c>
      <c r="B2747" t="s">
        <v>1331</v>
      </c>
      <c r="C2747" t="s">
        <v>1365</v>
      </c>
      <c r="D2747">
        <v>7.7</v>
      </c>
    </row>
    <row r="2748" spans="1:4" x14ac:dyDescent="0.25">
      <c r="A2748" t="s">
        <v>1990</v>
      </c>
      <c r="B2748" t="s">
        <v>1331</v>
      </c>
      <c r="C2748" t="s">
        <v>1365</v>
      </c>
      <c r="D2748">
        <v>10.7</v>
      </c>
    </row>
    <row r="2749" spans="1:4" x14ac:dyDescent="0.25">
      <c r="A2749" t="s">
        <v>2017</v>
      </c>
      <c r="B2749" t="s">
        <v>1331</v>
      </c>
      <c r="C2749" t="s">
        <v>1365</v>
      </c>
      <c r="D2749">
        <v>8</v>
      </c>
    </row>
    <row r="2750" spans="1:4" x14ac:dyDescent="0.25">
      <c r="A2750" t="s">
        <v>2035</v>
      </c>
      <c r="B2750" t="s">
        <v>1334</v>
      </c>
      <c r="C2750" t="s">
        <v>1365</v>
      </c>
      <c r="D2750">
        <v>3.85</v>
      </c>
    </row>
    <row r="2751" spans="1:4" x14ac:dyDescent="0.25">
      <c r="A2751" t="s">
        <v>2033</v>
      </c>
      <c r="B2751" t="s">
        <v>1334</v>
      </c>
      <c r="C2751" t="s">
        <v>1365</v>
      </c>
      <c r="D2751">
        <v>835.29</v>
      </c>
    </row>
    <row r="2752" spans="1:4" x14ac:dyDescent="0.25">
      <c r="A2752" t="s">
        <v>2033</v>
      </c>
      <c r="B2752" t="s">
        <v>1331</v>
      </c>
      <c r="C2752" t="s">
        <v>1365</v>
      </c>
      <c r="D2752">
        <v>20.149999999999999</v>
      </c>
    </row>
    <row r="2753" spans="1:4" x14ac:dyDescent="0.25">
      <c r="A2753" t="s">
        <v>1913</v>
      </c>
      <c r="B2753" t="s">
        <v>1333</v>
      </c>
      <c r="C2753" t="s">
        <v>1365</v>
      </c>
      <c r="D2753">
        <v>7.7</v>
      </c>
    </row>
    <row r="2754" spans="1:4" x14ac:dyDescent="0.25">
      <c r="A2754" t="s">
        <v>2003</v>
      </c>
      <c r="B2754" t="s">
        <v>1331</v>
      </c>
      <c r="C2754" t="s">
        <v>1365</v>
      </c>
      <c r="D2754">
        <v>115.5</v>
      </c>
    </row>
    <row r="2755" spans="1:4" x14ac:dyDescent="0.25">
      <c r="A2755" t="s">
        <v>2025</v>
      </c>
      <c r="B2755" t="s">
        <v>1334</v>
      </c>
      <c r="C2755" t="s">
        <v>1365</v>
      </c>
      <c r="D2755">
        <v>1.5</v>
      </c>
    </row>
    <row r="2756" spans="1:4" x14ac:dyDescent="0.25">
      <c r="A2756" t="s">
        <v>2033</v>
      </c>
      <c r="B2756" t="s">
        <v>1333</v>
      </c>
      <c r="C2756" t="s">
        <v>1365</v>
      </c>
      <c r="D2756">
        <v>1</v>
      </c>
    </row>
    <row r="2757" spans="1:4" x14ac:dyDescent="0.25">
      <c r="A2757" t="s">
        <v>1984</v>
      </c>
      <c r="B2757" t="s">
        <v>1330</v>
      </c>
      <c r="C2757" t="s">
        <v>1365</v>
      </c>
      <c r="D2757">
        <v>2</v>
      </c>
    </row>
    <row r="2758" spans="1:4" x14ac:dyDescent="0.25">
      <c r="A2758" t="s">
        <v>1904</v>
      </c>
      <c r="B2758" t="s">
        <v>1331</v>
      </c>
      <c r="C2758" t="s">
        <v>1365</v>
      </c>
      <c r="D2758">
        <v>572.4</v>
      </c>
    </row>
    <row r="2759" spans="1:4" x14ac:dyDescent="0.25">
      <c r="A2759" t="s">
        <v>2023</v>
      </c>
      <c r="B2759" t="s">
        <v>1330</v>
      </c>
      <c r="C2759" t="s">
        <v>1365</v>
      </c>
      <c r="D2759">
        <v>104.85</v>
      </c>
    </row>
    <row r="2760" spans="1:4" x14ac:dyDescent="0.25">
      <c r="A2760" t="s">
        <v>1973</v>
      </c>
      <c r="B2760" t="s">
        <v>1331</v>
      </c>
      <c r="C2760" t="s">
        <v>1365</v>
      </c>
      <c r="D2760">
        <v>3.85</v>
      </c>
    </row>
    <row r="2761" spans="1:4" x14ac:dyDescent="0.25">
      <c r="A2761" t="s">
        <v>1904</v>
      </c>
      <c r="B2761" t="s">
        <v>1333</v>
      </c>
      <c r="C2761" t="s">
        <v>1365</v>
      </c>
      <c r="D2761">
        <v>22</v>
      </c>
    </row>
    <row r="2762" spans="1:4" x14ac:dyDescent="0.25">
      <c r="A2762" t="s">
        <v>1913</v>
      </c>
      <c r="B2762" t="s">
        <v>1335</v>
      </c>
      <c r="C2762" t="s">
        <v>1365</v>
      </c>
      <c r="D2762">
        <v>15.4</v>
      </c>
    </row>
    <row r="2763" spans="1:4" x14ac:dyDescent="0.25">
      <c r="A2763" t="s">
        <v>1980</v>
      </c>
      <c r="B2763" t="s">
        <v>1331</v>
      </c>
      <c r="C2763" t="s">
        <v>1365</v>
      </c>
      <c r="D2763">
        <v>0.5</v>
      </c>
    </row>
    <row r="2764" spans="1:4" x14ac:dyDescent="0.25">
      <c r="A2764" t="s">
        <v>2021</v>
      </c>
      <c r="B2764" t="s">
        <v>1331</v>
      </c>
      <c r="C2764" t="s">
        <v>1365</v>
      </c>
      <c r="D2764">
        <v>1</v>
      </c>
    </row>
    <row r="2765" spans="1:4" x14ac:dyDescent="0.25">
      <c r="A2765" t="s">
        <v>2024</v>
      </c>
      <c r="B2765" t="s">
        <v>1334</v>
      </c>
      <c r="C2765" t="s">
        <v>1365</v>
      </c>
      <c r="D2765">
        <v>83.85</v>
      </c>
    </row>
    <row r="2766" spans="1:4" x14ac:dyDescent="0.25">
      <c r="A2766" t="s">
        <v>2021</v>
      </c>
      <c r="B2766" t="s">
        <v>1334</v>
      </c>
      <c r="C2766" t="s">
        <v>1365</v>
      </c>
      <c r="D2766">
        <v>5</v>
      </c>
    </row>
    <row r="2767" spans="1:4" x14ac:dyDescent="0.25">
      <c r="A2767" t="s">
        <v>1961</v>
      </c>
      <c r="B2767" t="s">
        <v>1331</v>
      </c>
      <c r="C2767" t="s">
        <v>1365</v>
      </c>
      <c r="D2767">
        <v>35.4</v>
      </c>
    </row>
    <row r="2768" spans="1:4" x14ac:dyDescent="0.25">
      <c r="A2768" t="s">
        <v>1911</v>
      </c>
      <c r="B2768" t="s">
        <v>1335</v>
      </c>
      <c r="C2768" t="s">
        <v>1365</v>
      </c>
      <c r="D2768">
        <v>9.5500000000000007</v>
      </c>
    </row>
    <row r="2769" spans="1:4" x14ac:dyDescent="0.25">
      <c r="A2769" t="s">
        <v>1984</v>
      </c>
      <c r="B2769" t="s">
        <v>1331</v>
      </c>
      <c r="C2769" t="s">
        <v>1365</v>
      </c>
      <c r="D2769">
        <v>4.5</v>
      </c>
    </row>
    <row r="2770" spans="1:4" x14ac:dyDescent="0.25">
      <c r="A2770" t="s">
        <v>1984</v>
      </c>
      <c r="B2770" t="s">
        <v>1333</v>
      </c>
      <c r="C2770" t="s">
        <v>1365</v>
      </c>
      <c r="D2770">
        <v>8.5</v>
      </c>
    </row>
    <row r="2771" spans="1:4" x14ac:dyDescent="0.25">
      <c r="A2771" t="s">
        <v>2000</v>
      </c>
      <c r="B2771" t="s">
        <v>1331</v>
      </c>
      <c r="C2771" t="s">
        <v>1365</v>
      </c>
      <c r="D2771">
        <v>136</v>
      </c>
    </row>
    <row r="2772" spans="1:4" x14ac:dyDescent="0.25">
      <c r="A2772" t="s">
        <v>1972</v>
      </c>
      <c r="B2772" t="s">
        <v>1334</v>
      </c>
      <c r="C2772" t="s">
        <v>1365</v>
      </c>
      <c r="D2772">
        <v>6.7</v>
      </c>
    </row>
    <row r="2773" spans="1:4" x14ac:dyDescent="0.25">
      <c r="A2773" t="s">
        <v>2008</v>
      </c>
      <c r="B2773" t="s">
        <v>1331</v>
      </c>
      <c r="C2773" t="s">
        <v>1365</v>
      </c>
      <c r="D2773">
        <v>7.85</v>
      </c>
    </row>
    <row r="2774" spans="1:4" x14ac:dyDescent="0.25">
      <c r="A2774" t="s">
        <v>1962</v>
      </c>
      <c r="B2774" t="s">
        <v>1331</v>
      </c>
      <c r="C2774" t="s">
        <v>1365</v>
      </c>
      <c r="D2774">
        <v>10.7</v>
      </c>
    </row>
    <row r="2775" spans="1:4" x14ac:dyDescent="0.25">
      <c r="A2775" t="s">
        <v>2019</v>
      </c>
      <c r="B2775" t="s">
        <v>1334</v>
      </c>
      <c r="C2775" t="s">
        <v>1023</v>
      </c>
      <c r="D2775">
        <v>144.05000000000001</v>
      </c>
    </row>
    <row r="2776" spans="1:4" x14ac:dyDescent="0.25">
      <c r="A2776" t="s">
        <v>1913</v>
      </c>
      <c r="B2776" t="s">
        <v>1335</v>
      </c>
      <c r="C2776" t="s">
        <v>1023</v>
      </c>
      <c r="D2776">
        <v>10.55</v>
      </c>
    </row>
    <row r="2777" spans="1:4" x14ac:dyDescent="0.25">
      <c r="A2777" t="s">
        <v>1920</v>
      </c>
      <c r="B2777" t="s">
        <v>1334</v>
      </c>
      <c r="C2777" t="s">
        <v>1023</v>
      </c>
      <c r="D2777">
        <v>118</v>
      </c>
    </row>
    <row r="2778" spans="1:4" x14ac:dyDescent="0.25">
      <c r="A2778" t="s">
        <v>1921</v>
      </c>
      <c r="B2778" t="s">
        <v>1330</v>
      </c>
      <c r="C2778" t="s">
        <v>1023</v>
      </c>
      <c r="D2778">
        <v>6.7</v>
      </c>
    </row>
    <row r="2779" spans="1:4" x14ac:dyDescent="0.25">
      <c r="A2779" t="s">
        <v>1973</v>
      </c>
      <c r="B2779" t="s">
        <v>1331</v>
      </c>
      <c r="C2779" t="s">
        <v>1023</v>
      </c>
      <c r="D2779">
        <v>2</v>
      </c>
    </row>
    <row r="2780" spans="1:4" x14ac:dyDescent="0.25">
      <c r="A2780" t="s">
        <v>1920</v>
      </c>
      <c r="B2780" t="s">
        <v>1331</v>
      </c>
      <c r="C2780" t="s">
        <v>1023</v>
      </c>
      <c r="D2780">
        <v>48</v>
      </c>
    </row>
    <row r="2781" spans="1:4" x14ac:dyDescent="0.25">
      <c r="A2781" t="s">
        <v>1927</v>
      </c>
      <c r="B2781" t="s">
        <v>1331</v>
      </c>
      <c r="C2781" t="s">
        <v>1023</v>
      </c>
      <c r="D2781">
        <v>65.45</v>
      </c>
    </row>
    <row r="2782" spans="1:4" x14ac:dyDescent="0.25">
      <c r="A2782" t="s">
        <v>1950</v>
      </c>
      <c r="B2782" t="s">
        <v>1330</v>
      </c>
      <c r="C2782" t="s">
        <v>1023</v>
      </c>
      <c r="D2782">
        <v>3.85</v>
      </c>
    </row>
    <row r="2783" spans="1:4" x14ac:dyDescent="0.25">
      <c r="A2783" t="s">
        <v>1950</v>
      </c>
      <c r="B2783" t="s">
        <v>1334</v>
      </c>
      <c r="C2783" t="s">
        <v>1023</v>
      </c>
      <c r="D2783">
        <v>93.75</v>
      </c>
    </row>
    <row r="2784" spans="1:4" x14ac:dyDescent="0.25">
      <c r="A2784" t="s">
        <v>1987</v>
      </c>
      <c r="B2784" t="s">
        <v>1331</v>
      </c>
      <c r="C2784" t="s">
        <v>1023</v>
      </c>
      <c r="D2784">
        <v>200.64</v>
      </c>
    </row>
    <row r="2785" spans="1:4" x14ac:dyDescent="0.25">
      <c r="A2785" t="s">
        <v>1972</v>
      </c>
      <c r="B2785" t="s">
        <v>1334</v>
      </c>
      <c r="C2785" t="s">
        <v>1023</v>
      </c>
      <c r="D2785">
        <v>452.9</v>
      </c>
    </row>
    <row r="2786" spans="1:4" x14ac:dyDescent="0.25">
      <c r="A2786" t="s">
        <v>1939</v>
      </c>
      <c r="B2786" t="s">
        <v>1331</v>
      </c>
      <c r="C2786" t="s">
        <v>1023</v>
      </c>
      <c r="D2786">
        <v>101.8</v>
      </c>
    </row>
    <row r="2787" spans="1:4" x14ac:dyDescent="0.25">
      <c r="A2787" t="s">
        <v>1935</v>
      </c>
      <c r="B2787" t="s">
        <v>1331</v>
      </c>
      <c r="C2787" t="s">
        <v>1023</v>
      </c>
      <c r="D2787">
        <v>353</v>
      </c>
    </row>
    <row r="2788" spans="1:4" x14ac:dyDescent="0.25">
      <c r="A2788" t="s">
        <v>1911</v>
      </c>
      <c r="B2788" t="s">
        <v>1330</v>
      </c>
      <c r="C2788" t="s">
        <v>1023</v>
      </c>
      <c r="D2788">
        <v>1</v>
      </c>
    </row>
    <row r="2789" spans="1:4" x14ac:dyDescent="0.25">
      <c r="A2789" t="s">
        <v>1911</v>
      </c>
      <c r="B2789" t="s">
        <v>1335</v>
      </c>
      <c r="C2789" t="s">
        <v>1023</v>
      </c>
      <c r="D2789">
        <v>45.6</v>
      </c>
    </row>
    <row r="2790" spans="1:4" x14ac:dyDescent="0.25">
      <c r="A2790" t="s">
        <v>1995</v>
      </c>
      <c r="B2790" t="s">
        <v>1330</v>
      </c>
      <c r="C2790" t="s">
        <v>1023</v>
      </c>
      <c r="D2790">
        <v>1</v>
      </c>
    </row>
    <row r="2791" spans="1:4" x14ac:dyDescent="0.25">
      <c r="A2791" t="s">
        <v>1902</v>
      </c>
      <c r="B2791" t="s">
        <v>1335</v>
      </c>
      <c r="C2791" t="s">
        <v>1023</v>
      </c>
      <c r="D2791">
        <v>12.55</v>
      </c>
    </row>
    <row r="2792" spans="1:4" x14ac:dyDescent="0.25">
      <c r="A2792" t="s">
        <v>1984</v>
      </c>
      <c r="B2792" t="s">
        <v>1331</v>
      </c>
      <c r="C2792" t="s">
        <v>1023</v>
      </c>
      <c r="D2792">
        <v>229.2</v>
      </c>
    </row>
    <row r="2793" spans="1:4" x14ac:dyDescent="0.25">
      <c r="A2793" t="s">
        <v>1961</v>
      </c>
      <c r="B2793" t="s">
        <v>1331</v>
      </c>
      <c r="C2793" t="s">
        <v>1023</v>
      </c>
      <c r="D2793">
        <v>0.5</v>
      </c>
    </row>
    <row r="2794" spans="1:4" x14ac:dyDescent="0.25">
      <c r="A2794" t="s">
        <v>1923</v>
      </c>
      <c r="B2794" t="s">
        <v>1331</v>
      </c>
      <c r="C2794" t="s">
        <v>1027</v>
      </c>
      <c r="D2794">
        <v>87.45</v>
      </c>
    </row>
    <row r="2795" spans="1:4" x14ac:dyDescent="0.25">
      <c r="A2795" t="s">
        <v>1990</v>
      </c>
      <c r="B2795" t="s">
        <v>1331</v>
      </c>
      <c r="C2795" t="s">
        <v>1027</v>
      </c>
      <c r="D2795">
        <v>21.7</v>
      </c>
    </row>
    <row r="2796" spans="1:4" x14ac:dyDescent="0.25">
      <c r="A2796" t="s">
        <v>1960</v>
      </c>
      <c r="B2796" t="s">
        <v>1331</v>
      </c>
      <c r="C2796" t="s">
        <v>1027</v>
      </c>
      <c r="D2796">
        <v>29.2</v>
      </c>
    </row>
    <row r="2797" spans="1:4" x14ac:dyDescent="0.25">
      <c r="A2797" t="s">
        <v>1973</v>
      </c>
      <c r="B2797" t="s">
        <v>1331</v>
      </c>
      <c r="C2797" t="s">
        <v>1027</v>
      </c>
      <c r="D2797">
        <v>5</v>
      </c>
    </row>
    <row r="2798" spans="1:4" x14ac:dyDescent="0.25">
      <c r="A2798" t="s">
        <v>1904</v>
      </c>
      <c r="B2798" t="s">
        <v>1331</v>
      </c>
      <c r="C2798" t="s">
        <v>1027</v>
      </c>
      <c r="D2798">
        <v>1</v>
      </c>
    </row>
    <row r="2799" spans="1:4" x14ac:dyDescent="0.25">
      <c r="A2799" t="s">
        <v>2049</v>
      </c>
      <c r="B2799" t="s">
        <v>1331</v>
      </c>
      <c r="C2799" t="s">
        <v>1027</v>
      </c>
      <c r="D2799">
        <v>36.5</v>
      </c>
    </row>
    <row r="2800" spans="1:4" x14ac:dyDescent="0.25">
      <c r="A2800" t="s">
        <v>1995</v>
      </c>
      <c r="B2800" t="s">
        <v>1330</v>
      </c>
      <c r="C2800" t="s">
        <v>1027</v>
      </c>
      <c r="D2800">
        <v>688.4</v>
      </c>
    </row>
    <row r="2801" spans="1:4" x14ac:dyDescent="0.25">
      <c r="A2801" t="s">
        <v>1913</v>
      </c>
      <c r="B2801" t="s">
        <v>1335</v>
      </c>
      <c r="C2801" t="s">
        <v>1027</v>
      </c>
      <c r="D2801">
        <v>7.7</v>
      </c>
    </row>
    <row r="2802" spans="1:4" x14ac:dyDescent="0.25">
      <c r="A2802" t="s">
        <v>2027</v>
      </c>
      <c r="B2802" t="s">
        <v>1334</v>
      </c>
      <c r="C2802" t="s">
        <v>1027</v>
      </c>
      <c r="D2802">
        <v>3</v>
      </c>
    </row>
    <row r="2803" spans="1:4" x14ac:dyDescent="0.25">
      <c r="A2803" t="s">
        <v>1978</v>
      </c>
      <c r="B2803" t="s">
        <v>1335</v>
      </c>
      <c r="C2803" t="s">
        <v>1027</v>
      </c>
      <c r="D2803">
        <v>183.95</v>
      </c>
    </row>
    <row r="2804" spans="1:4" x14ac:dyDescent="0.25">
      <c r="A2804" t="s">
        <v>1927</v>
      </c>
      <c r="B2804" t="s">
        <v>1331</v>
      </c>
      <c r="C2804" t="s">
        <v>1027</v>
      </c>
      <c r="D2804">
        <v>146.30000000000001</v>
      </c>
    </row>
    <row r="2805" spans="1:4" x14ac:dyDescent="0.25">
      <c r="A2805" t="s">
        <v>1959</v>
      </c>
      <c r="B2805" t="s">
        <v>1335</v>
      </c>
      <c r="C2805" t="s">
        <v>1027</v>
      </c>
      <c r="D2805">
        <v>9</v>
      </c>
    </row>
    <row r="2806" spans="1:4" x14ac:dyDescent="0.25">
      <c r="A2806" t="s">
        <v>1972</v>
      </c>
      <c r="B2806" t="s">
        <v>1334</v>
      </c>
      <c r="C2806" t="s">
        <v>1027</v>
      </c>
      <c r="D2806">
        <v>28.4</v>
      </c>
    </row>
    <row r="2807" spans="1:4" x14ac:dyDescent="0.25">
      <c r="A2807" t="s">
        <v>1971</v>
      </c>
      <c r="B2807" t="s">
        <v>1330</v>
      </c>
      <c r="C2807" t="s">
        <v>1027</v>
      </c>
      <c r="D2807">
        <v>109.6</v>
      </c>
    </row>
    <row r="2808" spans="1:4" x14ac:dyDescent="0.25">
      <c r="A2808" t="s">
        <v>1968</v>
      </c>
      <c r="B2808" t="s">
        <v>1330</v>
      </c>
      <c r="C2808" t="s">
        <v>1027</v>
      </c>
      <c r="D2808">
        <v>3</v>
      </c>
    </row>
    <row r="2809" spans="1:4" x14ac:dyDescent="0.25">
      <c r="A2809" t="s">
        <v>1907</v>
      </c>
      <c r="B2809" t="s">
        <v>1335</v>
      </c>
      <c r="C2809" t="s">
        <v>1027</v>
      </c>
      <c r="D2809">
        <v>17.100000000000001</v>
      </c>
    </row>
    <row r="2810" spans="1:4" x14ac:dyDescent="0.25">
      <c r="A2810" t="s">
        <v>1921</v>
      </c>
      <c r="B2810" t="s">
        <v>1330</v>
      </c>
      <c r="C2810" t="s">
        <v>1027</v>
      </c>
      <c r="D2810">
        <v>69.7</v>
      </c>
    </row>
    <row r="2811" spans="1:4" x14ac:dyDescent="0.25">
      <c r="A2811" t="s">
        <v>1931</v>
      </c>
      <c r="B2811" t="s">
        <v>1335</v>
      </c>
      <c r="C2811" t="s">
        <v>1027</v>
      </c>
      <c r="D2811">
        <v>134.75</v>
      </c>
    </row>
    <row r="2812" spans="1:4" x14ac:dyDescent="0.25">
      <c r="A2812" t="s">
        <v>1980</v>
      </c>
      <c r="B2812" t="s">
        <v>1331</v>
      </c>
      <c r="C2812" t="s">
        <v>1027</v>
      </c>
      <c r="D2812">
        <v>863.85</v>
      </c>
    </row>
    <row r="2813" spans="1:4" x14ac:dyDescent="0.25">
      <c r="A2813" t="s">
        <v>1939</v>
      </c>
      <c r="B2813" t="s">
        <v>1331</v>
      </c>
      <c r="C2813" t="s">
        <v>1027</v>
      </c>
      <c r="D2813">
        <v>189.55</v>
      </c>
    </row>
    <row r="2814" spans="1:4" x14ac:dyDescent="0.25">
      <c r="A2814" t="s">
        <v>1920</v>
      </c>
      <c r="B2814" t="s">
        <v>1334</v>
      </c>
      <c r="C2814" t="s">
        <v>1027</v>
      </c>
      <c r="D2814">
        <v>6</v>
      </c>
    </row>
    <row r="2815" spans="1:4" x14ac:dyDescent="0.25">
      <c r="A2815" t="s">
        <v>1962</v>
      </c>
      <c r="B2815" t="s">
        <v>1331</v>
      </c>
      <c r="C2815" t="s">
        <v>1027</v>
      </c>
      <c r="D2815">
        <v>259.39999999999998</v>
      </c>
    </row>
    <row r="2816" spans="1:4" x14ac:dyDescent="0.25">
      <c r="A2816" t="s">
        <v>1950</v>
      </c>
      <c r="B2816" t="s">
        <v>1330</v>
      </c>
      <c r="C2816" t="s">
        <v>1027</v>
      </c>
      <c r="D2816">
        <v>16.55</v>
      </c>
    </row>
    <row r="2817" spans="1:4" x14ac:dyDescent="0.25">
      <c r="A2817" t="s">
        <v>2043</v>
      </c>
      <c r="B2817" t="s">
        <v>1334</v>
      </c>
      <c r="C2817" t="s">
        <v>1027</v>
      </c>
      <c r="D2817">
        <v>2</v>
      </c>
    </row>
    <row r="2818" spans="1:4" x14ac:dyDescent="0.25">
      <c r="A2818" t="s">
        <v>1966</v>
      </c>
      <c r="B2818" t="s">
        <v>1331</v>
      </c>
      <c r="C2818" t="s">
        <v>1027</v>
      </c>
      <c r="D2818">
        <v>691</v>
      </c>
    </row>
    <row r="2819" spans="1:4" x14ac:dyDescent="0.25">
      <c r="A2819" t="s">
        <v>1950</v>
      </c>
      <c r="B2819" t="s">
        <v>1334</v>
      </c>
      <c r="C2819" t="s">
        <v>1027</v>
      </c>
      <c r="D2819">
        <v>98.55</v>
      </c>
    </row>
    <row r="2820" spans="1:4" x14ac:dyDescent="0.25">
      <c r="A2820" t="s">
        <v>1909</v>
      </c>
      <c r="B2820" t="s">
        <v>1335</v>
      </c>
      <c r="C2820" t="s">
        <v>1027</v>
      </c>
      <c r="D2820">
        <v>4</v>
      </c>
    </row>
    <row r="2821" spans="1:4" x14ac:dyDescent="0.25">
      <c r="A2821" t="s">
        <v>1990</v>
      </c>
      <c r="B2821" t="s">
        <v>1334</v>
      </c>
      <c r="C2821" t="s">
        <v>1027</v>
      </c>
      <c r="D2821">
        <v>47.2</v>
      </c>
    </row>
    <row r="2822" spans="1:4" x14ac:dyDescent="0.25">
      <c r="A2822" t="s">
        <v>1911</v>
      </c>
      <c r="B2822" t="s">
        <v>1335</v>
      </c>
      <c r="C2822" t="s">
        <v>1027</v>
      </c>
      <c r="D2822">
        <v>15.4</v>
      </c>
    </row>
    <row r="2823" spans="1:4" x14ac:dyDescent="0.25">
      <c r="A2823" t="s">
        <v>2026</v>
      </c>
      <c r="B2823" t="s">
        <v>1334</v>
      </c>
      <c r="C2823" t="s">
        <v>1037</v>
      </c>
      <c r="D2823">
        <v>14.4</v>
      </c>
    </row>
    <row r="2824" spans="1:4" x14ac:dyDescent="0.25">
      <c r="A2824" t="s">
        <v>1995</v>
      </c>
      <c r="B2824" t="s">
        <v>1330</v>
      </c>
      <c r="C2824" t="s">
        <v>1037</v>
      </c>
      <c r="D2824">
        <v>3.2</v>
      </c>
    </row>
    <row r="2825" spans="1:4" x14ac:dyDescent="0.25">
      <c r="A2825" t="s">
        <v>1902</v>
      </c>
      <c r="B2825" t="s">
        <v>1335</v>
      </c>
      <c r="C2825" t="s">
        <v>1037</v>
      </c>
      <c r="D2825">
        <v>-1</v>
      </c>
    </row>
    <row r="2826" spans="1:4" x14ac:dyDescent="0.25">
      <c r="A2826" t="s">
        <v>1950</v>
      </c>
      <c r="B2826" t="s">
        <v>1334</v>
      </c>
      <c r="C2826" t="s">
        <v>1037</v>
      </c>
      <c r="D2826">
        <v>66.349999999999994</v>
      </c>
    </row>
    <row r="2827" spans="1:4" x14ac:dyDescent="0.25">
      <c r="A2827" t="s">
        <v>2019</v>
      </c>
      <c r="B2827" t="s">
        <v>1334</v>
      </c>
      <c r="C2827" t="s">
        <v>1037</v>
      </c>
      <c r="D2827">
        <v>74.2</v>
      </c>
    </row>
    <row r="2828" spans="1:4" x14ac:dyDescent="0.25">
      <c r="A2828" t="s">
        <v>1978</v>
      </c>
      <c r="B2828" t="s">
        <v>1335</v>
      </c>
      <c r="C2828" t="s">
        <v>1037</v>
      </c>
      <c r="D2828">
        <v>0</v>
      </c>
    </row>
    <row r="2829" spans="1:4" x14ac:dyDescent="0.25">
      <c r="A2829" t="s">
        <v>1920</v>
      </c>
      <c r="B2829" t="s">
        <v>1334</v>
      </c>
      <c r="C2829" t="s">
        <v>1037</v>
      </c>
      <c r="D2829">
        <v>58.4</v>
      </c>
    </row>
    <row r="2830" spans="1:4" x14ac:dyDescent="0.25">
      <c r="A2830" t="s">
        <v>1972</v>
      </c>
      <c r="B2830" t="s">
        <v>1334</v>
      </c>
      <c r="C2830" t="s">
        <v>1037</v>
      </c>
      <c r="D2830">
        <v>8</v>
      </c>
    </row>
    <row r="2831" spans="1:4" x14ac:dyDescent="0.25">
      <c r="A2831" t="s">
        <v>1991</v>
      </c>
      <c r="B2831" t="s">
        <v>1335</v>
      </c>
      <c r="C2831" t="s">
        <v>1037</v>
      </c>
      <c r="D2831">
        <v>0</v>
      </c>
    </row>
    <row r="2832" spans="1:4" x14ac:dyDescent="0.25">
      <c r="A2832" t="s">
        <v>1920</v>
      </c>
      <c r="B2832" t="s">
        <v>1334</v>
      </c>
      <c r="C2832" t="s">
        <v>1042</v>
      </c>
      <c r="D2832">
        <v>305.60000000000002</v>
      </c>
    </row>
    <row r="2833" spans="1:4" x14ac:dyDescent="0.25">
      <c r="A2833" t="s">
        <v>1939</v>
      </c>
      <c r="B2833" t="s">
        <v>1331</v>
      </c>
      <c r="C2833" t="s">
        <v>1042</v>
      </c>
      <c r="D2833">
        <v>13.4</v>
      </c>
    </row>
    <row r="2834" spans="1:4" x14ac:dyDescent="0.25">
      <c r="A2834" t="s">
        <v>1968</v>
      </c>
      <c r="B2834" t="s">
        <v>1330</v>
      </c>
      <c r="C2834" t="s">
        <v>1042</v>
      </c>
      <c r="D2834">
        <v>28.45</v>
      </c>
    </row>
    <row r="2835" spans="1:4" x14ac:dyDescent="0.25">
      <c r="A2835" t="s">
        <v>1986</v>
      </c>
      <c r="B2835" t="s">
        <v>1334</v>
      </c>
      <c r="C2835" t="s">
        <v>1042</v>
      </c>
      <c r="D2835">
        <v>17</v>
      </c>
    </row>
    <row r="2836" spans="1:4" x14ac:dyDescent="0.25">
      <c r="A2836" t="s">
        <v>2019</v>
      </c>
      <c r="B2836" t="s">
        <v>1334</v>
      </c>
      <c r="C2836" t="s">
        <v>1042</v>
      </c>
      <c r="D2836">
        <v>118.7</v>
      </c>
    </row>
    <row r="2837" spans="1:4" x14ac:dyDescent="0.25">
      <c r="A2837" t="s">
        <v>1950</v>
      </c>
      <c r="B2837" t="s">
        <v>1334</v>
      </c>
      <c r="C2837" t="s">
        <v>1042</v>
      </c>
      <c r="D2837">
        <v>22.85</v>
      </c>
    </row>
    <row r="2838" spans="1:4" x14ac:dyDescent="0.25">
      <c r="A2838" t="s">
        <v>1990</v>
      </c>
      <c r="B2838" t="s">
        <v>1334</v>
      </c>
      <c r="C2838" t="s">
        <v>1042</v>
      </c>
      <c r="D2838">
        <v>28.15</v>
      </c>
    </row>
    <row r="2839" spans="1:4" x14ac:dyDescent="0.25">
      <c r="A2839" t="s">
        <v>1939</v>
      </c>
      <c r="B2839" t="s">
        <v>1334</v>
      </c>
      <c r="C2839" t="s">
        <v>1042</v>
      </c>
      <c r="D2839">
        <v>43.7</v>
      </c>
    </row>
    <row r="2840" spans="1:4" x14ac:dyDescent="0.25">
      <c r="A2840" t="s">
        <v>1929</v>
      </c>
      <c r="B2840" t="s">
        <v>1331</v>
      </c>
      <c r="C2840" t="s">
        <v>1042</v>
      </c>
      <c r="D2840">
        <v>7</v>
      </c>
    </row>
    <row r="2841" spans="1:4" x14ac:dyDescent="0.25">
      <c r="A2841" t="s">
        <v>1969</v>
      </c>
      <c r="B2841" t="s">
        <v>1331</v>
      </c>
      <c r="C2841" t="s">
        <v>1042</v>
      </c>
      <c r="D2841">
        <v>759.05</v>
      </c>
    </row>
    <row r="2842" spans="1:4" x14ac:dyDescent="0.25">
      <c r="A2842" t="s">
        <v>1921</v>
      </c>
      <c r="B2842" t="s">
        <v>1330</v>
      </c>
      <c r="C2842" t="s">
        <v>1042</v>
      </c>
      <c r="D2842">
        <v>48.9</v>
      </c>
    </row>
    <row r="2843" spans="1:4" x14ac:dyDescent="0.25">
      <c r="A2843" t="s">
        <v>1945</v>
      </c>
      <c r="B2843" t="s">
        <v>1331</v>
      </c>
      <c r="C2843" t="s">
        <v>1042</v>
      </c>
      <c r="D2843">
        <v>88.65</v>
      </c>
    </row>
    <row r="2844" spans="1:4" x14ac:dyDescent="0.25">
      <c r="A2844" t="s">
        <v>1986</v>
      </c>
      <c r="B2844" t="s">
        <v>1331</v>
      </c>
      <c r="C2844" t="s">
        <v>1042</v>
      </c>
      <c r="D2844">
        <v>11</v>
      </c>
    </row>
    <row r="2845" spans="1:4" x14ac:dyDescent="0.25">
      <c r="A2845" t="s">
        <v>1972</v>
      </c>
      <c r="B2845" t="s">
        <v>1334</v>
      </c>
      <c r="C2845" t="s">
        <v>1042</v>
      </c>
      <c r="D2845">
        <v>278.5</v>
      </c>
    </row>
    <row r="2846" spans="1:4" x14ac:dyDescent="0.25">
      <c r="A2846" t="s">
        <v>1923</v>
      </c>
      <c r="B2846" t="s">
        <v>1331</v>
      </c>
      <c r="C2846" t="s">
        <v>1042</v>
      </c>
      <c r="D2846">
        <v>379.2</v>
      </c>
    </row>
    <row r="2847" spans="1:4" x14ac:dyDescent="0.25">
      <c r="A2847" t="s">
        <v>1967</v>
      </c>
      <c r="B2847" t="s">
        <v>1331</v>
      </c>
      <c r="C2847" t="s">
        <v>1047</v>
      </c>
      <c r="D2847">
        <v>1226.95</v>
      </c>
    </row>
    <row r="2848" spans="1:4" x14ac:dyDescent="0.25">
      <c r="A2848" t="s">
        <v>1927</v>
      </c>
      <c r="B2848" t="s">
        <v>1331</v>
      </c>
      <c r="C2848" t="s">
        <v>1047</v>
      </c>
      <c r="D2848">
        <v>996.15</v>
      </c>
    </row>
    <row r="2849" spans="1:4" x14ac:dyDescent="0.25">
      <c r="A2849" t="s">
        <v>1979</v>
      </c>
      <c r="B2849" t="s">
        <v>1331</v>
      </c>
      <c r="C2849" t="s">
        <v>1047</v>
      </c>
      <c r="D2849">
        <v>726</v>
      </c>
    </row>
    <row r="2850" spans="1:4" x14ac:dyDescent="0.25">
      <c r="A2850" t="s">
        <v>1923</v>
      </c>
      <c r="B2850" t="s">
        <v>1331</v>
      </c>
      <c r="C2850" t="s">
        <v>1047</v>
      </c>
      <c r="D2850">
        <v>186.5</v>
      </c>
    </row>
    <row r="2851" spans="1:4" x14ac:dyDescent="0.25">
      <c r="A2851" t="s">
        <v>1995</v>
      </c>
      <c r="B2851" t="s">
        <v>1330</v>
      </c>
      <c r="C2851" t="s">
        <v>1047</v>
      </c>
      <c r="D2851">
        <v>3.5</v>
      </c>
    </row>
    <row r="2852" spans="1:4" x14ac:dyDescent="0.25">
      <c r="A2852" t="s">
        <v>1931</v>
      </c>
      <c r="B2852" t="s">
        <v>1335</v>
      </c>
      <c r="C2852" t="s">
        <v>1047</v>
      </c>
      <c r="D2852">
        <v>3.85</v>
      </c>
    </row>
    <row r="2853" spans="1:4" x14ac:dyDescent="0.25">
      <c r="A2853" t="s">
        <v>1950</v>
      </c>
      <c r="B2853" t="s">
        <v>1331</v>
      </c>
      <c r="C2853" t="s">
        <v>1047</v>
      </c>
      <c r="D2853">
        <v>8.4</v>
      </c>
    </row>
    <row r="2854" spans="1:4" x14ac:dyDescent="0.25">
      <c r="A2854" t="s">
        <v>1909</v>
      </c>
      <c r="B2854" t="s">
        <v>1335</v>
      </c>
      <c r="C2854" t="s">
        <v>1047</v>
      </c>
      <c r="D2854">
        <v>55.15</v>
      </c>
    </row>
    <row r="2855" spans="1:4" x14ac:dyDescent="0.25">
      <c r="A2855" t="s">
        <v>1997</v>
      </c>
      <c r="B2855" t="s">
        <v>1331</v>
      </c>
      <c r="C2855" t="s">
        <v>1047</v>
      </c>
      <c r="D2855">
        <v>306</v>
      </c>
    </row>
    <row r="2856" spans="1:4" x14ac:dyDescent="0.25">
      <c r="A2856" t="s">
        <v>1927</v>
      </c>
      <c r="B2856" t="s">
        <v>1330</v>
      </c>
      <c r="C2856" t="s">
        <v>1047</v>
      </c>
      <c r="D2856">
        <v>15.4</v>
      </c>
    </row>
    <row r="2857" spans="1:4" x14ac:dyDescent="0.25">
      <c r="A2857" t="s">
        <v>1913</v>
      </c>
      <c r="B2857" t="s">
        <v>1335</v>
      </c>
      <c r="C2857" t="s">
        <v>1047</v>
      </c>
      <c r="D2857">
        <v>31.6</v>
      </c>
    </row>
    <row r="2858" spans="1:4" x14ac:dyDescent="0.25">
      <c r="A2858" t="s">
        <v>1972</v>
      </c>
      <c r="B2858" t="s">
        <v>1334</v>
      </c>
      <c r="C2858" t="s">
        <v>1047</v>
      </c>
      <c r="D2858">
        <v>15.7</v>
      </c>
    </row>
    <row r="2859" spans="1:4" x14ac:dyDescent="0.25">
      <c r="A2859" t="s">
        <v>2004</v>
      </c>
      <c r="B2859" t="s">
        <v>1331</v>
      </c>
      <c r="C2859" t="s">
        <v>1047</v>
      </c>
      <c r="D2859">
        <v>77.150000000000006</v>
      </c>
    </row>
    <row r="2860" spans="1:4" x14ac:dyDescent="0.25">
      <c r="A2860" t="s">
        <v>1963</v>
      </c>
      <c r="B2860" t="s">
        <v>1331</v>
      </c>
      <c r="C2860" t="s">
        <v>1047</v>
      </c>
      <c r="D2860">
        <v>38.5</v>
      </c>
    </row>
    <row r="2861" spans="1:4" x14ac:dyDescent="0.25">
      <c r="A2861" t="s">
        <v>1945</v>
      </c>
      <c r="B2861" t="s">
        <v>1331</v>
      </c>
      <c r="C2861" t="s">
        <v>1047</v>
      </c>
      <c r="D2861">
        <v>92.1</v>
      </c>
    </row>
    <row r="2862" spans="1:4" x14ac:dyDescent="0.25">
      <c r="A2862" t="s">
        <v>1968</v>
      </c>
      <c r="B2862" t="s">
        <v>1331</v>
      </c>
      <c r="C2862" t="s">
        <v>1047</v>
      </c>
      <c r="D2862">
        <v>46.4</v>
      </c>
    </row>
    <row r="2863" spans="1:4" x14ac:dyDescent="0.25">
      <c r="A2863" t="s">
        <v>1971</v>
      </c>
      <c r="B2863" t="s">
        <v>1330</v>
      </c>
      <c r="C2863" t="s">
        <v>1047</v>
      </c>
      <c r="D2863">
        <v>14.2</v>
      </c>
    </row>
    <row r="2864" spans="1:4" x14ac:dyDescent="0.25">
      <c r="A2864" t="s">
        <v>1966</v>
      </c>
      <c r="B2864" t="s">
        <v>1331</v>
      </c>
      <c r="C2864" t="s">
        <v>1047</v>
      </c>
      <c r="D2864">
        <v>7.7</v>
      </c>
    </row>
    <row r="2865" spans="1:4" x14ac:dyDescent="0.25">
      <c r="A2865" t="s">
        <v>1907</v>
      </c>
      <c r="B2865" t="s">
        <v>1335</v>
      </c>
      <c r="C2865" t="s">
        <v>1047</v>
      </c>
      <c r="D2865">
        <v>2</v>
      </c>
    </row>
    <row r="2866" spans="1:4" x14ac:dyDescent="0.25">
      <c r="A2866" t="s">
        <v>1911</v>
      </c>
      <c r="B2866" t="s">
        <v>1335</v>
      </c>
      <c r="C2866" t="s">
        <v>1047</v>
      </c>
      <c r="D2866">
        <v>41.05</v>
      </c>
    </row>
    <row r="2867" spans="1:4" x14ac:dyDescent="0.25">
      <c r="A2867" t="s">
        <v>1961</v>
      </c>
      <c r="B2867" t="s">
        <v>1331</v>
      </c>
      <c r="C2867" t="s">
        <v>1047</v>
      </c>
      <c r="D2867">
        <v>4.9000000000000004</v>
      </c>
    </row>
    <row r="2868" spans="1:4" x14ac:dyDescent="0.25">
      <c r="A2868" t="s">
        <v>2006</v>
      </c>
      <c r="B2868" t="s">
        <v>1331</v>
      </c>
      <c r="C2868" t="s">
        <v>1047</v>
      </c>
      <c r="D2868">
        <v>904.9</v>
      </c>
    </row>
    <row r="2869" spans="1:4" x14ac:dyDescent="0.25">
      <c r="A2869" t="s">
        <v>1968</v>
      </c>
      <c r="B2869" t="s">
        <v>1330</v>
      </c>
      <c r="C2869" t="s">
        <v>1047</v>
      </c>
      <c r="D2869">
        <v>577.29999999999995</v>
      </c>
    </row>
    <row r="2870" spans="1:4" x14ac:dyDescent="0.25">
      <c r="A2870" t="s">
        <v>1962</v>
      </c>
      <c r="B2870" t="s">
        <v>1331</v>
      </c>
      <c r="C2870" t="s">
        <v>1047</v>
      </c>
      <c r="D2870">
        <v>63.3</v>
      </c>
    </row>
    <row r="2871" spans="1:4" x14ac:dyDescent="0.25">
      <c r="A2871" t="s">
        <v>1980</v>
      </c>
      <c r="B2871" t="s">
        <v>1331</v>
      </c>
      <c r="C2871" t="s">
        <v>1047</v>
      </c>
      <c r="D2871">
        <v>12.7</v>
      </c>
    </row>
    <row r="2872" spans="1:4" x14ac:dyDescent="0.25">
      <c r="A2872" t="s">
        <v>1958</v>
      </c>
      <c r="B2872" t="s">
        <v>1335</v>
      </c>
      <c r="C2872" t="s">
        <v>1047</v>
      </c>
      <c r="D2872">
        <v>38.700000000000003</v>
      </c>
    </row>
    <row r="2873" spans="1:4" x14ac:dyDescent="0.25">
      <c r="A2873" t="s">
        <v>1990</v>
      </c>
      <c r="B2873" t="s">
        <v>1331</v>
      </c>
      <c r="C2873" t="s">
        <v>1047</v>
      </c>
      <c r="D2873">
        <v>41.1</v>
      </c>
    </row>
    <row r="2874" spans="1:4" x14ac:dyDescent="0.25">
      <c r="A2874" t="s">
        <v>1999</v>
      </c>
      <c r="B2874" t="s">
        <v>1331</v>
      </c>
      <c r="C2874" t="s">
        <v>1047</v>
      </c>
      <c r="D2874">
        <v>1</v>
      </c>
    </row>
    <row r="2875" spans="1:4" x14ac:dyDescent="0.25">
      <c r="A2875" t="s">
        <v>1925</v>
      </c>
      <c r="B2875" t="s">
        <v>1333</v>
      </c>
      <c r="C2875" t="s">
        <v>1047</v>
      </c>
      <c r="D2875">
        <v>11.55</v>
      </c>
    </row>
    <row r="2876" spans="1:4" x14ac:dyDescent="0.25">
      <c r="A2876" t="s">
        <v>2006</v>
      </c>
      <c r="B2876" t="s">
        <v>1333</v>
      </c>
      <c r="C2876" t="s">
        <v>1047</v>
      </c>
      <c r="D2876">
        <v>8.6999999999999993</v>
      </c>
    </row>
    <row r="2877" spans="1:4" x14ac:dyDescent="0.25">
      <c r="A2877" t="s">
        <v>1925</v>
      </c>
      <c r="B2877" t="s">
        <v>1331</v>
      </c>
      <c r="C2877" t="s">
        <v>1047</v>
      </c>
      <c r="D2877">
        <v>1724.8</v>
      </c>
    </row>
    <row r="2878" spans="1:4" x14ac:dyDescent="0.25">
      <c r="A2878" t="s">
        <v>1902</v>
      </c>
      <c r="B2878" t="s">
        <v>1335</v>
      </c>
      <c r="C2878" t="s">
        <v>1047</v>
      </c>
      <c r="D2878">
        <v>13.55</v>
      </c>
    </row>
    <row r="2879" spans="1:4" x14ac:dyDescent="0.25">
      <c r="A2879" t="s">
        <v>1921</v>
      </c>
      <c r="B2879" t="s">
        <v>1330</v>
      </c>
      <c r="C2879" t="s">
        <v>1047</v>
      </c>
      <c r="D2879">
        <v>244.2</v>
      </c>
    </row>
    <row r="2880" spans="1:4" x14ac:dyDescent="0.25">
      <c r="A2880" t="s">
        <v>2010</v>
      </c>
      <c r="B2880" t="s">
        <v>1331</v>
      </c>
      <c r="C2880" t="s">
        <v>1047</v>
      </c>
      <c r="D2880">
        <v>31.5</v>
      </c>
    </row>
    <row r="2881" spans="1:4" x14ac:dyDescent="0.25">
      <c r="A2881" t="s">
        <v>2006</v>
      </c>
      <c r="B2881" t="s">
        <v>1334</v>
      </c>
      <c r="C2881" t="s">
        <v>1047</v>
      </c>
      <c r="D2881">
        <v>0.5</v>
      </c>
    </row>
    <row r="2882" spans="1:4" x14ac:dyDescent="0.25">
      <c r="A2882" t="s">
        <v>1925</v>
      </c>
      <c r="B2882" t="s">
        <v>1330</v>
      </c>
      <c r="C2882" t="s">
        <v>1047</v>
      </c>
      <c r="D2882">
        <v>172.1</v>
      </c>
    </row>
    <row r="2883" spans="1:4" x14ac:dyDescent="0.25">
      <c r="A2883" t="s">
        <v>1983</v>
      </c>
      <c r="B2883" t="s">
        <v>1335</v>
      </c>
      <c r="C2883" t="s">
        <v>1047</v>
      </c>
      <c r="D2883">
        <v>100.45</v>
      </c>
    </row>
    <row r="2884" spans="1:4" x14ac:dyDescent="0.25">
      <c r="A2884" t="s">
        <v>2027</v>
      </c>
      <c r="B2884" t="s">
        <v>1334</v>
      </c>
      <c r="C2884" t="s">
        <v>1051</v>
      </c>
      <c r="D2884">
        <v>8.6999999999999993</v>
      </c>
    </row>
    <row r="2885" spans="1:4" x14ac:dyDescent="0.25">
      <c r="A2885" t="s">
        <v>1980</v>
      </c>
      <c r="B2885" t="s">
        <v>1331</v>
      </c>
      <c r="C2885" t="s">
        <v>1051</v>
      </c>
      <c r="D2885">
        <v>157.25</v>
      </c>
    </row>
    <row r="2886" spans="1:4" x14ac:dyDescent="0.25">
      <c r="A2886" t="s">
        <v>1913</v>
      </c>
      <c r="B2886" t="s">
        <v>1335</v>
      </c>
      <c r="C2886" t="s">
        <v>1051</v>
      </c>
      <c r="D2886">
        <v>15.9</v>
      </c>
    </row>
    <row r="2887" spans="1:4" x14ac:dyDescent="0.25">
      <c r="A2887" t="s">
        <v>1984</v>
      </c>
      <c r="B2887" t="s">
        <v>1331</v>
      </c>
      <c r="C2887" t="s">
        <v>1051</v>
      </c>
      <c r="D2887">
        <v>13</v>
      </c>
    </row>
    <row r="2888" spans="1:4" x14ac:dyDescent="0.25">
      <c r="A2888" t="s">
        <v>1978</v>
      </c>
      <c r="B2888" t="s">
        <v>1335</v>
      </c>
      <c r="C2888" t="s">
        <v>1051</v>
      </c>
      <c r="D2888">
        <v>20.3</v>
      </c>
    </row>
    <row r="2889" spans="1:4" x14ac:dyDescent="0.25">
      <c r="A2889" t="s">
        <v>1966</v>
      </c>
      <c r="B2889" t="s">
        <v>1331</v>
      </c>
      <c r="C2889" t="s">
        <v>1051</v>
      </c>
      <c r="D2889">
        <v>130.9</v>
      </c>
    </row>
    <row r="2890" spans="1:4" x14ac:dyDescent="0.25">
      <c r="A2890" t="s">
        <v>1968</v>
      </c>
      <c r="B2890" t="s">
        <v>1330</v>
      </c>
      <c r="C2890" t="s">
        <v>1051</v>
      </c>
      <c r="D2890">
        <v>0.5</v>
      </c>
    </row>
    <row r="2891" spans="1:4" x14ac:dyDescent="0.25">
      <c r="A2891" t="s">
        <v>1945</v>
      </c>
      <c r="B2891" t="s">
        <v>1333</v>
      </c>
      <c r="C2891" t="s">
        <v>1051</v>
      </c>
      <c r="D2891">
        <v>4</v>
      </c>
    </row>
    <row r="2892" spans="1:4" x14ac:dyDescent="0.25">
      <c r="A2892" t="s">
        <v>1995</v>
      </c>
      <c r="B2892" t="s">
        <v>1330</v>
      </c>
      <c r="C2892" t="s">
        <v>1051</v>
      </c>
      <c r="D2892">
        <v>140.5</v>
      </c>
    </row>
    <row r="2893" spans="1:4" x14ac:dyDescent="0.25">
      <c r="A2893" t="s">
        <v>1909</v>
      </c>
      <c r="B2893" t="s">
        <v>1335</v>
      </c>
      <c r="C2893" t="s">
        <v>1051</v>
      </c>
      <c r="D2893">
        <v>13</v>
      </c>
    </row>
    <row r="2894" spans="1:4" x14ac:dyDescent="0.25">
      <c r="A2894" t="s">
        <v>1911</v>
      </c>
      <c r="B2894" t="s">
        <v>1335</v>
      </c>
      <c r="C2894" t="s">
        <v>1051</v>
      </c>
      <c r="D2894">
        <v>2</v>
      </c>
    </row>
    <row r="2895" spans="1:4" x14ac:dyDescent="0.25">
      <c r="A2895" t="s">
        <v>1971</v>
      </c>
      <c r="B2895" t="s">
        <v>1330</v>
      </c>
      <c r="C2895" t="s">
        <v>1051</v>
      </c>
      <c r="D2895">
        <v>11.2</v>
      </c>
    </row>
    <row r="2896" spans="1:4" x14ac:dyDescent="0.25">
      <c r="A2896" t="s">
        <v>1962</v>
      </c>
      <c r="B2896" t="s">
        <v>1331</v>
      </c>
      <c r="C2896" t="s">
        <v>1051</v>
      </c>
      <c r="D2896">
        <v>107.3</v>
      </c>
    </row>
    <row r="2897" spans="1:4" x14ac:dyDescent="0.25">
      <c r="A2897" t="s">
        <v>1978</v>
      </c>
      <c r="B2897" t="s">
        <v>1331</v>
      </c>
      <c r="C2897" t="s">
        <v>1051</v>
      </c>
      <c r="D2897">
        <v>2</v>
      </c>
    </row>
    <row r="2898" spans="1:4" x14ac:dyDescent="0.25">
      <c r="A2898" t="s">
        <v>1960</v>
      </c>
      <c r="B2898" t="s">
        <v>1331</v>
      </c>
      <c r="C2898" t="s">
        <v>1051</v>
      </c>
      <c r="D2898">
        <v>6.6</v>
      </c>
    </row>
    <row r="2899" spans="1:4" x14ac:dyDescent="0.25">
      <c r="A2899" t="s">
        <v>1990</v>
      </c>
      <c r="B2899" t="s">
        <v>1331</v>
      </c>
      <c r="C2899" t="s">
        <v>1051</v>
      </c>
      <c r="D2899">
        <v>21.1</v>
      </c>
    </row>
    <row r="2900" spans="1:4" x14ac:dyDescent="0.25">
      <c r="A2900" t="s">
        <v>1916</v>
      </c>
      <c r="B2900" t="s">
        <v>1335</v>
      </c>
      <c r="C2900" t="s">
        <v>1054</v>
      </c>
      <c r="D2900">
        <v>115.9</v>
      </c>
    </row>
    <row r="2901" spans="1:4" x14ac:dyDescent="0.25">
      <c r="A2901" t="s">
        <v>1972</v>
      </c>
      <c r="B2901" t="s">
        <v>1334</v>
      </c>
      <c r="C2901" t="s">
        <v>1054</v>
      </c>
      <c r="D2901">
        <v>7.7</v>
      </c>
    </row>
    <row r="2902" spans="1:4" x14ac:dyDescent="0.25">
      <c r="A2902" t="s">
        <v>1971</v>
      </c>
      <c r="B2902" t="s">
        <v>1330</v>
      </c>
      <c r="C2902" t="s">
        <v>1054</v>
      </c>
      <c r="D2902">
        <v>25.3</v>
      </c>
    </row>
    <row r="2903" spans="1:4" x14ac:dyDescent="0.25">
      <c r="A2903" t="s">
        <v>1907</v>
      </c>
      <c r="B2903" t="s">
        <v>1335</v>
      </c>
      <c r="C2903" t="s">
        <v>1054</v>
      </c>
      <c r="D2903">
        <v>7</v>
      </c>
    </row>
    <row r="2904" spans="1:4" x14ac:dyDescent="0.25">
      <c r="A2904" t="s">
        <v>1978</v>
      </c>
      <c r="B2904" t="s">
        <v>1335</v>
      </c>
      <c r="C2904" t="s">
        <v>1054</v>
      </c>
      <c r="D2904">
        <v>179</v>
      </c>
    </row>
    <row r="2905" spans="1:4" x14ac:dyDescent="0.25">
      <c r="A2905" t="s">
        <v>2019</v>
      </c>
      <c r="B2905" t="s">
        <v>1334</v>
      </c>
      <c r="C2905" t="s">
        <v>1054</v>
      </c>
      <c r="D2905">
        <v>21.4</v>
      </c>
    </row>
    <row r="2906" spans="1:4" x14ac:dyDescent="0.25">
      <c r="A2906" t="s">
        <v>1980</v>
      </c>
      <c r="B2906" t="s">
        <v>1331</v>
      </c>
      <c r="C2906" t="s">
        <v>1058</v>
      </c>
      <c r="D2906">
        <v>622.85</v>
      </c>
    </row>
    <row r="2907" spans="1:4" x14ac:dyDescent="0.25">
      <c r="A2907" t="s">
        <v>1909</v>
      </c>
      <c r="B2907" t="s">
        <v>1335</v>
      </c>
      <c r="C2907" t="s">
        <v>1058</v>
      </c>
      <c r="D2907">
        <v>17.7</v>
      </c>
    </row>
    <row r="2908" spans="1:4" x14ac:dyDescent="0.25">
      <c r="A2908" t="s">
        <v>1987</v>
      </c>
      <c r="B2908" t="s">
        <v>1331</v>
      </c>
      <c r="C2908" t="s">
        <v>1058</v>
      </c>
      <c r="D2908">
        <v>284.83</v>
      </c>
    </row>
    <row r="2909" spans="1:4" x14ac:dyDescent="0.25">
      <c r="A2909" t="s">
        <v>1923</v>
      </c>
      <c r="B2909" t="s">
        <v>1331</v>
      </c>
      <c r="C2909" t="s">
        <v>1058</v>
      </c>
      <c r="D2909">
        <v>73.599999999999994</v>
      </c>
    </row>
    <row r="2910" spans="1:4" x14ac:dyDescent="0.25">
      <c r="A2910" t="s">
        <v>1999</v>
      </c>
      <c r="B2910" t="s">
        <v>1331</v>
      </c>
      <c r="C2910" t="s">
        <v>1058</v>
      </c>
      <c r="D2910">
        <v>3.5</v>
      </c>
    </row>
    <row r="2911" spans="1:4" x14ac:dyDescent="0.25">
      <c r="A2911" t="s">
        <v>1995</v>
      </c>
      <c r="B2911" t="s">
        <v>1330</v>
      </c>
      <c r="C2911" t="s">
        <v>1058</v>
      </c>
      <c r="D2911">
        <v>3</v>
      </c>
    </row>
    <row r="2912" spans="1:4" x14ac:dyDescent="0.25">
      <c r="A2912" t="s">
        <v>1997</v>
      </c>
      <c r="B2912" t="s">
        <v>1331</v>
      </c>
      <c r="C2912" t="s">
        <v>1058</v>
      </c>
      <c r="D2912">
        <v>81</v>
      </c>
    </row>
    <row r="2913" spans="1:4" x14ac:dyDescent="0.25">
      <c r="A2913" t="s">
        <v>1921</v>
      </c>
      <c r="B2913" t="s">
        <v>1330</v>
      </c>
      <c r="C2913" t="s">
        <v>1058</v>
      </c>
      <c r="D2913">
        <v>214.2</v>
      </c>
    </row>
    <row r="2914" spans="1:4" x14ac:dyDescent="0.25">
      <c r="A2914" t="s">
        <v>1989</v>
      </c>
      <c r="B2914" t="s">
        <v>1331</v>
      </c>
      <c r="C2914" t="s">
        <v>1058</v>
      </c>
      <c r="D2914">
        <v>95.9</v>
      </c>
    </row>
    <row r="2915" spans="1:4" x14ac:dyDescent="0.25">
      <c r="A2915" t="s">
        <v>1983</v>
      </c>
      <c r="B2915" t="s">
        <v>1336</v>
      </c>
      <c r="C2915" t="s">
        <v>1063</v>
      </c>
      <c r="D2915">
        <v>32.450000000000003</v>
      </c>
    </row>
    <row r="2916" spans="1:4" x14ac:dyDescent="0.25">
      <c r="A2916" t="s">
        <v>2010</v>
      </c>
      <c r="B2916" t="s">
        <v>1331</v>
      </c>
      <c r="C2916" t="s">
        <v>1063</v>
      </c>
      <c r="D2916">
        <v>443</v>
      </c>
    </row>
    <row r="2917" spans="1:4" x14ac:dyDescent="0.25">
      <c r="A2917" t="s">
        <v>1920</v>
      </c>
      <c r="B2917" t="s">
        <v>1331</v>
      </c>
      <c r="C2917" t="s">
        <v>1063</v>
      </c>
      <c r="D2917">
        <v>37.200000000000003</v>
      </c>
    </row>
    <row r="2918" spans="1:4" x14ac:dyDescent="0.25">
      <c r="A2918" t="s">
        <v>1983</v>
      </c>
      <c r="B2918" t="s">
        <v>1335</v>
      </c>
      <c r="C2918" t="s">
        <v>1063</v>
      </c>
      <c r="D2918">
        <v>10.65</v>
      </c>
    </row>
    <row r="2919" spans="1:4" x14ac:dyDescent="0.25">
      <c r="A2919" t="s">
        <v>1925</v>
      </c>
      <c r="B2919" t="s">
        <v>1331</v>
      </c>
      <c r="C2919" t="s">
        <v>1063</v>
      </c>
      <c r="D2919">
        <v>31.95</v>
      </c>
    </row>
    <row r="2920" spans="1:4" x14ac:dyDescent="0.25">
      <c r="A2920" t="s">
        <v>1911</v>
      </c>
      <c r="B2920" t="s">
        <v>1336</v>
      </c>
      <c r="C2920" t="s">
        <v>1063</v>
      </c>
      <c r="D2920">
        <v>20.100000000000001</v>
      </c>
    </row>
    <row r="2921" spans="1:4" x14ac:dyDescent="0.25">
      <c r="A2921" t="s">
        <v>1972</v>
      </c>
      <c r="B2921" t="s">
        <v>1334</v>
      </c>
      <c r="C2921" t="s">
        <v>1063</v>
      </c>
      <c r="D2921">
        <v>4.5</v>
      </c>
    </row>
    <row r="2922" spans="1:4" x14ac:dyDescent="0.25">
      <c r="A2922" t="s">
        <v>1990</v>
      </c>
      <c r="B2922" t="s">
        <v>1334</v>
      </c>
      <c r="C2922" t="s">
        <v>1063</v>
      </c>
      <c r="D2922">
        <v>13.7</v>
      </c>
    </row>
    <row r="2923" spans="1:4" x14ac:dyDescent="0.25">
      <c r="A2923" t="s">
        <v>1950</v>
      </c>
      <c r="B2923" t="s">
        <v>1331</v>
      </c>
      <c r="C2923" t="s">
        <v>1063</v>
      </c>
      <c r="D2923">
        <v>37.65</v>
      </c>
    </row>
    <row r="2924" spans="1:4" x14ac:dyDescent="0.25">
      <c r="A2924" t="s">
        <v>1995</v>
      </c>
      <c r="B2924" t="s">
        <v>1330</v>
      </c>
      <c r="C2924" t="s">
        <v>1063</v>
      </c>
      <c r="D2924">
        <v>1.7</v>
      </c>
    </row>
    <row r="2925" spans="1:4" x14ac:dyDescent="0.25">
      <c r="A2925" t="s">
        <v>1978</v>
      </c>
      <c r="B2925" t="s">
        <v>1336</v>
      </c>
      <c r="C2925" t="s">
        <v>1063</v>
      </c>
      <c r="D2925">
        <v>16.2</v>
      </c>
    </row>
    <row r="2926" spans="1:4" x14ac:dyDescent="0.25">
      <c r="A2926" t="s">
        <v>1913</v>
      </c>
      <c r="B2926" t="s">
        <v>1335</v>
      </c>
      <c r="C2926" t="s">
        <v>1063</v>
      </c>
      <c r="D2926">
        <v>3.85</v>
      </c>
    </row>
    <row r="2927" spans="1:4" x14ac:dyDescent="0.25">
      <c r="A2927" t="s">
        <v>1973</v>
      </c>
      <c r="B2927" t="s">
        <v>1331</v>
      </c>
      <c r="C2927" t="s">
        <v>1063</v>
      </c>
      <c r="D2927">
        <v>7.7</v>
      </c>
    </row>
    <row r="2928" spans="1:4" x14ac:dyDescent="0.25">
      <c r="A2928" t="s">
        <v>1979</v>
      </c>
      <c r="B2928" t="s">
        <v>1331</v>
      </c>
      <c r="C2928" t="s">
        <v>1063</v>
      </c>
      <c r="D2928">
        <v>104</v>
      </c>
    </row>
    <row r="2929" spans="1:4" x14ac:dyDescent="0.25">
      <c r="A2929" t="s">
        <v>1909</v>
      </c>
      <c r="B2929" t="s">
        <v>1336</v>
      </c>
      <c r="C2929" t="s">
        <v>1063</v>
      </c>
      <c r="D2929">
        <v>32.4</v>
      </c>
    </row>
    <row r="2930" spans="1:4" x14ac:dyDescent="0.25">
      <c r="A2930" t="s">
        <v>1911</v>
      </c>
      <c r="B2930" t="s">
        <v>1335</v>
      </c>
      <c r="C2930" t="s">
        <v>1063</v>
      </c>
      <c r="D2930">
        <v>3.85</v>
      </c>
    </row>
    <row r="2931" spans="1:4" x14ac:dyDescent="0.25">
      <c r="A2931" t="s">
        <v>1956</v>
      </c>
      <c r="B2931" t="s">
        <v>1336</v>
      </c>
      <c r="C2931" t="s">
        <v>1063</v>
      </c>
      <c r="D2931">
        <v>34.65</v>
      </c>
    </row>
    <row r="2932" spans="1:4" x14ac:dyDescent="0.25">
      <c r="A2932" t="s">
        <v>1909</v>
      </c>
      <c r="B2932" t="s">
        <v>1335</v>
      </c>
      <c r="C2932" t="s">
        <v>1063</v>
      </c>
      <c r="D2932">
        <v>12</v>
      </c>
    </row>
    <row r="2933" spans="1:4" x14ac:dyDescent="0.25">
      <c r="A2933" t="s">
        <v>1978</v>
      </c>
      <c r="B2933" t="s">
        <v>1335</v>
      </c>
      <c r="C2933" t="s">
        <v>1063</v>
      </c>
      <c r="D2933">
        <v>3</v>
      </c>
    </row>
    <row r="2934" spans="1:4" x14ac:dyDescent="0.25">
      <c r="A2934" t="s">
        <v>1990</v>
      </c>
      <c r="B2934" t="s">
        <v>1331</v>
      </c>
      <c r="C2934" t="s">
        <v>1063</v>
      </c>
      <c r="D2934">
        <v>11.1</v>
      </c>
    </row>
    <row r="2935" spans="1:4" x14ac:dyDescent="0.25">
      <c r="A2935" t="s">
        <v>1923</v>
      </c>
      <c r="B2935" t="s">
        <v>1331</v>
      </c>
      <c r="C2935" t="s">
        <v>1063</v>
      </c>
      <c r="D2935">
        <v>7.7</v>
      </c>
    </row>
    <row r="2936" spans="1:4" x14ac:dyDescent="0.25">
      <c r="A2936" t="s">
        <v>1927</v>
      </c>
      <c r="B2936" t="s">
        <v>1331</v>
      </c>
      <c r="C2936" t="s">
        <v>1068</v>
      </c>
      <c r="D2936">
        <v>654.5</v>
      </c>
    </row>
    <row r="2937" spans="1:4" x14ac:dyDescent="0.25">
      <c r="A2937" t="s">
        <v>1920</v>
      </c>
      <c r="B2937" t="s">
        <v>1331</v>
      </c>
      <c r="C2937" t="s">
        <v>1068</v>
      </c>
      <c r="D2937">
        <v>5.2</v>
      </c>
    </row>
    <row r="2938" spans="1:4" x14ac:dyDescent="0.25">
      <c r="A2938" t="s">
        <v>2006</v>
      </c>
      <c r="B2938" t="s">
        <v>1331</v>
      </c>
      <c r="C2938" t="s">
        <v>1068</v>
      </c>
      <c r="D2938">
        <v>832.6</v>
      </c>
    </row>
    <row r="2939" spans="1:4" x14ac:dyDescent="0.25">
      <c r="A2939" t="s">
        <v>1980</v>
      </c>
      <c r="B2939" t="s">
        <v>1331</v>
      </c>
      <c r="C2939" t="s">
        <v>1068</v>
      </c>
      <c r="D2939">
        <v>3.7</v>
      </c>
    </row>
    <row r="2940" spans="1:4" x14ac:dyDescent="0.25">
      <c r="A2940" t="s">
        <v>1983</v>
      </c>
      <c r="B2940" t="s">
        <v>1335</v>
      </c>
      <c r="C2940" t="s">
        <v>1068</v>
      </c>
      <c r="D2940">
        <v>5</v>
      </c>
    </row>
    <row r="2941" spans="1:4" x14ac:dyDescent="0.25">
      <c r="A2941" t="s">
        <v>1973</v>
      </c>
      <c r="B2941" t="s">
        <v>1331</v>
      </c>
      <c r="C2941" t="s">
        <v>1068</v>
      </c>
      <c r="D2941">
        <v>33</v>
      </c>
    </row>
    <row r="2942" spans="1:4" x14ac:dyDescent="0.25">
      <c r="A2942" t="s">
        <v>1967</v>
      </c>
      <c r="B2942" t="s">
        <v>1331</v>
      </c>
      <c r="C2942" t="s">
        <v>1068</v>
      </c>
      <c r="D2942">
        <v>1114.05</v>
      </c>
    </row>
    <row r="2943" spans="1:4" x14ac:dyDescent="0.25">
      <c r="A2943" t="s">
        <v>1921</v>
      </c>
      <c r="B2943" t="s">
        <v>1330</v>
      </c>
      <c r="C2943" t="s">
        <v>1068</v>
      </c>
      <c r="D2943">
        <v>119.05</v>
      </c>
    </row>
    <row r="2944" spans="1:4" x14ac:dyDescent="0.25">
      <c r="A2944" t="s">
        <v>1968</v>
      </c>
      <c r="B2944" t="s">
        <v>1331</v>
      </c>
      <c r="C2944" t="s">
        <v>1068</v>
      </c>
      <c r="D2944">
        <v>6</v>
      </c>
    </row>
    <row r="2945" spans="1:4" x14ac:dyDescent="0.25">
      <c r="A2945" t="s">
        <v>1927</v>
      </c>
      <c r="B2945" t="s">
        <v>1330</v>
      </c>
      <c r="C2945" t="s">
        <v>1068</v>
      </c>
      <c r="D2945">
        <v>26.95</v>
      </c>
    </row>
    <row r="2946" spans="1:4" x14ac:dyDescent="0.25">
      <c r="A2946" t="s">
        <v>1914</v>
      </c>
      <c r="B2946" t="s">
        <v>1333</v>
      </c>
      <c r="C2946" t="s">
        <v>1068</v>
      </c>
      <c r="D2946">
        <v>2</v>
      </c>
    </row>
    <row r="2947" spans="1:4" x14ac:dyDescent="0.25">
      <c r="A2947" t="s">
        <v>1925</v>
      </c>
      <c r="B2947" t="s">
        <v>1333</v>
      </c>
      <c r="C2947" t="s">
        <v>1068</v>
      </c>
      <c r="D2947">
        <v>18.399999999999999</v>
      </c>
    </row>
    <row r="2948" spans="1:4" x14ac:dyDescent="0.25">
      <c r="A2948" t="s">
        <v>2006</v>
      </c>
      <c r="B2948" t="s">
        <v>1333</v>
      </c>
      <c r="C2948" t="s">
        <v>1068</v>
      </c>
      <c r="D2948">
        <v>5</v>
      </c>
    </row>
    <row r="2949" spans="1:4" x14ac:dyDescent="0.25">
      <c r="A2949" t="s">
        <v>1979</v>
      </c>
      <c r="B2949" t="s">
        <v>1331</v>
      </c>
      <c r="C2949" t="s">
        <v>1068</v>
      </c>
      <c r="D2949">
        <v>189.1</v>
      </c>
    </row>
    <row r="2950" spans="1:4" x14ac:dyDescent="0.25">
      <c r="A2950" t="s">
        <v>1960</v>
      </c>
      <c r="B2950" t="s">
        <v>1331</v>
      </c>
      <c r="C2950" t="s">
        <v>1068</v>
      </c>
      <c r="D2950">
        <v>3</v>
      </c>
    </row>
    <row r="2951" spans="1:4" x14ac:dyDescent="0.25">
      <c r="A2951" t="s">
        <v>1911</v>
      </c>
      <c r="B2951" t="s">
        <v>1335</v>
      </c>
      <c r="C2951" t="s">
        <v>1068</v>
      </c>
      <c r="D2951">
        <v>42.1</v>
      </c>
    </row>
    <row r="2952" spans="1:4" x14ac:dyDescent="0.25">
      <c r="A2952" t="s">
        <v>1999</v>
      </c>
      <c r="B2952" t="s">
        <v>1331</v>
      </c>
      <c r="C2952" t="s">
        <v>1068</v>
      </c>
      <c r="D2952">
        <v>78.7</v>
      </c>
    </row>
    <row r="2953" spans="1:4" x14ac:dyDescent="0.25">
      <c r="A2953" t="s">
        <v>1914</v>
      </c>
      <c r="B2953" t="s">
        <v>1335</v>
      </c>
      <c r="C2953" t="s">
        <v>1068</v>
      </c>
      <c r="D2953">
        <v>14.4</v>
      </c>
    </row>
    <row r="2954" spans="1:4" x14ac:dyDescent="0.25">
      <c r="A2954" t="s">
        <v>1925</v>
      </c>
      <c r="B2954" t="s">
        <v>1330</v>
      </c>
      <c r="C2954" t="s">
        <v>1068</v>
      </c>
      <c r="D2954">
        <v>36.35</v>
      </c>
    </row>
    <row r="2955" spans="1:4" x14ac:dyDescent="0.25">
      <c r="A2955" t="s">
        <v>1978</v>
      </c>
      <c r="B2955" t="s">
        <v>1331</v>
      </c>
      <c r="C2955" t="s">
        <v>1068</v>
      </c>
      <c r="D2955">
        <v>3.5</v>
      </c>
    </row>
    <row r="2956" spans="1:4" x14ac:dyDescent="0.25">
      <c r="A2956" t="s">
        <v>1990</v>
      </c>
      <c r="B2956" t="s">
        <v>1331</v>
      </c>
      <c r="C2956" t="s">
        <v>1068</v>
      </c>
      <c r="D2956">
        <v>304.7</v>
      </c>
    </row>
    <row r="2957" spans="1:4" x14ac:dyDescent="0.25">
      <c r="A2957" t="s">
        <v>1968</v>
      </c>
      <c r="B2957" t="s">
        <v>1330</v>
      </c>
      <c r="C2957" t="s">
        <v>1068</v>
      </c>
      <c r="D2957">
        <v>256.10000000000002</v>
      </c>
    </row>
    <row r="2958" spans="1:4" x14ac:dyDescent="0.25">
      <c r="A2958" t="s">
        <v>1913</v>
      </c>
      <c r="B2958" t="s">
        <v>1335</v>
      </c>
      <c r="C2958" t="s">
        <v>1068</v>
      </c>
      <c r="D2958">
        <v>68.25</v>
      </c>
    </row>
    <row r="2959" spans="1:4" x14ac:dyDescent="0.25">
      <c r="A2959" t="s">
        <v>1992</v>
      </c>
      <c r="B2959" t="s">
        <v>1335</v>
      </c>
      <c r="C2959" t="s">
        <v>1068</v>
      </c>
      <c r="D2959">
        <v>15.2</v>
      </c>
    </row>
    <row r="2960" spans="1:4" x14ac:dyDescent="0.25">
      <c r="A2960" t="s">
        <v>1971</v>
      </c>
      <c r="B2960" t="s">
        <v>1330</v>
      </c>
      <c r="C2960" t="s">
        <v>1068</v>
      </c>
      <c r="D2960">
        <v>21.3</v>
      </c>
    </row>
    <row r="2961" spans="1:4" x14ac:dyDescent="0.25">
      <c r="A2961" t="s">
        <v>1958</v>
      </c>
      <c r="B2961" t="s">
        <v>1335</v>
      </c>
      <c r="C2961" t="s">
        <v>1068</v>
      </c>
      <c r="D2961">
        <v>6</v>
      </c>
    </row>
    <row r="2962" spans="1:4" x14ac:dyDescent="0.25">
      <c r="A2962" t="s">
        <v>1945</v>
      </c>
      <c r="B2962" t="s">
        <v>1331</v>
      </c>
      <c r="C2962" t="s">
        <v>1068</v>
      </c>
      <c r="D2962">
        <v>3</v>
      </c>
    </row>
    <row r="2963" spans="1:4" x14ac:dyDescent="0.25">
      <c r="A2963" t="s">
        <v>1925</v>
      </c>
      <c r="B2963" t="s">
        <v>1331</v>
      </c>
      <c r="C2963" t="s">
        <v>1068</v>
      </c>
      <c r="D2963">
        <v>1612.4</v>
      </c>
    </row>
    <row r="2964" spans="1:4" x14ac:dyDescent="0.25">
      <c r="A2964" t="s">
        <v>1909</v>
      </c>
      <c r="B2964" t="s">
        <v>1335</v>
      </c>
      <c r="C2964" t="s">
        <v>1068</v>
      </c>
      <c r="D2964">
        <v>66.5</v>
      </c>
    </row>
    <row r="2965" spans="1:4" x14ac:dyDescent="0.25">
      <c r="A2965" t="s">
        <v>1956</v>
      </c>
      <c r="B2965" t="s">
        <v>1335</v>
      </c>
      <c r="C2965" t="s">
        <v>1068</v>
      </c>
      <c r="D2965">
        <v>7.7</v>
      </c>
    </row>
    <row r="2966" spans="1:4" x14ac:dyDescent="0.25">
      <c r="A2966" t="s">
        <v>1988</v>
      </c>
      <c r="B2966" t="s">
        <v>1330</v>
      </c>
      <c r="C2966" t="s">
        <v>1068</v>
      </c>
      <c r="D2966">
        <v>11</v>
      </c>
    </row>
    <row r="2967" spans="1:4" x14ac:dyDescent="0.25">
      <c r="A2967" t="s">
        <v>2050</v>
      </c>
      <c r="B2967" t="s">
        <v>1334</v>
      </c>
      <c r="C2967" t="s">
        <v>1068</v>
      </c>
      <c r="D2967">
        <v>7.7</v>
      </c>
    </row>
    <row r="2968" spans="1:4" x14ac:dyDescent="0.25">
      <c r="A2968" t="s">
        <v>1963</v>
      </c>
      <c r="B2968" t="s">
        <v>1331</v>
      </c>
      <c r="C2968" t="s">
        <v>1068</v>
      </c>
      <c r="D2968">
        <v>807.35</v>
      </c>
    </row>
    <row r="2969" spans="1:4" x14ac:dyDescent="0.25">
      <c r="A2969" t="s">
        <v>1997</v>
      </c>
      <c r="B2969" t="s">
        <v>1331</v>
      </c>
      <c r="C2969" t="s">
        <v>1068</v>
      </c>
      <c r="D2969">
        <v>225.45</v>
      </c>
    </row>
    <row r="2970" spans="1:4" x14ac:dyDescent="0.25">
      <c r="A2970" t="s">
        <v>1923</v>
      </c>
      <c r="B2970" t="s">
        <v>1331</v>
      </c>
      <c r="C2970" t="s">
        <v>1068</v>
      </c>
      <c r="D2970">
        <v>554.15</v>
      </c>
    </row>
    <row r="2971" spans="1:4" x14ac:dyDescent="0.25">
      <c r="A2971" t="s">
        <v>1950</v>
      </c>
      <c r="B2971" t="s">
        <v>1331</v>
      </c>
      <c r="C2971" t="s">
        <v>1068</v>
      </c>
      <c r="D2971">
        <v>48.05</v>
      </c>
    </row>
    <row r="2972" spans="1:4" x14ac:dyDescent="0.25">
      <c r="A2972" t="s">
        <v>1984</v>
      </c>
      <c r="B2972" t="s">
        <v>1331</v>
      </c>
      <c r="C2972" t="s">
        <v>1068</v>
      </c>
      <c r="D2972">
        <v>1</v>
      </c>
    </row>
    <row r="2973" spans="1:4" x14ac:dyDescent="0.25">
      <c r="A2973" t="s">
        <v>2010</v>
      </c>
      <c r="B2973" t="s">
        <v>1331</v>
      </c>
      <c r="C2973" t="s">
        <v>1068</v>
      </c>
      <c r="D2973">
        <v>63</v>
      </c>
    </row>
    <row r="2974" spans="1:4" x14ac:dyDescent="0.25">
      <c r="A2974" t="s">
        <v>1972</v>
      </c>
      <c r="B2974" t="s">
        <v>1334</v>
      </c>
      <c r="C2974" t="s">
        <v>1075</v>
      </c>
      <c r="D2974">
        <v>5</v>
      </c>
    </row>
    <row r="2975" spans="1:4" x14ac:dyDescent="0.25">
      <c r="A2975" t="s">
        <v>1920</v>
      </c>
      <c r="B2975" t="s">
        <v>1331</v>
      </c>
      <c r="C2975" t="s">
        <v>1075</v>
      </c>
      <c r="D2975">
        <v>219.5</v>
      </c>
    </row>
    <row r="2976" spans="1:4" x14ac:dyDescent="0.25">
      <c r="A2976" t="s">
        <v>1913</v>
      </c>
      <c r="B2976" t="s">
        <v>1335</v>
      </c>
      <c r="C2976" t="s">
        <v>1075</v>
      </c>
      <c r="D2976">
        <v>8.1999999999999993</v>
      </c>
    </row>
    <row r="2977" spans="1:4" x14ac:dyDescent="0.25">
      <c r="A2977" t="s">
        <v>1978</v>
      </c>
      <c r="B2977" t="s">
        <v>1335</v>
      </c>
      <c r="C2977" t="s">
        <v>1075</v>
      </c>
      <c r="D2977">
        <v>322.45</v>
      </c>
    </row>
    <row r="2978" spans="1:4" x14ac:dyDescent="0.25">
      <c r="A2978" t="s">
        <v>1979</v>
      </c>
      <c r="B2978" t="s">
        <v>1331</v>
      </c>
      <c r="C2978" t="s">
        <v>1075</v>
      </c>
      <c r="D2978">
        <v>21</v>
      </c>
    </row>
    <row r="2979" spans="1:4" x14ac:dyDescent="0.25">
      <c r="A2979" t="s">
        <v>1911</v>
      </c>
      <c r="B2979" t="s">
        <v>1335</v>
      </c>
      <c r="C2979" t="s">
        <v>1075</v>
      </c>
      <c r="D2979">
        <v>36.35</v>
      </c>
    </row>
    <row r="2980" spans="1:4" x14ac:dyDescent="0.25">
      <c r="A2980" t="s">
        <v>2019</v>
      </c>
      <c r="B2980" t="s">
        <v>1334</v>
      </c>
      <c r="C2980" t="s">
        <v>1075</v>
      </c>
      <c r="D2980">
        <v>21.1</v>
      </c>
    </row>
    <row r="2981" spans="1:4" x14ac:dyDescent="0.25">
      <c r="A2981" t="s">
        <v>1983</v>
      </c>
      <c r="B2981" t="s">
        <v>1335</v>
      </c>
      <c r="C2981" t="s">
        <v>1075</v>
      </c>
      <c r="D2981">
        <v>18.3</v>
      </c>
    </row>
    <row r="2982" spans="1:4" x14ac:dyDescent="0.25">
      <c r="A2982" t="s">
        <v>1992</v>
      </c>
      <c r="B2982" t="s">
        <v>1335</v>
      </c>
      <c r="C2982" t="s">
        <v>1075</v>
      </c>
      <c r="D2982">
        <v>69.3</v>
      </c>
    </row>
    <row r="2983" spans="1:4" x14ac:dyDescent="0.25">
      <c r="A2983" t="s">
        <v>2024</v>
      </c>
      <c r="B2983" t="s">
        <v>1334</v>
      </c>
      <c r="C2983" t="s">
        <v>1075</v>
      </c>
      <c r="D2983">
        <v>98.3</v>
      </c>
    </row>
    <row r="2984" spans="1:4" x14ac:dyDescent="0.25">
      <c r="A2984" t="s">
        <v>2026</v>
      </c>
      <c r="B2984" t="s">
        <v>1334</v>
      </c>
      <c r="C2984" t="s">
        <v>1075</v>
      </c>
      <c r="D2984">
        <v>61.6</v>
      </c>
    </row>
    <row r="2985" spans="1:4" x14ac:dyDescent="0.25">
      <c r="A2985" t="s">
        <v>1979</v>
      </c>
      <c r="B2985" t="s">
        <v>1335</v>
      </c>
      <c r="C2985" t="s">
        <v>1075</v>
      </c>
      <c r="D2985">
        <v>16</v>
      </c>
    </row>
    <row r="2986" spans="1:4" x14ac:dyDescent="0.25">
      <c r="A2986" t="s">
        <v>1950</v>
      </c>
      <c r="B2986" t="s">
        <v>1331</v>
      </c>
      <c r="C2986" t="s">
        <v>1075</v>
      </c>
      <c r="D2986">
        <v>25.95</v>
      </c>
    </row>
    <row r="2987" spans="1:4" x14ac:dyDescent="0.25">
      <c r="A2987" t="s">
        <v>1990</v>
      </c>
      <c r="B2987" t="s">
        <v>1331</v>
      </c>
      <c r="C2987" t="s">
        <v>1075</v>
      </c>
      <c r="D2987">
        <v>163.1</v>
      </c>
    </row>
    <row r="2988" spans="1:4" x14ac:dyDescent="0.25">
      <c r="A2988" t="s">
        <v>1988</v>
      </c>
      <c r="B2988" t="s">
        <v>1330</v>
      </c>
      <c r="C2988" t="s">
        <v>1075</v>
      </c>
      <c r="D2988">
        <v>3</v>
      </c>
    </row>
    <row r="2989" spans="1:4" x14ac:dyDescent="0.25">
      <c r="A2989" t="s">
        <v>1968</v>
      </c>
      <c r="B2989" t="s">
        <v>1330</v>
      </c>
      <c r="C2989" t="s">
        <v>1075</v>
      </c>
      <c r="D2989">
        <v>4.7</v>
      </c>
    </row>
    <row r="2990" spans="1:4" x14ac:dyDescent="0.25">
      <c r="A2990" t="s">
        <v>1971</v>
      </c>
      <c r="B2990" t="s">
        <v>1330</v>
      </c>
      <c r="C2990" t="s">
        <v>1369</v>
      </c>
      <c r="D2990">
        <v>153.6</v>
      </c>
    </row>
    <row r="2991" spans="1:4" x14ac:dyDescent="0.25">
      <c r="A2991" t="s">
        <v>1907</v>
      </c>
      <c r="B2991" t="s">
        <v>1335</v>
      </c>
      <c r="C2991" t="s">
        <v>1369</v>
      </c>
      <c r="D2991">
        <v>31.1</v>
      </c>
    </row>
    <row r="2992" spans="1:4" x14ac:dyDescent="0.25">
      <c r="A2992" t="s">
        <v>1990</v>
      </c>
      <c r="B2992" t="s">
        <v>1331</v>
      </c>
      <c r="C2992" t="s">
        <v>1369</v>
      </c>
      <c r="D2992">
        <v>18.100000000000001</v>
      </c>
    </row>
    <row r="2993" spans="1:4" x14ac:dyDescent="0.25">
      <c r="A2993" t="s">
        <v>1968</v>
      </c>
      <c r="B2993" t="s">
        <v>1331</v>
      </c>
      <c r="C2993" t="s">
        <v>1369</v>
      </c>
      <c r="D2993">
        <v>787.4</v>
      </c>
    </row>
    <row r="2994" spans="1:4" x14ac:dyDescent="0.25">
      <c r="A2994" t="s">
        <v>1992</v>
      </c>
      <c r="B2994" t="s">
        <v>1335</v>
      </c>
      <c r="C2994" t="s">
        <v>1369</v>
      </c>
      <c r="D2994">
        <v>99.5</v>
      </c>
    </row>
    <row r="2995" spans="1:4" x14ac:dyDescent="0.25">
      <c r="A2995" t="s">
        <v>1911</v>
      </c>
      <c r="B2995" t="s">
        <v>1335</v>
      </c>
      <c r="C2995" t="s">
        <v>1369</v>
      </c>
      <c r="D2995">
        <v>17.399999999999999</v>
      </c>
    </row>
    <row r="2996" spans="1:4" x14ac:dyDescent="0.25">
      <c r="A2996" t="s">
        <v>1983</v>
      </c>
      <c r="B2996" t="s">
        <v>1335</v>
      </c>
      <c r="C2996" t="s">
        <v>1369</v>
      </c>
      <c r="D2996">
        <v>49.65</v>
      </c>
    </row>
    <row r="2997" spans="1:4" x14ac:dyDescent="0.25">
      <c r="A2997" t="s">
        <v>1958</v>
      </c>
      <c r="B2997" t="s">
        <v>1335</v>
      </c>
      <c r="C2997" t="s">
        <v>1369</v>
      </c>
      <c r="D2997">
        <v>1.7</v>
      </c>
    </row>
    <row r="2998" spans="1:4" x14ac:dyDescent="0.25">
      <c r="A2998" t="s">
        <v>1958</v>
      </c>
      <c r="B2998" t="s">
        <v>1330</v>
      </c>
      <c r="C2998" t="s">
        <v>1369</v>
      </c>
      <c r="D2998">
        <v>9.6999999999999993</v>
      </c>
    </row>
    <row r="2999" spans="1:4" x14ac:dyDescent="0.25">
      <c r="A2999" t="s">
        <v>1991</v>
      </c>
      <c r="B2999" t="s">
        <v>1335</v>
      </c>
      <c r="C2999" t="s">
        <v>1369</v>
      </c>
      <c r="D2999">
        <v>30.8</v>
      </c>
    </row>
    <row r="3000" spans="1:4" x14ac:dyDescent="0.25">
      <c r="A3000" t="s">
        <v>1913</v>
      </c>
      <c r="B3000" t="s">
        <v>1335</v>
      </c>
      <c r="C3000" t="s">
        <v>1369</v>
      </c>
      <c r="D3000">
        <v>11.55</v>
      </c>
    </row>
    <row r="3001" spans="1:4" x14ac:dyDescent="0.25">
      <c r="A3001" t="s">
        <v>1921</v>
      </c>
      <c r="B3001" t="s">
        <v>1330</v>
      </c>
      <c r="C3001" t="s">
        <v>1369</v>
      </c>
      <c r="D3001">
        <v>52.9</v>
      </c>
    </row>
    <row r="3002" spans="1:4" x14ac:dyDescent="0.25">
      <c r="A3002" t="s">
        <v>1968</v>
      </c>
      <c r="B3002" t="s">
        <v>1330</v>
      </c>
      <c r="C3002" t="s">
        <v>1369</v>
      </c>
      <c r="D3002">
        <v>150.69999999999999</v>
      </c>
    </row>
    <row r="3003" spans="1:4" x14ac:dyDescent="0.25">
      <c r="A3003" t="s">
        <v>1991</v>
      </c>
      <c r="B3003" t="s">
        <v>1331</v>
      </c>
      <c r="C3003" t="s">
        <v>1369</v>
      </c>
      <c r="D3003">
        <v>311.85000000000002</v>
      </c>
    </row>
    <row r="3004" spans="1:4" x14ac:dyDescent="0.25">
      <c r="A3004" t="s">
        <v>1950</v>
      </c>
      <c r="B3004" t="s">
        <v>1331</v>
      </c>
      <c r="C3004" t="s">
        <v>1080</v>
      </c>
      <c r="D3004">
        <v>119.5</v>
      </c>
    </row>
    <row r="3005" spans="1:4" x14ac:dyDescent="0.25">
      <c r="A3005" t="s">
        <v>1995</v>
      </c>
      <c r="B3005" t="s">
        <v>1330</v>
      </c>
      <c r="C3005" t="s">
        <v>1080</v>
      </c>
      <c r="D3005">
        <v>774.1</v>
      </c>
    </row>
    <row r="3006" spans="1:4" x14ac:dyDescent="0.25">
      <c r="A3006" t="s">
        <v>1909</v>
      </c>
      <c r="B3006" t="s">
        <v>1335</v>
      </c>
      <c r="C3006" t="s">
        <v>1080</v>
      </c>
      <c r="D3006">
        <v>58.5</v>
      </c>
    </row>
    <row r="3007" spans="1:4" x14ac:dyDescent="0.25">
      <c r="A3007" t="s">
        <v>1971</v>
      </c>
      <c r="B3007" t="s">
        <v>1330</v>
      </c>
      <c r="C3007" t="s">
        <v>1080</v>
      </c>
      <c r="D3007">
        <v>69.400000000000006</v>
      </c>
    </row>
    <row r="3008" spans="1:4" x14ac:dyDescent="0.25">
      <c r="A3008" t="s">
        <v>1927</v>
      </c>
      <c r="B3008" t="s">
        <v>1331</v>
      </c>
      <c r="C3008" t="s">
        <v>1080</v>
      </c>
      <c r="D3008">
        <v>19.25</v>
      </c>
    </row>
    <row r="3009" spans="1:4" x14ac:dyDescent="0.25">
      <c r="A3009" t="s">
        <v>1999</v>
      </c>
      <c r="B3009" t="s">
        <v>1331</v>
      </c>
      <c r="C3009" t="s">
        <v>1080</v>
      </c>
      <c r="D3009">
        <v>1386.95</v>
      </c>
    </row>
    <row r="3010" spans="1:4" x14ac:dyDescent="0.25">
      <c r="A3010" t="s">
        <v>1920</v>
      </c>
      <c r="B3010" t="s">
        <v>1330</v>
      </c>
      <c r="C3010" t="s">
        <v>1080</v>
      </c>
      <c r="D3010">
        <v>272.5</v>
      </c>
    </row>
    <row r="3011" spans="1:4" x14ac:dyDescent="0.25">
      <c r="A3011" t="s">
        <v>1925</v>
      </c>
      <c r="B3011" t="s">
        <v>1331</v>
      </c>
      <c r="C3011" t="s">
        <v>1080</v>
      </c>
      <c r="D3011">
        <v>3.85</v>
      </c>
    </row>
    <row r="3012" spans="1:4" x14ac:dyDescent="0.25">
      <c r="A3012" t="s">
        <v>2015</v>
      </c>
      <c r="B3012" t="s">
        <v>1331</v>
      </c>
      <c r="C3012" t="s">
        <v>1080</v>
      </c>
      <c r="D3012">
        <v>7.7</v>
      </c>
    </row>
    <row r="3013" spans="1:4" x14ac:dyDescent="0.25">
      <c r="A3013" t="s">
        <v>1980</v>
      </c>
      <c r="B3013" t="s">
        <v>1331</v>
      </c>
      <c r="C3013" t="s">
        <v>1080</v>
      </c>
      <c r="D3013">
        <v>958.15</v>
      </c>
    </row>
    <row r="3014" spans="1:4" x14ac:dyDescent="0.25">
      <c r="A3014" t="s">
        <v>1997</v>
      </c>
      <c r="B3014" t="s">
        <v>1331</v>
      </c>
      <c r="C3014" t="s">
        <v>1080</v>
      </c>
      <c r="D3014">
        <v>438.75</v>
      </c>
    </row>
    <row r="3015" spans="1:4" x14ac:dyDescent="0.25">
      <c r="A3015" t="s">
        <v>1995</v>
      </c>
      <c r="B3015" t="s">
        <v>1331</v>
      </c>
      <c r="C3015" t="s">
        <v>1080</v>
      </c>
      <c r="D3015">
        <v>1</v>
      </c>
    </row>
    <row r="3016" spans="1:4" x14ac:dyDescent="0.25">
      <c r="A3016" t="s">
        <v>1913</v>
      </c>
      <c r="B3016" t="s">
        <v>1335</v>
      </c>
      <c r="C3016" t="s">
        <v>1080</v>
      </c>
      <c r="D3016">
        <v>24.45</v>
      </c>
    </row>
    <row r="3017" spans="1:4" x14ac:dyDescent="0.25">
      <c r="A3017" t="s">
        <v>1921</v>
      </c>
      <c r="B3017" t="s">
        <v>1330</v>
      </c>
      <c r="C3017" t="s">
        <v>1080</v>
      </c>
      <c r="D3017">
        <v>57.6</v>
      </c>
    </row>
    <row r="3018" spans="1:4" x14ac:dyDescent="0.25">
      <c r="A3018" t="s">
        <v>1973</v>
      </c>
      <c r="B3018" t="s">
        <v>1331</v>
      </c>
      <c r="C3018" t="s">
        <v>1080</v>
      </c>
      <c r="D3018">
        <v>3.85</v>
      </c>
    </row>
    <row r="3019" spans="1:4" x14ac:dyDescent="0.25">
      <c r="A3019" t="s">
        <v>1920</v>
      </c>
      <c r="B3019" t="s">
        <v>1331</v>
      </c>
      <c r="C3019" t="s">
        <v>1080</v>
      </c>
      <c r="D3019">
        <v>299.73</v>
      </c>
    </row>
    <row r="3020" spans="1:4" x14ac:dyDescent="0.25">
      <c r="A3020" t="s">
        <v>1990</v>
      </c>
      <c r="B3020" t="s">
        <v>1331</v>
      </c>
      <c r="C3020" t="s">
        <v>1080</v>
      </c>
      <c r="D3020">
        <v>266.7</v>
      </c>
    </row>
    <row r="3021" spans="1:4" x14ac:dyDescent="0.25">
      <c r="A3021" t="s">
        <v>2000</v>
      </c>
      <c r="B3021" t="s">
        <v>1331</v>
      </c>
      <c r="C3021" t="s">
        <v>1080</v>
      </c>
      <c r="D3021">
        <v>379.6</v>
      </c>
    </row>
    <row r="3022" spans="1:4" x14ac:dyDescent="0.25">
      <c r="A3022" t="s">
        <v>1911</v>
      </c>
      <c r="B3022" t="s">
        <v>1335</v>
      </c>
      <c r="C3022" t="s">
        <v>1080</v>
      </c>
      <c r="D3022">
        <v>67.45</v>
      </c>
    </row>
    <row r="3023" spans="1:4" x14ac:dyDescent="0.25">
      <c r="A3023" t="s">
        <v>1998</v>
      </c>
      <c r="B3023" t="s">
        <v>1331</v>
      </c>
      <c r="C3023" t="s">
        <v>1080</v>
      </c>
      <c r="D3023">
        <v>30.8</v>
      </c>
    </row>
    <row r="3024" spans="1:4" x14ac:dyDescent="0.25">
      <c r="A3024" t="s">
        <v>1978</v>
      </c>
      <c r="B3024" t="s">
        <v>1335</v>
      </c>
      <c r="C3024" t="s">
        <v>1085</v>
      </c>
      <c r="D3024">
        <v>132.19999999999999</v>
      </c>
    </row>
    <row r="3025" spans="1:4" x14ac:dyDescent="0.25">
      <c r="A3025" t="s">
        <v>1990</v>
      </c>
      <c r="B3025" t="s">
        <v>1331</v>
      </c>
      <c r="C3025" t="s">
        <v>1085</v>
      </c>
      <c r="D3025">
        <v>60.9</v>
      </c>
    </row>
    <row r="3026" spans="1:4" x14ac:dyDescent="0.25">
      <c r="A3026" t="s">
        <v>1916</v>
      </c>
      <c r="B3026" t="s">
        <v>1335</v>
      </c>
      <c r="C3026" t="s">
        <v>1085</v>
      </c>
      <c r="D3026">
        <v>161.4</v>
      </c>
    </row>
    <row r="3027" spans="1:4" x14ac:dyDescent="0.25">
      <c r="A3027" t="s">
        <v>1972</v>
      </c>
      <c r="B3027" t="s">
        <v>1334</v>
      </c>
      <c r="C3027" t="s">
        <v>1085</v>
      </c>
      <c r="D3027">
        <v>64.900000000000006</v>
      </c>
    </row>
    <row r="3028" spans="1:4" x14ac:dyDescent="0.25">
      <c r="A3028" t="s">
        <v>1988</v>
      </c>
      <c r="B3028" t="s">
        <v>1330</v>
      </c>
      <c r="C3028" t="s">
        <v>1085</v>
      </c>
      <c r="D3028">
        <v>34.799999999999997</v>
      </c>
    </row>
    <row r="3029" spans="1:4" x14ac:dyDescent="0.25">
      <c r="A3029" t="s">
        <v>1950</v>
      </c>
      <c r="B3029" t="s">
        <v>1331</v>
      </c>
      <c r="C3029" t="s">
        <v>1085</v>
      </c>
      <c r="D3029">
        <v>1</v>
      </c>
    </row>
    <row r="3030" spans="1:4" x14ac:dyDescent="0.25">
      <c r="A3030" t="s">
        <v>2019</v>
      </c>
      <c r="B3030" t="s">
        <v>1334</v>
      </c>
      <c r="C3030" t="s">
        <v>1085</v>
      </c>
      <c r="D3030">
        <v>30.5</v>
      </c>
    </row>
    <row r="3031" spans="1:4" x14ac:dyDescent="0.25">
      <c r="A3031" t="s">
        <v>1962</v>
      </c>
      <c r="B3031" t="s">
        <v>1331</v>
      </c>
      <c r="C3031" t="s">
        <v>1088</v>
      </c>
      <c r="D3031">
        <v>5.7</v>
      </c>
    </row>
    <row r="3032" spans="1:4" x14ac:dyDescent="0.25">
      <c r="A3032" t="s">
        <v>1995</v>
      </c>
      <c r="B3032" t="s">
        <v>1330</v>
      </c>
      <c r="C3032" t="s">
        <v>1088</v>
      </c>
      <c r="D3032">
        <v>6.7</v>
      </c>
    </row>
    <row r="3033" spans="1:4" x14ac:dyDescent="0.25">
      <c r="A3033" t="s">
        <v>1980</v>
      </c>
      <c r="B3033" t="s">
        <v>1331</v>
      </c>
      <c r="C3033" t="s">
        <v>1088</v>
      </c>
      <c r="D3033">
        <v>21.75</v>
      </c>
    </row>
    <row r="3034" spans="1:4" x14ac:dyDescent="0.25">
      <c r="A3034" t="s">
        <v>1918</v>
      </c>
      <c r="B3034" t="s">
        <v>1335</v>
      </c>
      <c r="C3034" t="s">
        <v>1088</v>
      </c>
      <c r="D3034">
        <v>35.299999999999997</v>
      </c>
    </row>
    <row r="3035" spans="1:4" x14ac:dyDescent="0.25">
      <c r="A3035" t="s">
        <v>1907</v>
      </c>
      <c r="B3035" t="s">
        <v>1335</v>
      </c>
      <c r="C3035" t="s">
        <v>1088</v>
      </c>
      <c r="D3035">
        <v>2.7</v>
      </c>
    </row>
    <row r="3036" spans="1:4" x14ac:dyDescent="0.25">
      <c r="A3036" t="s">
        <v>1966</v>
      </c>
      <c r="B3036" t="s">
        <v>1331</v>
      </c>
      <c r="C3036" t="s">
        <v>1088</v>
      </c>
      <c r="D3036">
        <v>24.4</v>
      </c>
    </row>
    <row r="3037" spans="1:4" x14ac:dyDescent="0.25">
      <c r="A3037" t="s">
        <v>1909</v>
      </c>
      <c r="B3037" t="s">
        <v>1335</v>
      </c>
      <c r="C3037" t="s">
        <v>1088</v>
      </c>
      <c r="D3037">
        <v>9.5</v>
      </c>
    </row>
    <row r="3038" spans="1:4" x14ac:dyDescent="0.25">
      <c r="A3038" t="s">
        <v>2043</v>
      </c>
      <c r="B3038" t="s">
        <v>1334</v>
      </c>
      <c r="C3038" t="s">
        <v>1088</v>
      </c>
      <c r="D3038">
        <v>13</v>
      </c>
    </row>
    <row r="3039" spans="1:4" x14ac:dyDescent="0.25">
      <c r="A3039" t="s">
        <v>1978</v>
      </c>
      <c r="B3039" t="s">
        <v>1335</v>
      </c>
      <c r="C3039" t="s">
        <v>1088</v>
      </c>
      <c r="D3039">
        <v>95.4</v>
      </c>
    </row>
    <row r="3040" spans="1:4" x14ac:dyDescent="0.25">
      <c r="A3040" t="s">
        <v>1980</v>
      </c>
      <c r="B3040" t="s">
        <v>1333</v>
      </c>
      <c r="C3040" t="s">
        <v>1088</v>
      </c>
      <c r="D3040">
        <v>5.7</v>
      </c>
    </row>
    <row r="3041" spans="1:4" x14ac:dyDescent="0.25">
      <c r="A3041" t="s">
        <v>1990</v>
      </c>
      <c r="B3041" t="s">
        <v>1331</v>
      </c>
      <c r="C3041" t="s">
        <v>1097</v>
      </c>
      <c r="D3041">
        <v>105.1</v>
      </c>
    </row>
    <row r="3042" spans="1:4" x14ac:dyDescent="0.25">
      <c r="A3042" t="s">
        <v>1909</v>
      </c>
      <c r="B3042" t="s">
        <v>1335</v>
      </c>
      <c r="C3042" t="s">
        <v>1097</v>
      </c>
      <c r="D3042">
        <v>9.6999999999999993</v>
      </c>
    </row>
    <row r="3043" spans="1:4" x14ac:dyDescent="0.25">
      <c r="A3043" t="s">
        <v>1979</v>
      </c>
      <c r="B3043" t="s">
        <v>1331</v>
      </c>
      <c r="C3043" t="s">
        <v>1097</v>
      </c>
      <c r="D3043">
        <v>23.1</v>
      </c>
    </row>
    <row r="3044" spans="1:4" x14ac:dyDescent="0.25">
      <c r="A3044" t="s">
        <v>1950</v>
      </c>
      <c r="B3044" t="s">
        <v>1331</v>
      </c>
      <c r="C3044" t="s">
        <v>1097</v>
      </c>
      <c r="D3044">
        <v>19.95</v>
      </c>
    </row>
    <row r="3045" spans="1:4" x14ac:dyDescent="0.25">
      <c r="A3045" t="s">
        <v>1988</v>
      </c>
      <c r="B3045" t="s">
        <v>1330</v>
      </c>
      <c r="C3045" t="s">
        <v>1097</v>
      </c>
      <c r="D3045">
        <v>92.4</v>
      </c>
    </row>
    <row r="3046" spans="1:4" x14ac:dyDescent="0.25">
      <c r="A3046" t="s">
        <v>1989</v>
      </c>
      <c r="B3046" t="s">
        <v>1331</v>
      </c>
      <c r="C3046" t="s">
        <v>1097</v>
      </c>
      <c r="D3046">
        <v>13.7</v>
      </c>
    </row>
    <row r="3047" spans="1:4" x14ac:dyDescent="0.25">
      <c r="A3047" t="s">
        <v>1911</v>
      </c>
      <c r="B3047" t="s">
        <v>1335</v>
      </c>
      <c r="C3047" t="s">
        <v>1097</v>
      </c>
      <c r="D3047">
        <v>1</v>
      </c>
    </row>
    <row r="3048" spans="1:4" x14ac:dyDescent="0.25">
      <c r="A3048" t="s">
        <v>1950</v>
      </c>
      <c r="B3048" t="s">
        <v>1334</v>
      </c>
      <c r="C3048" t="s">
        <v>1097</v>
      </c>
      <c r="D3048">
        <v>1.85</v>
      </c>
    </row>
    <row r="3049" spans="1:4" x14ac:dyDescent="0.25">
      <c r="A3049" t="s">
        <v>2043</v>
      </c>
      <c r="B3049" t="s">
        <v>1334</v>
      </c>
      <c r="C3049" t="s">
        <v>1097</v>
      </c>
      <c r="D3049">
        <v>1</v>
      </c>
    </row>
    <row r="3050" spans="1:4" x14ac:dyDescent="0.25">
      <c r="A3050" t="s">
        <v>1980</v>
      </c>
      <c r="B3050" t="s">
        <v>1331</v>
      </c>
      <c r="C3050" t="s">
        <v>1097</v>
      </c>
      <c r="D3050">
        <v>590.04999999999995</v>
      </c>
    </row>
    <row r="3051" spans="1:4" x14ac:dyDescent="0.25">
      <c r="A3051" t="s">
        <v>1968</v>
      </c>
      <c r="B3051" t="s">
        <v>1330</v>
      </c>
      <c r="C3051" t="s">
        <v>1097</v>
      </c>
      <c r="D3051">
        <v>2.5</v>
      </c>
    </row>
    <row r="3052" spans="1:4" x14ac:dyDescent="0.25">
      <c r="A3052" t="s">
        <v>1971</v>
      </c>
      <c r="B3052" t="s">
        <v>1335</v>
      </c>
      <c r="C3052" t="s">
        <v>1097</v>
      </c>
      <c r="D3052">
        <v>11.7</v>
      </c>
    </row>
    <row r="3053" spans="1:4" x14ac:dyDescent="0.25">
      <c r="A3053" t="s">
        <v>1978</v>
      </c>
      <c r="B3053" t="s">
        <v>1335</v>
      </c>
      <c r="C3053" t="s">
        <v>1097</v>
      </c>
      <c r="D3053">
        <v>16.899999999999999</v>
      </c>
    </row>
    <row r="3054" spans="1:4" x14ac:dyDescent="0.25">
      <c r="A3054" t="s">
        <v>2003</v>
      </c>
      <c r="B3054" t="s">
        <v>1331</v>
      </c>
      <c r="C3054" t="s">
        <v>1097</v>
      </c>
      <c r="D3054">
        <v>28.65</v>
      </c>
    </row>
    <row r="3055" spans="1:4" x14ac:dyDescent="0.25">
      <c r="A3055" t="s">
        <v>1907</v>
      </c>
      <c r="B3055" t="s">
        <v>1335</v>
      </c>
      <c r="C3055" t="s">
        <v>1097</v>
      </c>
      <c r="D3055">
        <v>3</v>
      </c>
    </row>
    <row r="3056" spans="1:4" x14ac:dyDescent="0.25">
      <c r="A3056" t="s">
        <v>1980</v>
      </c>
      <c r="B3056" t="s">
        <v>1333</v>
      </c>
      <c r="C3056" t="s">
        <v>1097</v>
      </c>
      <c r="D3056">
        <v>5.55</v>
      </c>
    </row>
    <row r="3057" spans="1:4" x14ac:dyDescent="0.25">
      <c r="A3057" t="s">
        <v>1997</v>
      </c>
      <c r="B3057" t="s">
        <v>1331</v>
      </c>
      <c r="C3057" t="s">
        <v>1097</v>
      </c>
      <c r="D3057">
        <v>44.2</v>
      </c>
    </row>
    <row r="3058" spans="1:4" x14ac:dyDescent="0.25">
      <c r="A3058" t="s">
        <v>1988</v>
      </c>
      <c r="B3058" t="s">
        <v>1331</v>
      </c>
      <c r="C3058" t="s">
        <v>1097</v>
      </c>
      <c r="D3058">
        <v>2</v>
      </c>
    </row>
    <row r="3059" spans="1:4" x14ac:dyDescent="0.25">
      <c r="A3059" t="s">
        <v>1945</v>
      </c>
      <c r="B3059" t="s">
        <v>1331</v>
      </c>
      <c r="C3059" t="s">
        <v>1097</v>
      </c>
      <c r="D3059">
        <v>7</v>
      </c>
    </row>
    <row r="3060" spans="1:4" x14ac:dyDescent="0.25">
      <c r="A3060" t="s">
        <v>1923</v>
      </c>
      <c r="B3060" t="s">
        <v>1331</v>
      </c>
      <c r="C3060" t="s">
        <v>1097</v>
      </c>
      <c r="D3060">
        <v>50.5</v>
      </c>
    </row>
    <row r="3061" spans="1:4" x14ac:dyDescent="0.25">
      <c r="A3061" t="s">
        <v>1972</v>
      </c>
      <c r="B3061" t="s">
        <v>1334</v>
      </c>
      <c r="C3061" t="s">
        <v>1097</v>
      </c>
      <c r="D3061">
        <v>32.1</v>
      </c>
    </row>
    <row r="3062" spans="1:4" x14ac:dyDescent="0.25">
      <c r="A3062" t="s">
        <v>1990</v>
      </c>
      <c r="B3062" t="s">
        <v>1331</v>
      </c>
      <c r="C3062" t="s">
        <v>1101</v>
      </c>
      <c r="D3062">
        <v>19.2</v>
      </c>
    </row>
    <row r="3063" spans="1:4" x14ac:dyDescent="0.25">
      <c r="A3063" t="s">
        <v>1945</v>
      </c>
      <c r="B3063" t="s">
        <v>1331</v>
      </c>
      <c r="C3063" t="s">
        <v>1101</v>
      </c>
      <c r="D3063">
        <v>4</v>
      </c>
    </row>
    <row r="3064" spans="1:4" x14ac:dyDescent="0.25">
      <c r="A3064" t="s">
        <v>1935</v>
      </c>
      <c r="B3064" t="s">
        <v>1331</v>
      </c>
      <c r="C3064" t="s">
        <v>1101</v>
      </c>
      <c r="D3064">
        <v>203</v>
      </c>
    </row>
    <row r="3065" spans="1:4" x14ac:dyDescent="0.25">
      <c r="A3065" t="s">
        <v>1923</v>
      </c>
      <c r="B3065" t="s">
        <v>1331</v>
      </c>
      <c r="C3065" t="s">
        <v>1101</v>
      </c>
      <c r="D3065">
        <v>78.45</v>
      </c>
    </row>
    <row r="3066" spans="1:4" x14ac:dyDescent="0.25">
      <c r="A3066" t="s">
        <v>1984</v>
      </c>
      <c r="B3066" t="s">
        <v>1331</v>
      </c>
      <c r="C3066" t="s">
        <v>1101</v>
      </c>
      <c r="D3066">
        <v>103</v>
      </c>
    </row>
    <row r="3067" spans="1:4" x14ac:dyDescent="0.25">
      <c r="A3067" t="s">
        <v>1978</v>
      </c>
      <c r="B3067" t="s">
        <v>1335</v>
      </c>
      <c r="C3067" t="s">
        <v>1101</v>
      </c>
      <c r="D3067">
        <v>4</v>
      </c>
    </row>
    <row r="3068" spans="1:4" x14ac:dyDescent="0.25">
      <c r="A3068" t="s">
        <v>1950</v>
      </c>
      <c r="B3068" t="s">
        <v>1331</v>
      </c>
      <c r="C3068" t="s">
        <v>1101</v>
      </c>
      <c r="D3068">
        <v>2</v>
      </c>
    </row>
    <row r="3069" spans="1:4" x14ac:dyDescent="0.25">
      <c r="A3069" t="s">
        <v>2002</v>
      </c>
      <c r="B3069" t="s">
        <v>1331</v>
      </c>
      <c r="C3069" t="s">
        <v>1101</v>
      </c>
      <c r="D3069">
        <v>18.5</v>
      </c>
    </row>
    <row r="3070" spans="1:4" x14ac:dyDescent="0.25">
      <c r="A3070" t="s">
        <v>1980</v>
      </c>
      <c r="B3070" t="s">
        <v>1331</v>
      </c>
      <c r="C3070" t="s">
        <v>1101</v>
      </c>
      <c r="D3070">
        <v>15.9</v>
      </c>
    </row>
    <row r="3071" spans="1:4" x14ac:dyDescent="0.25">
      <c r="A3071" t="s">
        <v>1913</v>
      </c>
      <c r="B3071" t="s">
        <v>1335</v>
      </c>
      <c r="C3071" t="s">
        <v>1101</v>
      </c>
      <c r="D3071">
        <v>3.85</v>
      </c>
    </row>
    <row r="3072" spans="1:4" x14ac:dyDescent="0.25">
      <c r="A3072" t="s">
        <v>1972</v>
      </c>
      <c r="B3072" t="s">
        <v>1334</v>
      </c>
      <c r="C3072" t="s">
        <v>1101</v>
      </c>
      <c r="D3072">
        <v>4</v>
      </c>
    </row>
    <row r="3073" spans="1:4" x14ac:dyDescent="0.25">
      <c r="A3073" t="s">
        <v>1950</v>
      </c>
      <c r="B3073" t="s">
        <v>1331</v>
      </c>
      <c r="C3073" t="s">
        <v>1109</v>
      </c>
      <c r="D3073">
        <v>25.35</v>
      </c>
    </row>
    <row r="3074" spans="1:4" x14ac:dyDescent="0.25">
      <c r="A3074" t="s">
        <v>1988</v>
      </c>
      <c r="B3074" t="s">
        <v>1330</v>
      </c>
      <c r="C3074" t="s">
        <v>1109</v>
      </c>
      <c r="D3074">
        <v>18.100000000000001</v>
      </c>
    </row>
    <row r="3075" spans="1:4" x14ac:dyDescent="0.25">
      <c r="A3075" t="s">
        <v>1998</v>
      </c>
      <c r="B3075" t="s">
        <v>1331</v>
      </c>
      <c r="C3075" t="s">
        <v>1109</v>
      </c>
      <c r="D3075">
        <v>61.6</v>
      </c>
    </row>
    <row r="3076" spans="1:4" x14ac:dyDescent="0.25">
      <c r="A3076" t="s">
        <v>1990</v>
      </c>
      <c r="B3076" t="s">
        <v>1331</v>
      </c>
      <c r="C3076" t="s">
        <v>1109</v>
      </c>
      <c r="D3076">
        <v>91.8</v>
      </c>
    </row>
    <row r="3077" spans="1:4" x14ac:dyDescent="0.25">
      <c r="A3077" t="s">
        <v>1909</v>
      </c>
      <c r="B3077" t="s">
        <v>1335</v>
      </c>
      <c r="C3077" t="s">
        <v>1109</v>
      </c>
      <c r="D3077">
        <v>1</v>
      </c>
    </row>
    <row r="3078" spans="1:4" x14ac:dyDescent="0.25">
      <c r="A3078" t="s">
        <v>1958</v>
      </c>
      <c r="B3078" t="s">
        <v>1331</v>
      </c>
      <c r="C3078" t="s">
        <v>1109</v>
      </c>
      <c r="D3078">
        <v>10.1</v>
      </c>
    </row>
    <row r="3079" spans="1:4" x14ac:dyDescent="0.25">
      <c r="A3079" t="s">
        <v>1911</v>
      </c>
      <c r="B3079" t="s">
        <v>1335</v>
      </c>
      <c r="C3079" t="s">
        <v>1109</v>
      </c>
      <c r="D3079">
        <v>1.7</v>
      </c>
    </row>
    <row r="3080" spans="1:4" x14ac:dyDescent="0.25">
      <c r="A3080" t="s">
        <v>1978</v>
      </c>
      <c r="B3080" t="s">
        <v>1335</v>
      </c>
      <c r="C3080" t="s">
        <v>1109</v>
      </c>
      <c r="D3080">
        <v>224.3</v>
      </c>
    </row>
    <row r="3081" spans="1:4" x14ac:dyDescent="0.25">
      <c r="A3081" t="s">
        <v>1968</v>
      </c>
      <c r="B3081" t="s">
        <v>1330</v>
      </c>
      <c r="C3081" t="s">
        <v>1109</v>
      </c>
      <c r="D3081">
        <v>12.4</v>
      </c>
    </row>
    <row r="3082" spans="1:4" x14ac:dyDescent="0.25">
      <c r="A3082" t="s">
        <v>1913</v>
      </c>
      <c r="B3082" t="s">
        <v>1335</v>
      </c>
      <c r="C3082" t="s">
        <v>1109</v>
      </c>
      <c r="D3082">
        <v>10.7</v>
      </c>
    </row>
    <row r="3083" spans="1:4" x14ac:dyDescent="0.25">
      <c r="A3083" t="s">
        <v>1971</v>
      </c>
      <c r="B3083" t="s">
        <v>1330</v>
      </c>
      <c r="C3083" t="s">
        <v>1114</v>
      </c>
      <c r="D3083">
        <v>14.2</v>
      </c>
    </row>
    <row r="3084" spans="1:4" x14ac:dyDescent="0.25">
      <c r="A3084" t="s">
        <v>1950</v>
      </c>
      <c r="B3084" t="s">
        <v>1331</v>
      </c>
      <c r="C3084" t="s">
        <v>1114</v>
      </c>
      <c r="D3084">
        <v>25.1</v>
      </c>
    </row>
    <row r="3085" spans="1:4" x14ac:dyDescent="0.25">
      <c r="A3085" t="s">
        <v>1956</v>
      </c>
      <c r="B3085" t="s">
        <v>1335</v>
      </c>
      <c r="C3085" t="s">
        <v>1114</v>
      </c>
      <c r="D3085">
        <v>15.4</v>
      </c>
    </row>
    <row r="3086" spans="1:4" x14ac:dyDescent="0.25">
      <c r="A3086" t="s">
        <v>1992</v>
      </c>
      <c r="B3086" t="s">
        <v>1335</v>
      </c>
      <c r="C3086" t="s">
        <v>1114</v>
      </c>
      <c r="D3086">
        <v>110.1</v>
      </c>
    </row>
    <row r="3087" spans="1:4" x14ac:dyDescent="0.25">
      <c r="A3087" t="s">
        <v>1913</v>
      </c>
      <c r="B3087" t="s">
        <v>1335</v>
      </c>
      <c r="C3087" t="s">
        <v>1114</v>
      </c>
      <c r="D3087">
        <v>8</v>
      </c>
    </row>
    <row r="3088" spans="1:4" x14ac:dyDescent="0.25">
      <c r="A3088" t="s">
        <v>1996</v>
      </c>
      <c r="B3088" t="s">
        <v>1335</v>
      </c>
      <c r="C3088" t="s">
        <v>1114</v>
      </c>
      <c r="D3088">
        <v>2</v>
      </c>
    </row>
    <row r="3089" spans="1:4" x14ac:dyDescent="0.25">
      <c r="A3089" t="s">
        <v>1978</v>
      </c>
      <c r="B3089" t="s">
        <v>1335</v>
      </c>
      <c r="C3089" t="s">
        <v>1114</v>
      </c>
      <c r="D3089">
        <v>174.5</v>
      </c>
    </row>
    <row r="3090" spans="1:4" x14ac:dyDescent="0.25">
      <c r="A3090" t="s">
        <v>1990</v>
      </c>
      <c r="B3090" t="s">
        <v>1331</v>
      </c>
      <c r="C3090" t="s">
        <v>1114</v>
      </c>
      <c r="D3090">
        <v>146</v>
      </c>
    </row>
    <row r="3091" spans="1:4" x14ac:dyDescent="0.25">
      <c r="A3091" t="s">
        <v>1955</v>
      </c>
      <c r="B3091" t="s">
        <v>1335</v>
      </c>
      <c r="C3091" t="s">
        <v>1114</v>
      </c>
      <c r="D3091">
        <v>74.599999999999994</v>
      </c>
    </row>
    <row r="3092" spans="1:4" x14ac:dyDescent="0.25">
      <c r="A3092" t="s">
        <v>1958</v>
      </c>
      <c r="B3092" t="s">
        <v>1331</v>
      </c>
      <c r="C3092" t="s">
        <v>1114</v>
      </c>
      <c r="D3092">
        <v>10.6</v>
      </c>
    </row>
    <row r="3093" spans="1:4" x14ac:dyDescent="0.25">
      <c r="A3093" t="s">
        <v>1950</v>
      </c>
      <c r="B3093" t="s">
        <v>1330</v>
      </c>
      <c r="C3093" t="s">
        <v>1114</v>
      </c>
      <c r="D3093">
        <v>1.85</v>
      </c>
    </row>
    <row r="3094" spans="1:4" x14ac:dyDescent="0.25">
      <c r="A3094" t="s">
        <v>1958</v>
      </c>
      <c r="B3094" t="s">
        <v>1330</v>
      </c>
      <c r="C3094" t="s">
        <v>1114</v>
      </c>
      <c r="D3094">
        <v>0</v>
      </c>
    </row>
    <row r="3095" spans="1:4" x14ac:dyDescent="0.25">
      <c r="A3095" t="s">
        <v>1985</v>
      </c>
      <c r="B3095" t="s">
        <v>1331</v>
      </c>
      <c r="C3095" t="s">
        <v>1114</v>
      </c>
      <c r="D3095">
        <v>239.5</v>
      </c>
    </row>
    <row r="3096" spans="1:4" x14ac:dyDescent="0.25">
      <c r="A3096" t="s">
        <v>2003</v>
      </c>
      <c r="B3096" t="s">
        <v>1331</v>
      </c>
      <c r="C3096" t="s">
        <v>1114</v>
      </c>
      <c r="D3096">
        <v>3</v>
      </c>
    </row>
    <row r="3097" spans="1:4" x14ac:dyDescent="0.25">
      <c r="A3097" t="s">
        <v>1921</v>
      </c>
      <c r="B3097" t="s">
        <v>1330</v>
      </c>
      <c r="C3097" t="s">
        <v>1114</v>
      </c>
      <c r="D3097">
        <v>48.9</v>
      </c>
    </row>
    <row r="3098" spans="1:4" x14ac:dyDescent="0.25">
      <c r="A3098" t="s">
        <v>1968</v>
      </c>
      <c r="B3098" t="s">
        <v>1330</v>
      </c>
      <c r="C3098" t="s">
        <v>1114</v>
      </c>
      <c r="D3098">
        <v>48.5</v>
      </c>
    </row>
    <row r="3099" spans="1:4" x14ac:dyDescent="0.25">
      <c r="A3099" t="s">
        <v>1909</v>
      </c>
      <c r="B3099" t="s">
        <v>1335</v>
      </c>
      <c r="C3099" t="s">
        <v>1114</v>
      </c>
      <c r="D3099">
        <v>59.6</v>
      </c>
    </row>
    <row r="3100" spans="1:4" x14ac:dyDescent="0.25">
      <c r="A3100" t="s">
        <v>1918</v>
      </c>
      <c r="B3100" t="s">
        <v>1335</v>
      </c>
      <c r="C3100" t="s">
        <v>1114</v>
      </c>
      <c r="D3100">
        <v>3.4</v>
      </c>
    </row>
    <row r="3101" spans="1:4" x14ac:dyDescent="0.25">
      <c r="A3101" t="s">
        <v>1998</v>
      </c>
      <c r="B3101" t="s">
        <v>1331</v>
      </c>
      <c r="C3101" t="s">
        <v>1114</v>
      </c>
      <c r="D3101">
        <v>46.2</v>
      </c>
    </row>
    <row r="3102" spans="1:4" x14ac:dyDescent="0.25">
      <c r="A3102" t="s">
        <v>1988</v>
      </c>
      <c r="B3102" t="s">
        <v>1330</v>
      </c>
      <c r="C3102" t="s">
        <v>1114</v>
      </c>
      <c r="D3102">
        <v>4.7</v>
      </c>
    </row>
    <row r="3103" spans="1:4" x14ac:dyDescent="0.25">
      <c r="A3103" t="s">
        <v>1911</v>
      </c>
      <c r="B3103" t="s">
        <v>1335</v>
      </c>
      <c r="C3103" t="s">
        <v>1114</v>
      </c>
      <c r="D3103">
        <v>2</v>
      </c>
    </row>
    <row r="3104" spans="1:4" x14ac:dyDescent="0.25">
      <c r="A3104" t="s">
        <v>1950</v>
      </c>
      <c r="B3104" t="s">
        <v>1334</v>
      </c>
      <c r="C3104" t="s">
        <v>1114</v>
      </c>
      <c r="D3104">
        <v>0</v>
      </c>
    </row>
    <row r="3105" spans="1:4" x14ac:dyDescent="0.25">
      <c r="A3105" t="s">
        <v>1993</v>
      </c>
      <c r="B3105" t="s">
        <v>1335</v>
      </c>
      <c r="C3105" t="s">
        <v>1114</v>
      </c>
      <c r="D3105">
        <v>6</v>
      </c>
    </row>
    <row r="3106" spans="1:4" x14ac:dyDescent="0.25">
      <c r="A3106" t="s">
        <v>1980</v>
      </c>
      <c r="B3106" t="s">
        <v>1331</v>
      </c>
      <c r="C3106" t="s">
        <v>1117</v>
      </c>
      <c r="D3106">
        <v>690.45</v>
      </c>
    </row>
    <row r="3107" spans="1:4" x14ac:dyDescent="0.25">
      <c r="A3107" t="s">
        <v>2003</v>
      </c>
      <c r="B3107" t="s">
        <v>1331</v>
      </c>
      <c r="C3107" t="s">
        <v>1117</v>
      </c>
      <c r="D3107">
        <v>425.95</v>
      </c>
    </row>
    <row r="3108" spans="1:4" x14ac:dyDescent="0.25">
      <c r="A3108" t="s">
        <v>1950</v>
      </c>
      <c r="B3108" t="s">
        <v>1331</v>
      </c>
      <c r="C3108" t="s">
        <v>1117</v>
      </c>
      <c r="D3108">
        <v>43.2</v>
      </c>
    </row>
    <row r="3109" spans="1:4" x14ac:dyDescent="0.25">
      <c r="A3109" t="s">
        <v>1978</v>
      </c>
      <c r="B3109" t="s">
        <v>1335</v>
      </c>
      <c r="C3109" t="s">
        <v>1117</v>
      </c>
      <c r="D3109">
        <v>3</v>
      </c>
    </row>
    <row r="3110" spans="1:4" x14ac:dyDescent="0.25">
      <c r="A3110" t="s">
        <v>1980</v>
      </c>
      <c r="B3110" t="s">
        <v>1333</v>
      </c>
      <c r="C3110" t="s">
        <v>1117</v>
      </c>
      <c r="D3110">
        <v>38.700000000000003</v>
      </c>
    </row>
    <row r="3111" spans="1:4" x14ac:dyDescent="0.25">
      <c r="A3111" t="s">
        <v>1999</v>
      </c>
      <c r="B3111" t="s">
        <v>1331</v>
      </c>
      <c r="C3111" t="s">
        <v>1117</v>
      </c>
      <c r="D3111">
        <v>9</v>
      </c>
    </row>
    <row r="3112" spans="1:4" x14ac:dyDescent="0.25">
      <c r="A3112" t="s">
        <v>1913</v>
      </c>
      <c r="B3112" t="s">
        <v>1335</v>
      </c>
      <c r="C3112" t="s">
        <v>1117</v>
      </c>
      <c r="D3112">
        <v>12.9</v>
      </c>
    </row>
    <row r="3113" spans="1:4" x14ac:dyDescent="0.25">
      <c r="A3113" t="s">
        <v>1988</v>
      </c>
      <c r="B3113" t="s">
        <v>1331</v>
      </c>
      <c r="C3113" t="s">
        <v>1117</v>
      </c>
      <c r="D3113">
        <v>43.5</v>
      </c>
    </row>
    <row r="3114" spans="1:4" x14ac:dyDescent="0.25">
      <c r="A3114" t="s">
        <v>1909</v>
      </c>
      <c r="B3114" t="s">
        <v>1335</v>
      </c>
      <c r="C3114" t="s">
        <v>1117</v>
      </c>
      <c r="D3114">
        <v>11</v>
      </c>
    </row>
    <row r="3115" spans="1:4" x14ac:dyDescent="0.25">
      <c r="A3115" t="s">
        <v>1994</v>
      </c>
      <c r="B3115" t="s">
        <v>1331</v>
      </c>
      <c r="C3115" t="s">
        <v>1117</v>
      </c>
      <c r="D3115">
        <v>49.4</v>
      </c>
    </row>
    <row r="3116" spans="1:4" x14ac:dyDescent="0.25">
      <c r="A3116" t="s">
        <v>1990</v>
      </c>
      <c r="B3116" t="s">
        <v>1331</v>
      </c>
      <c r="C3116" t="s">
        <v>1117</v>
      </c>
      <c r="D3116">
        <v>364.4</v>
      </c>
    </row>
    <row r="3117" spans="1:4" x14ac:dyDescent="0.25">
      <c r="A3117" t="s">
        <v>1988</v>
      </c>
      <c r="B3117" t="s">
        <v>1330</v>
      </c>
      <c r="C3117" t="s">
        <v>1117</v>
      </c>
      <c r="D3117">
        <v>254.15</v>
      </c>
    </row>
    <row r="3118" spans="1:4" x14ac:dyDescent="0.25">
      <c r="A3118" t="s">
        <v>1927</v>
      </c>
      <c r="B3118" t="s">
        <v>1331</v>
      </c>
      <c r="C3118" t="s">
        <v>1117</v>
      </c>
      <c r="D3118">
        <v>7.7</v>
      </c>
    </row>
    <row r="3119" spans="1:4" x14ac:dyDescent="0.25">
      <c r="A3119" t="s">
        <v>2012</v>
      </c>
      <c r="B3119" t="s">
        <v>1333</v>
      </c>
      <c r="C3119" t="s">
        <v>1117</v>
      </c>
      <c r="D3119">
        <v>7.7</v>
      </c>
    </row>
    <row r="3120" spans="1:4" x14ac:dyDescent="0.25">
      <c r="A3120" t="s">
        <v>2017</v>
      </c>
      <c r="B3120" t="s">
        <v>1331</v>
      </c>
      <c r="C3120" t="s">
        <v>1117</v>
      </c>
      <c r="D3120">
        <v>20.100000000000001</v>
      </c>
    </row>
    <row r="3121" spans="1:4" x14ac:dyDescent="0.25">
      <c r="A3121" t="s">
        <v>2013</v>
      </c>
      <c r="B3121" t="s">
        <v>1333</v>
      </c>
      <c r="C3121" t="s">
        <v>1117</v>
      </c>
      <c r="D3121">
        <v>7.7</v>
      </c>
    </row>
    <row r="3122" spans="1:4" x14ac:dyDescent="0.25">
      <c r="A3122" t="s">
        <v>2043</v>
      </c>
      <c r="B3122" t="s">
        <v>1334</v>
      </c>
      <c r="C3122" t="s">
        <v>1117</v>
      </c>
      <c r="D3122">
        <v>23.1</v>
      </c>
    </row>
    <row r="3123" spans="1:4" x14ac:dyDescent="0.25">
      <c r="A3123" t="s">
        <v>1972</v>
      </c>
      <c r="B3123" t="s">
        <v>1334</v>
      </c>
      <c r="C3123" t="s">
        <v>1117</v>
      </c>
      <c r="D3123">
        <v>49.9</v>
      </c>
    </row>
    <row r="3124" spans="1:4" x14ac:dyDescent="0.25">
      <c r="A3124" t="s">
        <v>1923</v>
      </c>
      <c r="B3124" t="s">
        <v>1331</v>
      </c>
      <c r="C3124" t="s">
        <v>1117</v>
      </c>
      <c r="D3124">
        <v>7</v>
      </c>
    </row>
    <row r="3125" spans="1:4" x14ac:dyDescent="0.25">
      <c r="A3125" t="s">
        <v>1997</v>
      </c>
      <c r="B3125" t="s">
        <v>1331</v>
      </c>
      <c r="C3125" t="s">
        <v>1117</v>
      </c>
      <c r="D3125">
        <v>14.4</v>
      </c>
    </row>
    <row r="3126" spans="1:4" x14ac:dyDescent="0.25">
      <c r="A3126" t="s">
        <v>1979</v>
      </c>
      <c r="B3126" t="s">
        <v>1331</v>
      </c>
      <c r="C3126" t="s">
        <v>1117</v>
      </c>
      <c r="D3126">
        <v>10.7</v>
      </c>
    </row>
    <row r="3127" spans="1:4" x14ac:dyDescent="0.25">
      <c r="A3127" t="s">
        <v>1962</v>
      </c>
      <c r="B3127" t="s">
        <v>1331</v>
      </c>
      <c r="C3127" t="s">
        <v>1117</v>
      </c>
      <c r="D3127">
        <v>0.7</v>
      </c>
    </row>
    <row r="3128" spans="1:4" x14ac:dyDescent="0.25">
      <c r="A3128" t="s">
        <v>1911</v>
      </c>
      <c r="B3128" t="s">
        <v>1335</v>
      </c>
      <c r="C3128" t="s">
        <v>1117</v>
      </c>
      <c r="D3128">
        <v>3.7</v>
      </c>
    </row>
    <row r="3129" spans="1:4" x14ac:dyDescent="0.25">
      <c r="A3129" t="s">
        <v>2027</v>
      </c>
      <c r="B3129" t="s">
        <v>1334</v>
      </c>
      <c r="C3129" t="s">
        <v>1117</v>
      </c>
      <c r="D3129">
        <v>3</v>
      </c>
    </row>
    <row r="3130" spans="1:4" x14ac:dyDescent="0.25">
      <c r="A3130" t="s">
        <v>1998</v>
      </c>
      <c r="B3130" t="s">
        <v>1331</v>
      </c>
      <c r="C3130" t="s">
        <v>1117</v>
      </c>
      <c r="D3130">
        <v>77</v>
      </c>
    </row>
    <row r="3131" spans="1:4" x14ac:dyDescent="0.25">
      <c r="A3131" t="s">
        <v>1978</v>
      </c>
      <c r="B3131" t="s">
        <v>1331</v>
      </c>
      <c r="C3131" t="s">
        <v>1117</v>
      </c>
      <c r="D3131">
        <v>7</v>
      </c>
    </row>
    <row r="3132" spans="1:4" x14ac:dyDescent="0.25">
      <c r="A3132" t="s">
        <v>1921</v>
      </c>
      <c r="B3132" t="s">
        <v>1330</v>
      </c>
      <c r="C3132" t="s">
        <v>1122</v>
      </c>
      <c r="D3132">
        <v>125.6</v>
      </c>
    </row>
    <row r="3133" spans="1:4" x14ac:dyDescent="0.25">
      <c r="A3133" t="s">
        <v>1971</v>
      </c>
      <c r="B3133" t="s">
        <v>1330</v>
      </c>
      <c r="C3133" t="s">
        <v>1122</v>
      </c>
      <c r="D3133">
        <v>47.7</v>
      </c>
    </row>
    <row r="3134" spans="1:4" x14ac:dyDescent="0.25">
      <c r="A3134" t="s">
        <v>1968</v>
      </c>
      <c r="B3134" t="s">
        <v>1330</v>
      </c>
      <c r="C3134" t="s">
        <v>1122</v>
      </c>
      <c r="D3134">
        <v>4</v>
      </c>
    </row>
    <row r="3135" spans="1:4" x14ac:dyDescent="0.25">
      <c r="A3135" t="s">
        <v>1913</v>
      </c>
      <c r="B3135" t="s">
        <v>1335</v>
      </c>
      <c r="C3135" t="s">
        <v>1122</v>
      </c>
      <c r="D3135">
        <v>3.85</v>
      </c>
    </row>
    <row r="3136" spans="1:4" x14ac:dyDescent="0.25">
      <c r="A3136" t="s">
        <v>1913</v>
      </c>
      <c r="B3136" t="s">
        <v>1335</v>
      </c>
      <c r="C3136" t="s">
        <v>1126</v>
      </c>
      <c r="D3136">
        <v>7.55</v>
      </c>
    </row>
    <row r="3137" spans="1:4" x14ac:dyDescent="0.25">
      <c r="A3137" t="s">
        <v>1909</v>
      </c>
      <c r="B3137" t="s">
        <v>1335</v>
      </c>
      <c r="C3137" t="s">
        <v>1126</v>
      </c>
      <c r="D3137">
        <v>8.1999999999999993</v>
      </c>
    </row>
    <row r="3138" spans="1:4" x14ac:dyDescent="0.25">
      <c r="A3138" t="s">
        <v>1971</v>
      </c>
      <c r="B3138" t="s">
        <v>1330</v>
      </c>
      <c r="C3138" t="s">
        <v>1126</v>
      </c>
      <c r="D3138">
        <v>156.5</v>
      </c>
    </row>
    <row r="3139" spans="1:4" x14ac:dyDescent="0.25">
      <c r="A3139" t="s">
        <v>1962</v>
      </c>
      <c r="B3139" t="s">
        <v>1331</v>
      </c>
      <c r="C3139" t="s">
        <v>1126</v>
      </c>
      <c r="D3139">
        <v>459.9</v>
      </c>
    </row>
    <row r="3140" spans="1:4" x14ac:dyDescent="0.25">
      <c r="A3140" t="s">
        <v>1980</v>
      </c>
      <c r="B3140" t="s">
        <v>1331</v>
      </c>
      <c r="C3140" t="s">
        <v>1126</v>
      </c>
      <c r="D3140">
        <v>301</v>
      </c>
    </row>
    <row r="3141" spans="1:4" x14ac:dyDescent="0.25">
      <c r="A3141" t="s">
        <v>1987</v>
      </c>
      <c r="B3141" t="s">
        <v>1331</v>
      </c>
      <c r="C3141" t="s">
        <v>1126</v>
      </c>
      <c r="D3141">
        <v>385.5</v>
      </c>
    </row>
    <row r="3142" spans="1:4" x14ac:dyDescent="0.25">
      <c r="A3142" t="s">
        <v>1995</v>
      </c>
      <c r="B3142" t="s">
        <v>1330</v>
      </c>
      <c r="C3142" t="s">
        <v>1126</v>
      </c>
      <c r="D3142">
        <v>31.13</v>
      </c>
    </row>
    <row r="3143" spans="1:4" x14ac:dyDescent="0.25">
      <c r="A3143" t="s">
        <v>1923</v>
      </c>
      <c r="B3143" t="s">
        <v>1331</v>
      </c>
      <c r="C3143" t="s">
        <v>1126</v>
      </c>
      <c r="D3143">
        <v>20.7</v>
      </c>
    </row>
    <row r="3144" spans="1:4" x14ac:dyDescent="0.25">
      <c r="A3144" t="s">
        <v>1907</v>
      </c>
      <c r="B3144" t="s">
        <v>1335</v>
      </c>
      <c r="C3144" t="s">
        <v>1126</v>
      </c>
      <c r="D3144">
        <v>36.700000000000003</v>
      </c>
    </row>
    <row r="3145" spans="1:4" x14ac:dyDescent="0.25">
      <c r="A3145" t="s">
        <v>2004</v>
      </c>
      <c r="B3145" t="s">
        <v>1331</v>
      </c>
      <c r="C3145" t="s">
        <v>1126</v>
      </c>
      <c r="D3145">
        <v>15.4</v>
      </c>
    </row>
    <row r="3146" spans="1:4" x14ac:dyDescent="0.25">
      <c r="A3146" t="s">
        <v>1988</v>
      </c>
      <c r="B3146" t="s">
        <v>1330</v>
      </c>
      <c r="C3146" t="s">
        <v>1126</v>
      </c>
      <c r="D3146">
        <v>3.5</v>
      </c>
    </row>
    <row r="3147" spans="1:4" x14ac:dyDescent="0.25">
      <c r="A3147" t="s">
        <v>2002</v>
      </c>
      <c r="B3147" t="s">
        <v>1331</v>
      </c>
      <c r="C3147" t="s">
        <v>1126</v>
      </c>
      <c r="D3147">
        <v>23.1</v>
      </c>
    </row>
    <row r="3148" spans="1:4" x14ac:dyDescent="0.25">
      <c r="A3148" t="s">
        <v>1927</v>
      </c>
      <c r="B3148" t="s">
        <v>1331</v>
      </c>
      <c r="C3148" t="s">
        <v>1126</v>
      </c>
      <c r="D3148">
        <v>53.9</v>
      </c>
    </row>
    <row r="3149" spans="1:4" x14ac:dyDescent="0.25">
      <c r="A3149" t="s">
        <v>2003</v>
      </c>
      <c r="B3149" t="s">
        <v>1331</v>
      </c>
      <c r="C3149" t="s">
        <v>1126</v>
      </c>
      <c r="D3149">
        <v>9.6999999999999993</v>
      </c>
    </row>
    <row r="3150" spans="1:4" x14ac:dyDescent="0.25">
      <c r="A3150" t="s">
        <v>1994</v>
      </c>
      <c r="B3150" t="s">
        <v>1331</v>
      </c>
      <c r="C3150" t="s">
        <v>1126</v>
      </c>
      <c r="D3150">
        <v>476.95</v>
      </c>
    </row>
    <row r="3151" spans="1:4" x14ac:dyDescent="0.25">
      <c r="A3151" t="s">
        <v>1921</v>
      </c>
      <c r="B3151" t="s">
        <v>1330</v>
      </c>
      <c r="C3151" t="s">
        <v>1126</v>
      </c>
      <c r="D3151">
        <v>126.4</v>
      </c>
    </row>
    <row r="3152" spans="1:4" x14ac:dyDescent="0.25">
      <c r="A3152" t="s">
        <v>2005</v>
      </c>
      <c r="B3152" t="s">
        <v>1331</v>
      </c>
      <c r="C3152" t="s">
        <v>1126</v>
      </c>
      <c r="D3152">
        <v>69.3</v>
      </c>
    </row>
    <row r="3153" spans="1:4" x14ac:dyDescent="0.25">
      <c r="A3153" t="s">
        <v>1968</v>
      </c>
      <c r="B3153" t="s">
        <v>1330</v>
      </c>
      <c r="C3153" t="s">
        <v>1126</v>
      </c>
      <c r="D3153">
        <v>308</v>
      </c>
    </row>
    <row r="3154" spans="1:4" x14ac:dyDescent="0.25">
      <c r="A3154" t="s">
        <v>1945</v>
      </c>
      <c r="B3154" t="s">
        <v>1331</v>
      </c>
      <c r="C3154" t="s">
        <v>1126</v>
      </c>
      <c r="D3154">
        <v>4</v>
      </c>
    </row>
    <row r="3155" spans="1:4" x14ac:dyDescent="0.25">
      <c r="A3155" t="s">
        <v>2051</v>
      </c>
      <c r="B3155" t="s">
        <v>1335</v>
      </c>
      <c r="C3155" t="s">
        <v>1131</v>
      </c>
      <c r="D3155">
        <v>204.8</v>
      </c>
    </row>
    <row r="3156" spans="1:4" x14ac:dyDescent="0.25">
      <c r="A3156" t="s">
        <v>1999</v>
      </c>
      <c r="B3156" t="s">
        <v>1331</v>
      </c>
      <c r="C3156" t="s">
        <v>1131</v>
      </c>
      <c r="D3156">
        <v>900.7</v>
      </c>
    </row>
    <row r="3157" spans="1:4" x14ac:dyDescent="0.25">
      <c r="A3157" t="s">
        <v>2052</v>
      </c>
      <c r="B3157" t="s">
        <v>1335</v>
      </c>
      <c r="C3157" t="s">
        <v>1131</v>
      </c>
      <c r="D3157">
        <v>177.1</v>
      </c>
    </row>
    <row r="3158" spans="1:4" x14ac:dyDescent="0.25">
      <c r="A3158" t="s">
        <v>2053</v>
      </c>
      <c r="B3158" t="s">
        <v>1335</v>
      </c>
      <c r="C3158" t="s">
        <v>1131</v>
      </c>
      <c r="D3158">
        <v>15.4</v>
      </c>
    </row>
    <row r="3159" spans="1:4" x14ac:dyDescent="0.25">
      <c r="A3159" t="s">
        <v>2054</v>
      </c>
      <c r="B3159" t="s">
        <v>1335</v>
      </c>
      <c r="C3159" t="s">
        <v>1131</v>
      </c>
      <c r="D3159">
        <v>15.4</v>
      </c>
    </row>
    <row r="3160" spans="1:4" x14ac:dyDescent="0.25">
      <c r="A3160" t="s">
        <v>1925</v>
      </c>
      <c r="B3160" t="s">
        <v>1333</v>
      </c>
      <c r="C3160" t="s">
        <v>1131</v>
      </c>
      <c r="D3160">
        <v>3.85</v>
      </c>
    </row>
    <row r="3161" spans="1:4" x14ac:dyDescent="0.25">
      <c r="A3161" t="s">
        <v>1913</v>
      </c>
      <c r="B3161" t="s">
        <v>1333</v>
      </c>
      <c r="C3161" t="s">
        <v>1131</v>
      </c>
      <c r="D3161">
        <v>0.8</v>
      </c>
    </row>
    <row r="3162" spans="1:4" x14ac:dyDescent="0.25">
      <c r="A3162" t="s">
        <v>1927</v>
      </c>
      <c r="B3162" t="s">
        <v>1331</v>
      </c>
      <c r="C3162" t="s">
        <v>1131</v>
      </c>
      <c r="D3162">
        <v>631.4</v>
      </c>
    </row>
    <row r="3163" spans="1:4" x14ac:dyDescent="0.25">
      <c r="A3163" t="s">
        <v>1921</v>
      </c>
      <c r="B3163" t="s">
        <v>1330</v>
      </c>
      <c r="C3163" t="s">
        <v>1131</v>
      </c>
      <c r="D3163">
        <v>159.69999999999999</v>
      </c>
    </row>
    <row r="3164" spans="1:4" x14ac:dyDescent="0.25">
      <c r="A3164" t="s">
        <v>1968</v>
      </c>
      <c r="B3164" t="s">
        <v>1330</v>
      </c>
      <c r="C3164" t="s">
        <v>1131</v>
      </c>
      <c r="D3164">
        <v>179.75</v>
      </c>
    </row>
    <row r="3165" spans="1:4" x14ac:dyDescent="0.25">
      <c r="A3165" t="s">
        <v>1911</v>
      </c>
      <c r="B3165" t="s">
        <v>1335</v>
      </c>
      <c r="C3165" t="s">
        <v>1131</v>
      </c>
      <c r="D3165">
        <v>2</v>
      </c>
    </row>
    <row r="3166" spans="1:4" x14ac:dyDescent="0.25">
      <c r="A3166" t="s">
        <v>1918</v>
      </c>
      <c r="B3166" t="s">
        <v>1335</v>
      </c>
      <c r="C3166" t="s">
        <v>1131</v>
      </c>
      <c r="D3166">
        <v>8.6999999999999993</v>
      </c>
    </row>
    <row r="3167" spans="1:4" x14ac:dyDescent="0.25">
      <c r="A3167" t="s">
        <v>1983</v>
      </c>
      <c r="B3167" t="s">
        <v>1335</v>
      </c>
      <c r="C3167" t="s">
        <v>1131</v>
      </c>
      <c r="D3167">
        <v>3.25</v>
      </c>
    </row>
    <row r="3168" spans="1:4" x14ac:dyDescent="0.25">
      <c r="A3168" t="s">
        <v>1925</v>
      </c>
      <c r="B3168" t="s">
        <v>1334</v>
      </c>
      <c r="C3168" t="s">
        <v>1131</v>
      </c>
      <c r="D3168">
        <v>3.85</v>
      </c>
    </row>
    <row r="3169" spans="1:4" x14ac:dyDescent="0.25">
      <c r="A3169" t="s">
        <v>1978</v>
      </c>
      <c r="B3169" t="s">
        <v>1335</v>
      </c>
      <c r="C3169" t="s">
        <v>1131</v>
      </c>
      <c r="D3169">
        <v>2.1</v>
      </c>
    </row>
    <row r="3170" spans="1:4" x14ac:dyDescent="0.25">
      <c r="A3170" t="s">
        <v>2055</v>
      </c>
      <c r="B3170" t="s">
        <v>1331</v>
      </c>
      <c r="C3170" t="s">
        <v>1131</v>
      </c>
      <c r="D3170">
        <v>9.4</v>
      </c>
    </row>
    <row r="3171" spans="1:4" x14ac:dyDescent="0.25">
      <c r="A3171" t="s">
        <v>1958</v>
      </c>
      <c r="B3171" t="s">
        <v>1331</v>
      </c>
      <c r="C3171" t="s">
        <v>1131</v>
      </c>
      <c r="D3171">
        <v>52.75</v>
      </c>
    </row>
    <row r="3172" spans="1:4" x14ac:dyDescent="0.25">
      <c r="A3172" t="s">
        <v>1990</v>
      </c>
      <c r="B3172" t="s">
        <v>1331</v>
      </c>
      <c r="C3172" t="s">
        <v>1131</v>
      </c>
      <c r="D3172">
        <v>396.8</v>
      </c>
    </row>
    <row r="3173" spans="1:4" x14ac:dyDescent="0.25">
      <c r="A3173" t="s">
        <v>1913</v>
      </c>
      <c r="B3173" t="s">
        <v>1335</v>
      </c>
      <c r="C3173" t="s">
        <v>1131</v>
      </c>
      <c r="D3173">
        <v>33.549999999999997</v>
      </c>
    </row>
    <row r="3174" spans="1:4" x14ac:dyDescent="0.25">
      <c r="A3174" t="s">
        <v>1950</v>
      </c>
      <c r="B3174" t="s">
        <v>1331</v>
      </c>
      <c r="C3174" t="s">
        <v>1131</v>
      </c>
      <c r="D3174">
        <v>58.15</v>
      </c>
    </row>
    <row r="3175" spans="1:4" x14ac:dyDescent="0.25">
      <c r="A3175" t="s">
        <v>1997</v>
      </c>
      <c r="B3175" t="s">
        <v>1331</v>
      </c>
      <c r="C3175" t="s">
        <v>1131</v>
      </c>
      <c r="D3175">
        <v>1</v>
      </c>
    </row>
    <row r="3176" spans="1:4" x14ac:dyDescent="0.25">
      <c r="A3176" t="s">
        <v>1971</v>
      </c>
      <c r="B3176" t="s">
        <v>1335</v>
      </c>
      <c r="C3176" t="s">
        <v>1131</v>
      </c>
      <c r="D3176">
        <v>8.5</v>
      </c>
    </row>
    <row r="3177" spans="1:4" x14ac:dyDescent="0.25">
      <c r="A3177" t="s">
        <v>1971</v>
      </c>
      <c r="B3177" t="s">
        <v>1330</v>
      </c>
      <c r="C3177" t="s">
        <v>1131</v>
      </c>
      <c r="D3177">
        <v>30.5</v>
      </c>
    </row>
    <row r="3178" spans="1:4" x14ac:dyDescent="0.25">
      <c r="A3178" t="s">
        <v>1925</v>
      </c>
      <c r="B3178" t="s">
        <v>1331</v>
      </c>
      <c r="C3178" t="s">
        <v>1131</v>
      </c>
      <c r="D3178">
        <v>1296.75</v>
      </c>
    </row>
    <row r="3179" spans="1:4" x14ac:dyDescent="0.25">
      <c r="A3179" t="s">
        <v>1968</v>
      </c>
      <c r="B3179" t="s">
        <v>1331</v>
      </c>
      <c r="C3179" t="s">
        <v>1131</v>
      </c>
      <c r="D3179">
        <v>8</v>
      </c>
    </row>
    <row r="3180" spans="1:4" x14ac:dyDescent="0.25">
      <c r="A3180" t="s">
        <v>1962</v>
      </c>
      <c r="B3180" t="s">
        <v>1331</v>
      </c>
      <c r="C3180" t="s">
        <v>1131</v>
      </c>
      <c r="D3180">
        <v>89.8</v>
      </c>
    </row>
    <row r="3181" spans="1:4" x14ac:dyDescent="0.25">
      <c r="A3181" t="s">
        <v>2056</v>
      </c>
      <c r="B3181" t="s">
        <v>1335</v>
      </c>
      <c r="C3181" t="s">
        <v>1131</v>
      </c>
      <c r="D3181">
        <v>281.89999999999998</v>
      </c>
    </row>
    <row r="3182" spans="1:4" x14ac:dyDescent="0.25">
      <c r="A3182" t="s">
        <v>1927</v>
      </c>
      <c r="B3182" t="s">
        <v>1330</v>
      </c>
      <c r="C3182" t="s">
        <v>1131</v>
      </c>
      <c r="D3182">
        <v>256.95</v>
      </c>
    </row>
    <row r="3183" spans="1:4" x14ac:dyDescent="0.25">
      <c r="A3183" t="s">
        <v>1907</v>
      </c>
      <c r="B3183" t="s">
        <v>1335</v>
      </c>
      <c r="C3183" t="s">
        <v>1131</v>
      </c>
      <c r="D3183">
        <v>11.4</v>
      </c>
    </row>
    <row r="3184" spans="1:4" x14ac:dyDescent="0.25">
      <c r="A3184" t="s">
        <v>2046</v>
      </c>
      <c r="B3184" t="s">
        <v>1335</v>
      </c>
      <c r="C3184" t="s">
        <v>1131</v>
      </c>
      <c r="D3184">
        <v>0</v>
      </c>
    </row>
    <row r="3185" spans="1:4" x14ac:dyDescent="0.25">
      <c r="A3185" t="s">
        <v>2057</v>
      </c>
      <c r="B3185" t="s">
        <v>1335</v>
      </c>
      <c r="C3185" t="s">
        <v>1131</v>
      </c>
      <c r="D3185">
        <v>0</v>
      </c>
    </row>
    <row r="3186" spans="1:4" x14ac:dyDescent="0.25">
      <c r="A3186" t="s">
        <v>1980</v>
      </c>
      <c r="B3186" t="s">
        <v>1331</v>
      </c>
      <c r="C3186" t="s">
        <v>1131</v>
      </c>
      <c r="D3186">
        <v>15.4</v>
      </c>
    </row>
    <row r="3187" spans="1:4" x14ac:dyDescent="0.25">
      <c r="A3187" t="s">
        <v>1914</v>
      </c>
      <c r="B3187" t="s">
        <v>1335</v>
      </c>
      <c r="C3187" t="s">
        <v>1131</v>
      </c>
      <c r="D3187">
        <v>25.9</v>
      </c>
    </row>
    <row r="3188" spans="1:4" x14ac:dyDescent="0.25">
      <c r="A3188" t="s">
        <v>2058</v>
      </c>
      <c r="B3188" t="s">
        <v>1335</v>
      </c>
      <c r="C3188" t="s">
        <v>1131</v>
      </c>
      <c r="D3188">
        <v>88.55</v>
      </c>
    </row>
    <row r="3189" spans="1:4" x14ac:dyDescent="0.25">
      <c r="A3189" t="s">
        <v>2006</v>
      </c>
      <c r="B3189" t="s">
        <v>1331</v>
      </c>
      <c r="C3189" t="s">
        <v>1131</v>
      </c>
      <c r="D3189">
        <v>5552.1</v>
      </c>
    </row>
    <row r="3190" spans="1:4" x14ac:dyDescent="0.25">
      <c r="A3190" t="s">
        <v>2059</v>
      </c>
      <c r="B3190" t="s">
        <v>1335</v>
      </c>
      <c r="C3190" t="s">
        <v>1131</v>
      </c>
      <c r="D3190">
        <v>390.6</v>
      </c>
    </row>
    <row r="3191" spans="1:4" x14ac:dyDescent="0.25">
      <c r="A3191" t="s">
        <v>1909</v>
      </c>
      <c r="B3191" t="s">
        <v>1335</v>
      </c>
      <c r="C3191" t="s">
        <v>1131</v>
      </c>
      <c r="D3191">
        <v>1</v>
      </c>
    </row>
    <row r="3192" spans="1:4" x14ac:dyDescent="0.25">
      <c r="A3192" t="s">
        <v>2060</v>
      </c>
      <c r="B3192" t="s">
        <v>1335</v>
      </c>
      <c r="C3192" t="s">
        <v>1131</v>
      </c>
      <c r="D3192">
        <v>197.9</v>
      </c>
    </row>
    <row r="3193" spans="1:4" x14ac:dyDescent="0.25">
      <c r="A3193" t="s">
        <v>1945</v>
      </c>
      <c r="B3193" t="s">
        <v>1331</v>
      </c>
      <c r="C3193" t="s">
        <v>1131</v>
      </c>
      <c r="D3193">
        <v>6</v>
      </c>
    </row>
    <row r="3194" spans="1:4" x14ac:dyDescent="0.25">
      <c r="A3194" t="s">
        <v>2017</v>
      </c>
      <c r="B3194" t="s">
        <v>1331</v>
      </c>
      <c r="C3194" t="s">
        <v>1131</v>
      </c>
      <c r="D3194">
        <v>133.30000000000001</v>
      </c>
    </row>
    <row r="3195" spans="1:4" x14ac:dyDescent="0.25">
      <c r="A3195" t="s">
        <v>1990</v>
      </c>
      <c r="B3195" t="s">
        <v>1331</v>
      </c>
      <c r="C3195" t="s">
        <v>1135</v>
      </c>
      <c r="D3195">
        <v>276</v>
      </c>
    </row>
    <row r="3196" spans="1:4" x14ac:dyDescent="0.25">
      <c r="A3196" t="s">
        <v>1980</v>
      </c>
      <c r="B3196" t="s">
        <v>1331</v>
      </c>
      <c r="C3196" t="s">
        <v>1135</v>
      </c>
      <c r="D3196">
        <v>5</v>
      </c>
    </row>
    <row r="3197" spans="1:4" x14ac:dyDescent="0.25">
      <c r="A3197" t="s">
        <v>1907</v>
      </c>
      <c r="B3197" t="s">
        <v>1335</v>
      </c>
      <c r="C3197" t="s">
        <v>1135</v>
      </c>
      <c r="D3197">
        <v>6.4</v>
      </c>
    </row>
    <row r="3198" spans="1:4" x14ac:dyDescent="0.25">
      <c r="A3198" t="s">
        <v>1958</v>
      </c>
      <c r="B3198" t="s">
        <v>1331</v>
      </c>
      <c r="C3198" t="s">
        <v>1135</v>
      </c>
      <c r="D3198">
        <v>2</v>
      </c>
    </row>
    <row r="3199" spans="1:4" x14ac:dyDescent="0.25">
      <c r="A3199" t="s">
        <v>1913</v>
      </c>
      <c r="B3199" t="s">
        <v>1335</v>
      </c>
      <c r="C3199" t="s">
        <v>1135</v>
      </c>
      <c r="D3199">
        <v>9.75</v>
      </c>
    </row>
    <row r="3200" spans="1:4" x14ac:dyDescent="0.25">
      <c r="A3200" t="s">
        <v>2033</v>
      </c>
      <c r="B3200" t="s">
        <v>1334</v>
      </c>
      <c r="C3200" t="s">
        <v>1135</v>
      </c>
      <c r="D3200">
        <v>2</v>
      </c>
    </row>
    <row r="3201" spans="1:4" x14ac:dyDescent="0.25">
      <c r="A3201" t="s">
        <v>1978</v>
      </c>
      <c r="B3201" t="s">
        <v>1335</v>
      </c>
      <c r="C3201" t="s">
        <v>1135</v>
      </c>
      <c r="D3201">
        <v>199.45</v>
      </c>
    </row>
    <row r="3202" spans="1:4" x14ac:dyDescent="0.25">
      <c r="A3202" t="s">
        <v>1918</v>
      </c>
      <c r="B3202" t="s">
        <v>1335</v>
      </c>
      <c r="C3202" t="s">
        <v>1135</v>
      </c>
      <c r="D3202">
        <v>15</v>
      </c>
    </row>
    <row r="3203" spans="1:4" x14ac:dyDescent="0.25">
      <c r="A3203" t="s">
        <v>1911</v>
      </c>
      <c r="B3203" t="s">
        <v>1335</v>
      </c>
      <c r="C3203" t="s">
        <v>1135</v>
      </c>
      <c r="D3203">
        <v>0.5</v>
      </c>
    </row>
    <row r="3204" spans="1:4" x14ac:dyDescent="0.25">
      <c r="A3204" t="s">
        <v>1998</v>
      </c>
      <c r="B3204" t="s">
        <v>1330</v>
      </c>
      <c r="C3204" t="s">
        <v>1135</v>
      </c>
      <c r="D3204">
        <v>23.1</v>
      </c>
    </row>
    <row r="3205" spans="1:4" x14ac:dyDescent="0.25">
      <c r="A3205" t="s">
        <v>1909</v>
      </c>
      <c r="B3205" t="s">
        <v>1335</v>
      </c>
      <c r="C3205" t="s">
        <v>1135</v>
      </c>
      <c r="D3205">
        <v>45.5</v>
      </c>
    </row>
    <row r="3206" spans="1:4" x14ac:dyDescent="0.25">
      <c r="A3206" t="s">
        <v>1950</v>
      </c>
      <c r="B3206" t="s">
        <v>1331</v>
      </c>
      <c r="C3206" t="s">
        <v>1135</v>
      </c>
      <c r="D3206">
        <v>35.799999999999997</v>
      </c>
    </row>
    <row r="3207" spans="1:4" x14ac:dyDescent="0.25">
      <c r="A3207" t="s">
        <v>1988</v>
      </c>
      <c r="B3207" t="s">
        <v>1330</v>
      </c>
      <c r="C3207" t="s">
        <v>1135</v>
      </c>
      <c r="D3207">
        <v>28.8</v>
      </c>
    </row>
    <row r="3208" spans="1:4" x14ac:dyDescent="0.25">
      <c r="A3208" t="s">
        <v>1992</v>
      </c>
      <c r="B3208" t="s">
        <v>1335</v>
      </c>
      <c r="C3208" t="s">
        <v>1135</v>
      </c>
      <c r="D3208">
        <v>22.8</v>
      </c>
    </row>
    <row r="3209" spans="1:4" x14ac:dyDescent="0.25">
      <c r="A3209" t="s">
        <v>1968</v>
      </c>
      <c r="B3209" t="s">
        <v>1330</v>
      </c>
      <c r="C3209" t="s">
        <v>1135</v>
      </c>
      <c r="D3209">
        <v>25.7</v>
      </c>
    </row>
    <row r="3210" spans="1:4" x14ac:dyDescent="0.25">
      <c r="A3210" t="s">
        <v>1998</v>
      </c>
      <c r="B3210" t="s">
        <v>1331</v>
      </c>
      <c r="C3210" t="s">
        <v>1135</v>
      </c>
      <c r="D3210">
        <v>61.6</v>
      </c>
    </row>
    <row r="3211" spans="1:4" x14ac:dyDescent="0.25">
      <c r="A3211" t="s">
        <v>1962</v>
      </c>
      <c r="B3211" t="s">
        <v>1331</v>
      </c>
      <c r="C3211" t="s">
        <v>1135</v>
      </c>
      <c r="D3211">
        <v>0.5</v>
      </c>
    </row>
    <row r="3212" spans="1:4" x14ac:dyDescent="0.25">
      <c r="A3212" t="s">
        <v>2010</v>
      </c>
      <c r="B3212" t="s">
        <v>1331</v>
      </c>
      <c r="C3212" t="s">
        <v>1135</v>
      </c>
      <c r="D3212">
        <v>302.39999999999998</v>
      </c>
    </row>
    <row r="3213" spans="1:4" x14ac:dyDescent="0.25">
      <c r="A3213" t="s">
        <v>1955</v>
      </c>
      <c r="B3213" t="s">
        <v>1335</v>
      </c>
      <c r="C3213" t="s">
        <v>1135</v>
      </c>
      <c r="D3213">
        <v>4</v>
      </c>
    </row>
    <row r="3214" spans="1:4" x14ac:dyDescent="0.25">
      <c r="A3214" t="s">
        <v>2003</v>
      </c>
      <c r="B3214" t="s">
        <v>1331</v>
      </c>
      <c r="C3214" t="s">
        <v>1135</v>
      </c>
      <c r="D3214">
        <v>17.399999999999999</v>
      </c>
    </row>
    <row r="3215" spans="1:4" x14ac:dyDescent="0.25">
      <c r="A3215" t="s">
        <v>1907</v>
      </c>
      <c r="B3215" t="s">
        <v>1335</v>
      </c>
      <c r="C3215" t="s">
        <v>1139</v>
      </c>
      <c r="D3215">
        <v>1</v>
      </c>
    </row>
    <row r="3216" spans="1:4" x14ac:dyDescent="0.25">
      <c r="A3216" t="s">
        <v>1958</v>
      </c>
      <c r="B3216" t="s">
        <v>1331</v>
      </c>
      <c r="C3216" t="s">
        <v>1139</v>
      </c>
      <c r="D3216">
        <v>4</v>
      </c>
    </row>
    <row r="3217" spans="1:4" x14ac:dyDescent="0.25">
      <c r="A3217" t="s">
        <v>1972</v>
      </c>
      <c r="B3217" t="s">
        <v>1334</v>
      </c>
      <c r="C3217" t="s">
        <v>1139</v>
      </c>
      <c r="D3217">
        <v>31.4</v>
      </c>
    </row>
    <row r="3218" spans="1:4" x14ac:dyDescent="0.25">
      <c r="A3218" t="s">
        <v>1921</v>
      </c>
      <c r="B3218" t="s">
        <v>1330</v>
      </c>
      <c r="C3218" t="s">
        <v>1139</v>
      </c>
      <c r="D3218">
        <v>57.6</v>
      </c>
    </row>
    <row r="3219" spans="1:4" x14ac:dyDescent="0.25">
      <c r="A3219" t="s">
        <v>1971</v>
      </c>
      <c r="B3219" t="s">
        <v>1330</v>
      </c>
      <c r="C3219" t="s">
        <v>1139</v>
      </c>
      <c r="D3219">
        <v>34.1</v>
      </c>
    </row>
    <row r="3220" spans="1:4" x14ac:dyDescent="0.25">
      <c r="A3220" t="s">
        <v>1996</v>
      </c>
      <c r="B3220" t="s">
        <v>1335</v>
      </c>
      <c r="C3220" t="s">
        <v>1139</v>
      </c>
      <c r="D3220">
        <v>35.4</v>
      </c>
    </row>
    <row r="3221" spans="1:4" x14ac:dyDescent="0.25">
      <c r="A3221" t="s">
        <v>1962</v>
      </c>
      <c r="B3221" t="s">
        <v>1331</v>
      </c>
      <c r="C3221" t="s">
        <v>1139</v>
      </c>
      <c r="D3221">
        <v>98.6</v>
      </c>
    </row>
    <row r="3222" spans="1:4" x14ac:dyDescent="0.25">
      <c r="A3222" t="s">
        <v>1978</v>
      </c>
      <c r="B3222" t="s">
        <v>1335</v>
      </c>
      <c r="C3222" t="s">
        <v>1139</v>
      </c>
      <c r="D3222">
        <v>58.6</v>
      </c>
    </row>
    <row r="3223" spans="1:4" x14ac:dyDescent="0.25">
      <c r="A3223" t="s">
        <v>1911</v>
      </c>
      <c r="B3223" t="s">
        <v>1335</v>
      </c>
      <c r="C3223" t="s">
        <v>1139</v>
      </c>
      <c r="D3223">
        <v>15.25</v>
      </c>
    </row>
    <row r="3224" spans="1:4" x14ac:dyDescent="0.25">
      <c r="A3224" t="s">
        <v>1968</v>
      </c>
      <c r="B3224" t="s">
        <v>1330</v>
      </c>
      <c r="C3224" t="s">
        <v>1139</v>
      </c>
      <c r="D3224">
        <v>12.2</v>
      </c>
    </row>
    <row r="3225" spans="1:4" x14ac:dyDescent="0.25">
      <c r="A3225" t="s">
        <v>1990</v>
      </c>
      <c r="B3225" t="s">
        <v>1331</v>
      </c>
      <c r="C3225" t="s">
        <v>1139</v>
      </c>
      <c r="D3225">
        <v>28.4</v>
      </c>
    </row>
    <row r="3226" spans="1:4" x14ac:dyDescent="0.25">
      <c r="A3226" t="s">
        <v>1988</v>
      </c>
      <c r="B3226" t="s">
        <v>1330</v>
      </c>
      <c r="C3226" t="s">
        <v>1139</v>
      </c>
      <c r="D3226">
        <v>5.6</v>
      </c>
    </row>
    <row r="3227" spans="1:4" x14ac:dyDescent="0.25">
      <c r="A3227" t="s">
        <v>1988</v>
      </c>
      <c r="B3227" t="s">
        <v>1334</v>
      </c>
      <c r="C3227" t="s">
        <v>1139</v>
      </c>
      <c r="D3227">
        <v>0</v>
      </c>
    </row>
    <row r="3228" spans="1:4" x14ac:dyDescent="0.25">
      <c r="A3228" t="s">
        <v>1921</v>
      </c>
      <c r="B3228" t="s">
        <v>1330</v>
      </c>
      <c r="C3228" t="s">
        <v>1143</v>
      </c>
      <c r="D3228">
        <v>213</v>
      </c>
    </row>
    <row r="3229" spans="1:4" x14ac:dyDescent="0.25">
      <c r="A3229" t="s">
        <v>1913</v>
      </c>
      <c r="B3229" t="s">
        <v>1335</v>
      </c>
      <c r="C3229" t="s">
        <v>1143</v>
      </c>
      <c r="D3229">
        <v>6.9</v>
      </c>
    </row>
    <row r="3230" spans="1:4" x14ac:dyDescent="0.25">
      <c r="A3230" t="s">
        <v>1968</v>
      </c>
      <c r="B3230" t="s">
        <v>1330</v>
      </c>
      <c r="C3230" t="s">
        <v>1143</v>
      </c>
      <c r="D3230">
        <v>3.5</v>
      </c>
    </row>
    <row r="3231" spans="1:4" x14ac:dyDescent="0.25">
      <c r="A3231" t="s">
        <v>1989</v>
      </c>
      <c r="B3231" t="s">
        <v>1331</v>
      </c>
      <c r="C3231" t="s">
        <v>1143</v>
      </c>
      <c r="D3231">
        <v>815.05</v>
      </c>
    </row>
    <row r="3232" spans="1:4" x14ac:dyDescent="0.25">
      <c r="A3232" t="s">
        <v>1988</v>
      </c>
      <c r="B3232" t="s">
        <v>1330</v>
      </c>
      <c r="C3232" t="s">
        <v>1143</v>
      </c>
      <c r="D3232">
        <v>5</v>
      </c>
    </row>
    <row r="3233" spans="1:4" x14ac:dyDescent="0.25">
      <c r="A3233" t="s">
        <v>1950</v>
      </c>
      <c r="B3233" t="s">
        <v>1331</v>
      </c>
      <c r="C3233" t="s">
        <v>1143</v>
      </c>
      <c r="D3233">
        <v>14.7</v>
      </c>
    </row>
    <row r="3234" spans="1:4" x14ac:dyDescent="0.25">
      <c r="A3234" t="s">
        <v>1986</v>
      </c>
      <c r="B3234" t="s">
        <v>1331</v>
      </c>
      <c r="C3234" t="s">
        <v>1143</v>
      </c>
      <c r="D3234">
        <v>246.4</v>
      </c>
    </row>
    <row r="3235" spans="1:4" x14ac:dyDescent="0.25">
      <c r="A3235" t="s">
        <v>1945</v>
      </c>
      <c r="B3235" t="s">
        <v>1331</v>
      </c>
      <c r="C3235" t="s">
        <v>1143</v>
      </c>
      <c r="D3235">
        <v>3</v>
      </c>
    </row>
    <row r="3236" spans="1:4" x14ac:dyDescent="0.25">
      <c r="A3236" t="s">
        <v>1995</v>
      </c>
      <c r="B3236" t="s">
        <v>1331</v>
      </c>
      <c r="C3236" t="s">
        <v>1143</v>
      </c>
      <c r="D3236">
        <v>53.2</v>
      </c>
    </row>
    <row r="3237" spans="1:4" x14ac:dyDescent="0.25">
      <c r="A3237" t="s">
        <v>1911</v>
      </c>
      <c r="B3237" t="s">
        <v>1335</v>
      </c>
      <c r="C3237" t="s">
        <v>1143</v>
      </c>
      <c r="D3237">
        <v>1</v>
      </c>
    </row>
    <row r="3238" spans="1:4" x14ac:dyDescent="0.25">
      <c r="A3238" t="s">
        <v>1980</v>
      </c>
      <c r="B3238" t="s">
        <v>1331</v>
      </c>
      <c r="C3238" t="s">
        <v>1143</v>
      </c>
      <c r="D3238">
        <v>0.45</v>
      </c>
    </row>
    <row r="3239" spans="1:4" x14ac:dyDescent="0.25">
      <c r="A3239" t="s">
        <v>1998</v>
      </c>
      <c r="B3239" t="s">
        <v>1331</v>
      </c>
      <c r="C3239" t="s">
        <v>1143</v>
      </c>
      <c r="D3239">
        <v>53.9</v>
      </c>
    </row>
    <row r="3240" spans="1:4" x14ac:dyDescent="0.25">
      <c r="A3240" t="s">
        <v>1995</v>
      </c>
      <c r="B3240" t="s">
        <v>1330</v>
      </c>
      <c r="C3240" t="s">
        <v>1143</v>
      </c>
      <c r="D3240">
        <v>41.3</v>
      </c>
    </row>
    <row r="3241" spans="1:4" x14ac:dyDescent="0.25">
      <c r="A3241" t="s">
        <v>1958</v>
      </c>
      <c r="B3241" t="s">
        <v>1330</v>
      </c>
      <c r="C3241" t="s">
        <v>1143</v>
      </c>
      <c r="D3241">
        <v>1</v>
      </c>
    </row>
    <row r="3242" spans="1:4" x14ac:dyDescent="0.25">
      <c r="A3242" t="s">
        <v>1990</v>
      </c>
      <c r="B3242" t="s">
        <v>1331</v>
      </c>
      <c r="C3242" t="s">
        <v>1143</v>
      </c>
      <c r="D3242">
        <v>84.2</v>
      </c>
    </row>
    <row r="3243" spans="1:4" x14ac:dyDescent="0.25">
      <c r="A3243" t="s">
        <v>1988</v>
      </c>
      <c r="B3243" t="s">
        <v>1330</v>
      </c>
      <c r="C3243" t="s">
        <v>1146</v>
      </c>
      <c r="D3243">
        <v>12.7</v>
      </c>
    </row>
    <row r="3244" spans="1:4" x14ac:dyDescent="0.25">
      <c r="A3244" t="s">
        <v>1980</v>
      </c>
      <c r="B3244" t="s">
        <v>1331</v>
      </c>
      <c r="C3244" t="s">
        <v>1146</v>
      </c>
      <c r="D3244">
        <v>7</v>
      </c>
    </row>
    <row r="3245" spans="1:4" x14ac:dyDescent="0.25">
      <c r="A3245" t="s">
        <v>1927</v>
      </c>
      <c r="B3245" t="s">
        <v>1331</v>
      </c>
      <c r="C3245" t="s">
        <v>1146</v>
      </c>
      <c r="D3245">
        <v>3.85</v>
      </c>
    </row>
    <row r="3246" spans="1:4" x14ac:dyDescent="0.25">
      <c r="A3246" t="s">
        <v>1968</v>
      </c>
      <c r="B3246" t="s">
        <v>1330</v>
      </c>
      <c r="C3246" t="s">
        <v>1146</v>
      </c>
      <c r="D3246">
        <v>5.5</v>
      </c>
    </row>
    <row r="3247" spans="1:4" x14ac:dyDescent="0.25">
      <c r="A3247" t="s">
        <v>1986</v>
      </c>
      <c r="B3247" t="s">
        <v>1331</v>
      </c>
      <c r="C3247" t="s">
        <v>1146</v>
      </c>
      <c r="D3247">
        <v>2</v>
      </c>
    </row>
    <row r="3248" spans="1:4" x14ac:dyDescent="0.25">
      <c r="A3248" t="s">
        <v>1945</v>
      </c>
      <c r="B3248" t="s">
        <v>1331</v>
      </c>
      <c r="C3248" t="s">
        <v>1146</v>
      </c>
      <c r="D3248">
        <v>4</v>
      </c>
    </row>
    <row r="3249" spans="1:4" x14ac:dyDescent="0.25">
      <c r="A3249" t="s">
        <v>1909</v>
      </c>
      <c r="B3249" t="s">
        <v>1335</v>
      </c>
      <c r="C3249" t="s">
        <v>1146</v>
      </c>
      <c r="D3249">
        <v>5.3</v>
      </c>
    </row>
    <row r="3250" spans="1:4" x14ac:dyDescent="0.25">
      <c r="A3250" t="s">
        <v>2005</v>
      </c>
      <c r="B3250" t="s">
        <v>1331</v>
      </c>
      <c r="C3250" t="s">
        <v>1146</v>
      </c>
      <c r="D3250">
        <v>15.4</v>
      </c>
    </row>
    <row r="3251" spans="1:4" x14ac:dyDescent="0.25">
      <c r="A3251" t="s">
        <v>1999</v>
      </c>
      <c r="B3251" t="s">
        <v>1331</v>
      </c>
      <c r="C3251" t="s">
        <v>1146</v>
      </c>
      <c r="D3251">
        <v>561.79999999999995</v>
      </c>
    </row>
    <row r="3252" spans="1:4" x14ac:dyDescent="0.25">
      <c r="A3252" t="s">
        <v>1913</v>
      </c>
      <c r="B3252" t="s">
        <v>1335</v>
      </c>
      <c r="C3252" t="s">
        <v>1146</v>
      </c>
      <c r="D3252">
        <v>12.19</v>
      </c>
    </row>
    <row r="3253" spans="1:4" x14ac:dyDescent="0.25">
      <c r="A3253" t="s">
        <v>2061</v>
      </c>
      <c r="B3253" t="s">
        <v>1331</v>
      </c>
      <c r="C3253" t="s">
        <v>1146</v>
      </c>
      <c r="D3253">
        <v>0</v>
      </c>
    </row>
    <row r="3254" spans="1:4" x14ac:dyDescent="0.25">
      <c r="A3254" t="s">
        <v>1921</v>
      </c>
      <c r="B3254" t="s">
        <v>1330</v>
      </c>
      <c r="C3254" t="s">
        <v>1146</v>
      </c>
      <c r="D3254">
        <v>77</v>
      </c>
    </row>
    <row r="3255" spans="1:4" x14ac:dyDescent="0.25">
      <c r="A3255" t="s">
        <v>1918</v>
      </c>
      <c r="B3255" t="s">
        <v>1335</v>
      </c>
      <c r="C3255" t="s">
        <v>1146</v>
      </c>
      <c r="D3255">
        <v>21.2</v>
      </c>
    </row>
    <row r="3256" spans="1:4" x14ac:dyDescent="0.25">
      <c r="A3256" t="s">
        <v>1987</v>
      </c>
      <c r="B3256" t="s">
        <v>1331</v>
      </c>
      <c r="C3256" t="s">
        <v>1146</v>
      </c>
      <c r="D3256">
        <v>57</v>
      </c>
    </row>
    <row r="3257" spans="1:4" x14ac:dyDescent="0.25">
      <c r="A3257" t="s">
        <v>1990</v>
      </c>
      <c r="B3257" t="s">
        <v>1331</v>
      </c>
      <c r="C3257" t="s">
        <v>1146</v>
      </c>
      <c r="D3257">
        <v>33.9</v>
      </c>
    </row>
    <row r="3258" spans="1:4" x14ac:dyDescent="0.25">
      <c r="A3258" t="s">
        <v>2005</v>
      </c>
      <c r="B3258" t="s">
        <v>1331</v>
      </c>
      <c r="C3258" t="s">
        <v>1150</v>
      </c>
      <c r="D3258">
        <v>644.29999999999995</v>
      </c>
    </row>
    <row r="3259" spans="1:4" x14ac:dyDescent="0.25">
      <c r="A3259" t="s">
        <v>1973</v>
      </c>
      <c r="B3259" t="s">
        <v>1331</v>
      </c>
      <c r="C3259" t="s">
        <v>1150</v>
      </c>
      <c r="D3259">
        <v>41.05</v>
      </c>
    </row>
    <row r="3260" spans="1:4" x14ac:dyDescent="0.25">
      <c r="A3260" t="s">
        <v>1987</v>
      </c>
      <c r="B3260" t="s">
        <v>1331</v>
      </c>
      <c r="C3260" t="s">
        <v>1150</v>
      </c>
      <c r="D3260">
        <v>272.82</v>
      </c>
    </row>
    <row r="3261" spans="1:4" x14ac:dyDescent="0.25">
      <c r="A3261" t="s">
        <v>1978</v>
      </c>
      <c r="B3261" t="s">
        <v>1335</v>
      </c>
      <c r="C3261" t="s">
        <v>1150</v>
      </c>
      <c r="D3261">
        <v>1</v>
      </c>
    </row>
    <row r="3262" spans="1:4" x14ac:dyDescent="0.25">
      <c r="A3262" t="s">
        <v>1909</v>
      </c>
      <c r="B3262" t="s">
        <v>1335</v>
      </c>
      <c r="C3262" t="s">
        <v>1150</v>
      </c>
      <c r="D3262">
        <v>2.5</v>
      </c>
    </row>
    <row r="3263" spans="1:4" x14ac:dyDescent="0.25">
      <c r="A3263" t="s">
        <v>1945</v>
      </c>
      <c r="B3263" t="s">
        <v>1331</v>
      </c>
      <c r="C3263" t="s">
        <v>1150</v>
      </c>
      <c r="D3263">
        <v>2</v>
      </c>
    </row>
    <row r="3264" spans="1:4" x14ac:dyDescent="0.25">
      <c r="A3264" t="s">
        <v>1923</v>
      </c>
      <c r="B3264" t="s">
        <v>1331</v>
      </c>
      <c r="C3264" t="s">
        <v>1150</v>
      </c>
      <c r="D3264">
        <v>56.9</v>
      </c>
    </row>
    <row r="3265" spans="1:4" x14ac:dyDescent="0.25">
      <c r="A3265" t="s">
        <v>1925</v>
      </c>
      <c r="B3265" t="s">
        <v>1331</v>
      </c>
      <c r="C3265" t="s">
        <v>1150</v>
      </c>
      <c r="D3265">
        <v>19.25</v>
      </c>
    </row>
    <row r="3266" spans="1:4" x14ac:dyDescent="0.25">
      <c r="A3266" t="s">
        <v>1995</v>
      </c>
      <c r="B3266" t="s">
        <v>1331</v>
      </c>
      <c r="C3266" t="s">
        <v>1150</v>
      </c>
      <c r="D3266">
        <v>11</v>
      </c>
    </row>
    <row r="3267" spans="1:4" x14ac:dyDescent="0.25">
      <c r="A3267" t="s">
        <v>1913</v>
      </c>
      <c r="B3267" t="s">
        <v>1335</v>
      </c>
      <c r="C3267" t="s">
        <v>1150</v>
      </c>
      <c r="D3267">
        <v>13.8</v>
      </c>
    </row>
    <row r="3268" spans="1:4" x14ac:dyDescent="0.25">
      <c r="A3268" t="s">
        <v>1995</v>
      </c>
      <c r="B3268" t="s">
        <v>1330</v>
      </c>
      <c r="C3268" t="s">
        <v>1150</v>
      </c>
      <c r="D3268">
        <v>55.2</v>
      </c>
    </row>
    <row r="3269" spans="1:4" x14ac:dyDescent="0.25">
      <c r="A3269" t="s">
        <v>1990</v>
      </c>
      <c r="B3269" t="s">
        <v>1331</v>
      </c>
      <c r="C3269" t="s">
        <v>1150</v>
      </c>
      <c r="D3269">
        <v>89.2</v>
      </c>
    </row>
    <row r="3270" spans="1:4" x14ac:dyDescent="0.25">
      <c r="A3270" t="s">
        <v>1971</v>
      </c>
      <c r="B3270" t="s">
        <v>1330</v>
      </c>
      <c r="C3270" t="s">
        <v>1150</v>
      </c>
      <c r="D3270">
        <v>80.7</v>
      </c>
    </row>
    <row r="3271" spans="1:4" x14ac:dyDescent="0.25">
      <c r="A3271" t="s">
        <v>1927</v>
      </c>
      <c r="B3271" t="s">
        <v>1330</v>
      </c>
      <c r="C3271" t="s">
        <v>1150</v>
      </c>
      <c r="D3271">
        <v>192.5</v>
      </c>
    </row>
    <row r="3272" spans="1:4" x14ac:dyDescent="0.25">
      <c r="A3272" t="s">
        <v>1921</v>
      </c>
      <c r="B3272" t="s">
        <v>1330</v>
      </c>
      <c r="C3272" t="s">
        <v>1150</v>
      </c>
      <c r="D3272">
        <v>255.1</v>
      </c>
    </row>
    <row r="3273" spans="1:4" x14ac:dyDescent="0.25">
      <c r="A3273" t="s">
        <v>1911</v>
      </c>
      <c r="B3273" t="s">
        <v>1335</v>
      </c>
      <c r="C3273" t="s">
        <v>1150</v>
      </c>
      <c r="D3273">
        <v>5.7</v>
      </c>
    </row>
    <row r="3274" spans="1:4" x14ac:dyDescent="0.25">
      <c r="A3274" t="s">
        <v>1927</v>
      </c>
      <c r="B3274" t="s">
        <v>1331</v>
      </c>
      <c r="C3274" t="s">
        <v>1150</v>
      </c>
      <c r="D3274">
        <v>130.9</v>
      </c>
    </row>
    <row r="3275" spans="1:4" x14ac:dyDescent="0.25">
      <c r="A3275" t="s">
        <v>1968</v>
      </c>
      <c r="B3275" t="s">
        <v>1330</v>
      </c>
      <c r="C3275" t="s">
        <v>1150</v>
      </c>
      <c r="D3275">
        <v>64.2</v>
      </c>
    </row>
    <row r="3276" spans="1:4" x14ac:dyDescent="0.25">
      <c r="A3276" t="s">
        <v>2003</v>
      </c>
      <c r="B3276" t="s">
        <v>1331</v>
      </c>
      <c r="C3276" t="s">
        <v>1150</v>
      </c>
      <c r="D3276">
        <v>68.3</v>
      </c>
    </row>
    <row r="3277" spans="1:4" x14ac:dyDescent="0.25">
      <c r="A3277" t="s">
        <v>1997</v>
      </c>
      <c r="B3277" t="s">
        <v>1331</v>
      </c>
      <c r="C3277" t="s">
        <v>1150</v>
      </c>
      <c r="D3277">
        <v>7.7</v>
      </c>
    </row>
    <row r="3278" spans="1:4" x14ac:dyDescent="0.25">
      <c r="A3278" t="s">
        <v>1907</v>
      </c>
      <c r="B3278" t="s">
        <v>1335</v>
      </c>
      <c r="C3278" t="s">
        <v>1150</v>
      </c>
      <c r="D3278">
        <v>3</v>
      </c>
    </row>
    <row r="3279" spans="1:4" x14ac:dyDescent="0.25">
      <c r="A3279" t="s">
        <v>1980</v>
      </c>
      <c r="B3279" t="s">
        <v>1331</v>
      </c>
      <c r="C3279" t="s">
        <v>1150</v>
      </c>
      <c r="D3279">
        <v>2075</v>
      </c>
    </row>
    <row r="3280" spans="1:4" x14ac:dyDescent="0.25">
      <c r="A3280" t="s">
        <v>2006</v>
      </c>
      <c r="B3280" t="s">
        <v>1331</v>
      </c>
      <c r="C3280" t="s">
        <v>1150</v>
      </c>
      <c r="D3280">
        <v>28.1</v>
      </c>
    </row>
    <row r="3281" spans="1:4" x14ac:dyDescent="0.25">
      <c r="A3281" t="s">
        <v>1987</v>
      </c>
      <c r="B3281" t="s">
        <v>1330</v>
      </c>
      <c r="C3281" t="s">
        <v>1150</v>
      </c>
      <c r="D3281">
        <v>4.4000000000000004</v>
      </c>
    </row>
    <row r="3282" spans="1:4" x14ac:dyDescent="0.25">
      <c r="A3282" t="s">
        <v>1996</v>
      </c>
      <c r="B3282" t="s">
        <v>1335</v>
      </c>
      <c r="C3282" t="s">
        <v>1150</v>
      </c>
      <c r="D3282">
        <v>85.7</v>
      </c>
    </row>
    <row r="3283" spans="1:4" x14ac:dyDescent="0.25">
      <c r="A3283" t="s">
        <v>2044</v>
      </c>
      <c r="B3283" t="s">
        <v>1331</v>
      </c>
      <c r="C3283" t="s">
        <v>1150</v>
      </c>
      <c r="D3283">
        <v>77.400000000000006</v>
      </c>
    </row>
    <row r="3284" spans="1:4" x14ac:dyDescent="0.25">
      <c r="A3284" t="s">
        <v>1988</v>
      </c>
      <c r="B3284" t="s">
        <v>1330</v>
      </c>
      <c r="C3284" t="s">
        <v>1154</v>
      </c>
      <c r="D3284">
        <v>32.9</v>
      </c>
    </row>
    <row r="3285" spans="1:4" x14ac:dyDescent="0.25">
      <c r="A3285" t="s">
        <v>1958</v>
      </c>
      <c r="B3285" t="s">
        <v>1331</v>
      </c>
      <c r="C3285" t="s">
        <v>1154</v>
      </c>
      <c r="D3285">
        <v>6.2</v>
      </c>
    </row>
    <row r="3286" spans="1:4" x14ac:dyDescent="0.25">
      <c r="A3286" t="s">
        <v>1987</v>
      </c>
      <c r="B3286" t="s">
        <v>1331</v>
      </c>
      <c r="C3286" t="s">
        <v>1154</v>
      </c>
      <c r="D3286">
        <v>183.05</v>
      </c>
    </row>
    <row r="3287" spans="1:4" x14ac:dyDescent="0.25">
      <c r="A3287" t="s">
        <v>1973</v>
      </c>
      <c r="B3287" t="s">
        <v>1331</v>
      </c>
      <c r="C3287" t="s">
        <v>1154</v>
      </c>
      <c r="D3287">
        <v>1456.65</v>
      </c>
    </row>
    <row r="3288" spans="1:4" x14ac:dyDescent="0.25">
      <c r="A3288" t="s">
        <v>1921</v>
      </c>
      <c r="B3288" t="s">
        <v>1330</v>
      </c>
      <c r="C3288" t="s">
        <v>1154</v>
      </c>
      <c r="D3288">
        <v>138.6</v>
      </c>
    </row>
    <row r="3289" spans="1:4" x14ac:dyDescent="0.25">
      <c r="A3289" t="s">
        <v>1989</v>
      </c>
      <c r="B3289" t="s">
        <v>1331</v>
      </c>
      <c r="C3289" t="s">
        <v>1154</v>
      </c>
      <c r="D3289">
        <v>12.2</v>
      </c>
    </row>
    <row r="3290" spans="1:4" x14ac:dyDescent="0.25">
      <c r="A3290" t="s">
        <v>1927</v>
      </c>
      <c r="B3290" t="s">
        <v>1330</v>
      </c>
      <c r="C3290" t="s">
        <v>1154</v>
      </c>
      <c r="D3290">
        <v>65.45</v>
      </c>
    </row>
    <row r="3291" spans="1:4" x14ac:dyDescent="0.25">
      <c r="A3291" t="s">
        <v>1980</v>
      </c>
      <c r="B3291" t="s">
        <v>1331</v>
      </c>
      <c r="C3291" t="s">
        <v>1154</v>
      </c>
      <c r="D3291">
        <v>1</v>
      </c>
    </row>
    <row r="3292" spans="1:4" x14ac:dyDescent="0.25">
      <c r="A3292" t="s">
        <v>1955</v>
      </c>
      <c r="B3292" t="s">
        <v>1335</v>
      </c>
      <c r="C3292" t="s">
        <v>1159</v>
      </c>
      <c r="D3292">
        <v>351.66</v>
      </c>
    </row>
    <row r="3293" spans="1:4" x14ac:dyDescent="0.25">
      <c r="A3293" t="s">
        <v>2003</v>
      </c>
      <c r="B3293" t="s">
        <v>1331</v>
      </c>
      <c r="C3293" t="s">
        <v>1159</v>
      </c>
      <c r="D3293">
        <v>15.4</v>
      </c>
    </row>
    <row r="3294" spans="1:4" x14ac:dyDescent="0.25">
      <c r="A3294" t="s">
        <v>1916</v>
      </c>
      <c r="B3294" t="s">
        <v>1335</v>
      </c>
      <c r="C3294" t="s">
        <v>1159</v>
      </c>
      <c r="D3294">
        <v>142</v>
      </c>
    </row>
    <row r="3295" spans="1:4" x14ac:dyDescent="0.25">
      <c r="A3295" t="s">
        <v>1988</v>
      </c>
      <c r="B3295" t="s">
        <v>1330</v>
      </c>
      <c r="C3295" t="s">
        <v>1159</v>
      </c>
      <c r="D3295">
        <v>52</v>
      </c>
    </row>
    <row r="3296" spans="1:4" x14ac:dyDescent="0.25">
      <c r="A3296" t="s">
        <v>1921</v>
      </c>
      <c r="B3296" t="s">
        <v>1330</v>
      </c>
      <c r="C3296" t="s">
        <v>1159</v>
      </c>
      <c r="D3296">
        <v>11.55</v>
      </c>
    </row>
    <row r="3297" spans="1:4" x14ac:dyDescent="0.25">
      <c r="A3297" t="s">
        <v>1996</v>
      </c>
      <c r="B3297" t="s">
        <v>1335</v>
      </c>
      <c r="C3297" t="s">
        <v>1159</v>
      </c>
      <c r="D3297">
        <v>79.2</v>
      </c>
    </row>
    <row r="3298" spans="1:4" x14ac:dyDescent="0.25">
      <c r="A3298" t="s">
        <v>1971</v>
      </c>
      <c r="B3298" t="s">
        <v>1330</v>
      </c>
      <c r="C3298" t="s">
        <v>1159</v>
      </c>
      <c r="D3298">
        <v>7.7</v>
      </c>
    </row>
    <row r="3299" spans="1:4" x14ac:dyDescent="0.25">
      <c r="A3299" t="s">
        <v>1911</v>
      </c>
      <c r="B3299" t="s">
        <v>1335</v>
      </c>
      <c r="C3299" t="s">
        <v>1159</v>
      </c>
      <c r="D3299">
        <v>2</v>
      </c>
    </row>
    <row r="3300" spans="1:4" x14ac:dyDescent="0.25">
      <c r="A3300" t="s">
        <v>1993</v>
      </c>
      <c r="B3300" t="s">
        <v>1335</v>
      </c>
      <c r="C3300" t="s">
        <v>1159</v>
      </c>
      <c r="D3300">
        <v>13</v>
      </c>
    </row>
    <row r="3301" spans="1:4" x14ac:dyDescent="0.25">
      <c r="A3301" t="s">
        <v>1997</v>
      </c>
      <c r="B3301" t="s">
        <v>1331</v>
      </c>
      <c r="C3301" t="s">
        <v>1159</v>
      </c>
      <c r="D3301">
        <v>248.1</v>
      </c>
    </row>
    <row r="3302" spans="1:4" x14ac:dyDescent="0.25">
      <c r="A3302" t="s">
        <v>1979</v>
      </c>
      <c r="B3302" t="s">
        <v>1331</v>
      </c>
      <c r="C3302" t="s">
        <v>1159</v>
      </c>
      <c r="D3302">
        <v>23.1</v>
      </c>
    </row>
    <row r="3303" spans="1:4" x14ac:dyDescent="0.25">
      <c r="A3303" t="s">
        <v>1972</v>
      </c>
      <c r="B3303" t="s">
        <v>1334</v>
      </c>
      <c r="C3303" t="s">
        <v>1159</v>
      </c>
      <c r="D3303">
        <v>20.8</v>
      </c>
    </row>
    <row r="3304" spans="1:4" x14ac:dyDescent="0.25">
      <c r="A3304" t="s">
        <v>1978</v>
      </c>
      <c r="B3304" t="s">
        <v>1335</v>
      </c>
      <c r="C3304" t="s">
        <v>1159</v>
      </c>
      <c r="D3304">
        <v>250.6</v>
      </c>
    </row>
    <row r="3305" spans="1:4" x14ac:dyDescent="0.25">
      <c r="A3305" t="s">
        <v>2019</v>
      </c>
      <c r="B3305" t="s">
        <v>1334</v>
      </c>
      <c r="C3305" t="s">
        <v>1159</v>
      </c>
      <c r="D3305">
        <v>88</v>
      </c>
    </row>
    <row r="3306" spans="1:4" x14ac:dyDescent="0.25">
      <c r="A3306" t="s">
        <v>1907</v>
      </c>
      <c r="B3306" t="s">
        <v>1335</v>
      </c>
      <c r="C3306" t="s">
        <v>1159</v>
      </c>
      <c r="D3306">
        <v>4.7</v>
      </c>
    </row>
    <row r="3307" spans="1:4" x14ac:dyDescent="0.25">
      <c r="A3307" t="s">
        <v>1913</v>
      </c>
      <c r="B3307" t="s">
        <v>1335</v>
      </c>
      <c r="C3307" t="s">
        <v>1159</v>
      </c>
      <c r="D3307">
        <v>3.85</v>
      </c>
    </row>
    <row r="3308" spans="1:4" x14ac:dyDescent="0.25">
      <c r="A3308" t="s">
        <v>2043</v>
      </c>
      <c r="B3308" t="s">
        <v>1334</v>
      </c>
      <c r="C3308" t="s">
        <v>1159</v>
      </c>
      <c r="D3308">
        <v>11.7</v>
      </c>
    </row>
    <row r="3309" spans="1:4" x14ac:dyDescent="0.25">
      <c r="A3309" t="s">
        <v>2019</v>
      </c>
      <c r="B3309" t="s">
        <v>1334</v>
      </c>
      <c r="C3309" t="s">
        <v>1162</v>
      </c>
      <c r="D3309">
        <v>72.8</v>
      </c>
    </row>
    <row r="3310" spans="1:4" x14ac:dyDescent="0.25">
      <c r="A3310" t="s">
        <v>2043</v>
      </c>
      <c r="B3310" t="s">
        <v>1334</v>
      </c>
      <c r="C3310" t="s">
        <v>1162</v>
      </c>
      <c r="D3310">
        <v>25.4</v>
      </c>
    </row>
    <row r="3311" spans="1:4" x14ac:dyDescent="0.25">
      <c r="A3311" t="s">
        <v>1988</v>
      </c>
      <c r="B3311" t="s">
        <v>1330</v>
      </c>
      <c r="C3311" t="s">
        <v>1162</v>
      </c>
      <c r="D3311">
        <v>50.3</v>
      </c>
    </row>
    <row r="3312" spans="1:4" x14ac:dyDescent="0.25">
      <c r="A3312" t="s">
        <v>1921</v>
      </c>
      <c r="B3312" t="s">
        <v>1330</v>
      </c>
      <c r="C3312" t="s">
        <v>1162</v>
      </c>
      <c r="D3312">
        <v>42.35</v>
      </c>
    </row>
    <row r="3313" spans="1:4" x14ac:dyDescent="0.25">
      <c r="A3313" t="s">
        <v>1955</v>
      </c>
      <c r="B3313" t="s">
        <v>1335</v>
      </c>
      <c r="C3313" t="s">
        <v>1162</v>
      </c>
      <c r="D3313">
        <v>460.59</v>
      </c>
    </row>
    <row r="3314" spans="1:4" x14ac:dyDescent="0.25">
      <c r="A3314" t="s">
        <v>1916</v>
      </c>
      <c r="B3314" t="s">
        <v>1335</v>
      </c>
      <c r="C3314" t="s">
        <v>1162</v>
      </c>
      <c r="D3314">
        <v>204.1</v>
      </c>
    </row>
    <row r="3315" spans="1:4" x14ac:dyDescent="0.25">
      <c r="A3315" t="s">
        <v>1913</v>
      </c>
      <c r="B3315" t="s">
        <v>1335</v>
      </c>
      <c r="C3315" t="s">
        <v>1162</v>
      </c>
      <c r="D3315">
        <v>3.3</v>
      </c>
    </row>
    <row r="3316" spans="1:4" x14ac:dyDescent="0.25">
      <c r="A3316" t="s">
        <v>1979</v>
      </c>
      <c r="B3316" t="s">
        <v>1331</v>
      </c>
      <c r="C3316" t="s">
        <v>1162</v>
      </c>
      <c r="D3316">
        <v>51.2</v>
      </c>
    </row>
    <row r="3317" spans="1:4" x14ac:dyDescent="0.25">
      <c r="A3317" t="s">
        <v>1972</v>
      </c>
      <c r="B3317" t="s">
        <v>1334</v>
      </c>
      <c r="C3317" t="s">
        <v>1162</v>
      </c>
      <c r="D3317">
        <v>15.4</v>
      </c>
    </row>
    <row r="3318" spans="1:4" x14ac:dyDescent="0.25">
      <c r="A3318" t="s">
        <v>1996</v>
      </c>
      <c r="B3318" t="s">
        <v>1335</v>
      </c>
      <c r="C3318" t="s">
        <v>1162</v>
      </c>
      <c r="D3318">
        <v>61.9</v>
      </c>
    </row>
    <row r="3319" spans="1:4" x14ac:dyDescent="0.25">
      <c r="A3319" t="s">
        <v>1909</v>
      </c>
      <c r="B3319" t="s">
        <v>1335</v>
      </c>
      <c r="C3319" t="s">
        <v>1162</v>
      </c>
      <c r="D3319">
        <v>0.5</v>
      </c>
    </row>
    <row r="3320" spans="1:4" x14ac:dyDescent="0.25">
      <c r="A3320" t="s">
        <v>1993</v>
      </c>
      <c r="B3320" t="s">
        <v>1335</v>
      </c>
      <c r="C3320" t="s">
        <v>1162</v>
      </c>
      <c r="D3320">
        <v>20</v>
      </c>
    </row>
    <row r="3321" spans="1:4" x14ac:dyDescent="0.25">
      <c r="A3321" t="s">
        <v>1978</v>
      </c>
      <c r="B3321" t="s">
        <v>1335</v>
      </c>
      <c r="C3321" t="s">
        <v>1162</v>
      </c>
      <c r="D3321">
        <v>278.3</v>
      </c>
    </row>
    <row r="3322" spans="1:4" x14ac:dyDescent="0.25">
      <c r="A3322" t="s">
        <v>1990</v>
      </c>
      <c r="B3322" t="s">
        <v>1331</v>
      </c>
      <c r="C3322" t="s">
        <v>1162</v>
      </c>
      <c r="D3322">
        <v>1</v>
      </c>
    </row>
    <row r="3323" spans="1:4" x14ac:dyDescent="0.25">
      <c r="A3323" t="s">
        <v>2027</v>
      </c>
      <c r="B3323" t="s">
        <v>1334</v>
      </c>
      <c r="C3323" t="s">
        <v>1162</v>
      </c>
      <c r="D3323">
        <v>26.6</v>
      </c>
    </row>
    <row r="3324" spans="1:4" x14ac:dyDescent="0.25">
      <c r="A3324" t="s">
        <v>2003</v>
      </c>
      <c r="B3324" t="s">
        <v>1331</v>
      </c>
      <c r="C3324" t="s">
        <v>1162</v>
      </c>
      <c r="D3324">
        <v>19.25</v>
      </c>
    </row>
    <row r="3325" spans="1:4" x14ac:dyDescent="0.25">
      <c r="A3325" t="s">
        <v>2048</v>
      </c>
      <c r="B3325" t="s">
        <v>1334</v>
      </c>
      <c r="C3325" t="s">
        <v>1162</v>
      </c>
      <c r="D3325">
        <v>70.95</v>
      </c>
    </row>
    <row r="3326" spans="1:4" x14ac:dyDescent="0.25">
      <c r="A3326" t="s">
        <v>2048</v>
      </c>
      <c r="B3326" t="s">
        <v>1333</v>
      </c>
      <c r="C3326" t="s">
        <v>1162</v>
      </c>
      <c r="D3326">
        <v>15.4</v>
      </c>
    </row>
    <row r="3327" spans="1:4" x14ac:dyDescent="0.25">
      <c r="A3327" t="s">
        <v>1907</v>
      </c>
      <c r="B3327" t="s">
        <v>1335</v>
      </c>
      <c r="C3327" t="s">
        <v>1167</v>
      </c>
      <c r="D3327">
        <v>6</v>
      </c>
    </row>
    <row r="3328" spans="1:4" x14ac:dyDescent="0.25">
      <c r="A3328" t="s">
        <v>1913</v>
      </c>
      <c r="B3328" t="s">
        <v>1335</v>
      </c>
      <c r="C3328" t="s">
        <v>1167</v>
      </c>
      <c r="D3328">
        <v>11.75</v>
      </c>
    </row>
    <row r="3329" spans="1:4" x14ac:dyDescent="0.25">
      <c r="A3329" t="s">
        <v>1909</v>
      </c>
      <c r="B3329" t="s">
        <v>1335</v>
      </c>
      <c r="C3329" t="s">
        <v>1167</v>
      </c>
      <c r="D3329">
        <v>6.7</v>
      </c>
    </row>
    <row r="3330" spans="1:4" x14ac:dyDescent="0.25">
      <c r="A3330" t="s">
        <v>1979</v>
      </c>
      <c r="B3330" t="s">
        <v>1331</v>
      </c>
      <c r="C3330" t="s">
        <v>1167</v>
      </c>
      <c r="D3330">
        <v>99.7</v>
      </c>
    </row>
    <row r="3331" spans="1:4" x14ac:dyDescent="0.25">
      <c r="A3331" t="s">
        <v>1955</v>
      </c>
      <c r="B3331" t="s">
        <v>1335</v>
      </c>
      <c r="C3331" t="s">
        <v>1167</v>
      </c>
      <c r="D3331">
        <v>386.8</v>
      </c>
    </row>
    <row r="3332" spans="1:4" x14ac:dyDescent="0.25">
      <c r="A3332" t="s">
        <v>1978</v>
      </c>
      <c r="B3332" t="s">
        <v>1335</v>
      </c>
      <c r="C3332" t="s">
        <v>1167</v>
      </c>
      <c r="D3332">
        <v>130.5</v>
      </c>
    </row>
    <row r="3333" spans="1:4" x14ac:dyDescent="0.25">
      <c r="A3333" t="s">
        <v>1996</v>
      </c>
      <c r="B3333" t="s">
        <v>1335</v>
      </c>
      <c r="C3333" t="s">
        <v>1167</v>
      </c>
      <c r="D3333">
        <v>21.1</v>
      </c>
    </row>
    <row r="3334" spans="1:4" x14ac:dyDescent="0.25">
      <c r="A3334" t="s">
        <v>1988</v>
      </c>
      <c r="B3334" t="s">
        <v>1330</v>
      </c>
      <c r="C3334" t="s">
        <v>1167</v>
      </c>
      <c r="D3334">
        <v>26.5</v>
      </c>
    </row>
    <row r="3335" spans="1:4" x14ac:dyDescent="0.25">
      <c r="A3335" t="s">
        <v>1978</v>
      </c>
      <c r="B3335" t="s">
        <v>1331</v>
      </c>
      <c r="C3335" t="s">
        <v>1171</v>
      </c>
      <c r="D3335">
        <v>187.5</v>
      </c>
    </row>
    <row r="3336" spans="1:4" x14ac:dyDescent="0.25">
      <c r="A3336" t="s">
        <v>2062</v>
      </c>
      <c r="B3336" t="s">
        <v>1333</v>
      </c>
      <c r="C3336" t="s">
        <v>1171</v>
      </c>
      <c r="D3336">
        <v>22.5</v>
      </c>
    </row>
    <row r="3337" spans="1:4" x14ac:dyDescent="0.25">
      <c r="A3337" t="s">
        <v>2063</v>
      </c>
      <c r="B3337" t="s">
        <v>1333</v>
      </c>
      <c r="C3337" t="s">
        <v>1171</v>
      </c>
      <c r="D3337">
        <v>13</v>
      </c>
    </row>
    <row r="3338" spans="1:4" x14ac:dyDescent="0.25">
      <c r="A3338" t="s">
        <v>1907</v>
      </c>
      <c r="B3338" t="s">
        <v>1335</v>
      </c>
      <c r="C3338" t="s">
        <v>1171</v>
      </c>
      <c r="D3338">
        <v>5</v>
      </c>
    </row>
    <row r="3339" spans="1:4" x14ac:dyDescent="0.25">
      <c r="A3339" t="s">
        <v>1990</v>
      </c>
      <c r="B3339" t="s">
        <v>1331</v>
      </c>
      <c r="C3339" t="s">
        <v>1171</v>
      </c>
      <c r="D3339">
        <v>75.3</v>
      </c>
    </row>
    <row r="3340" spans="1:4" x14ac:dyDescent="0.25">
      <c r="A3340" t="s">
        <v>1921</v>
      </c>
      <c r="B3340" t="s">
        <v>1330</v>
      </c>
      <c r="C3340" t="s">
        <v>1171</v>
      </c>
      <c r="D3340">
        <v>59.6</v>
      </c>
    </row>
    <row r="3341" spans="1:4" x14ac:dyDescent="0.25">
      <c r="A3341" t="s">
        <v>2064</v>
      </c>
      <c r="B3341" t="s">
        <v>1333</v>
      </c>
      <c r="C3341" t="s">
        <v>1171</v>
      </c>
      <c r="D3341">
        <v>13</v>
      </c>
    </row>
    <row r="3342" spans="1:4" x14ac:dyDescent="0.25">
      <c r="A3342" t="s">
        <v>2005</v>
      </c>
      <c r="B3342" t="s">
        <v>1333</v>
      </c>
      <c r="C3342" t="s">
        <v>1171</v>
      </c>
      <c r="D3342">
        <v>222.3</v>
      </c>
    </row>
    <row r="3343" spans="1:4" x14ac:dyDescent="0.25">
      <c r="A3343" t="s">
        <v>2001</v>
      </c>
      <c r="B3343" t="s">
        <v>1331</v>
      </c>
      <c r="C3343" t="s">
        <v>1171</v>
      </c>
      <c r="D3343">
        <v>105</v>
      </c>
    </row>
    <row r="3344" spans="1:4" x14ac:dyDescent="0.25">
      <c r="A3344" t="s">
        <v>1927</v>
      </c>
      <c r="B3344" t="s">
        <v>1331</v>
      </c>
      <c r="C3344" t="s">
        <v>1171</v>
      </c>
      <c r="D3344">
        <v>50.05</v>
      </c>
    </row>
    <row r="3345" spans="1:4" x14ac:dyDescent="0.25">
      <c r="A3345" t="s">
        <v>2065</v>
      </c>
      <c r="B3345" t="s">
        <v>1333</v>
      </c>
      <c r="C3345" t="s">
        <v>1171</v>
      </c>
      <c r="D3345">
        <v>11.5</v>
      </c>
    </row>
    <row r="3346" spans="1:4" x14ac:dyDescent="0.25">
      <c r="A3346" t="s">
        <v>1950</v>
      </c>
      <c r="B3346" t="s">
        <v>1331</v>
      </c>
      <c r="C3346" t="s">
        <v>1171</v>
      </c>
      <c r="D3346">
        <v>6</v>
      </c>
    </row>
    <row r="3347" spans="1:4" x14ac:dyDescent="0.25">
      <c r="A3347" t="s">
        <v>1909</v>
      </c>
      <c r="B3347" t="s">
        <v>1335</v>
      </c>
      <c r="C3347" t="s">
        <v>1171</v>
      </c>
      <c r="D3347">
        <v>1</v>
      </c>
    </row>
    <row r="3348" spans="1:4" x14ac:dyDescent="0.25">
      <c r="A3348" t="s">
        <v>1923</v>
      </c>
      <c r="B3348" t="s">
        <v>1331</v>
      </c>
      <c r="C3348" t="s">
        <v>1171</v>
      </c>
      <c r="D3348">
        <v>30.8</v>
      </c>
    </row>
    <row r="3349" spans="1:4" x14ac:dyDescent="0.25">
      <c r="A3349" t="s">
        <v>2066</v>
      </c>
      <c r="B3349" t="s">
        <v>1333</v>
      </c>
      <c r="C3349" t="s">
        <v>1171</v>
      </c>
      <c r="D3349">
        <v>15</v>
      </c>
    </row>
    <row r="3350" spans="1:4" x14ac:dyDescent="0.25">
      <c r="A3350" t="s">
        <v>1980</v>
      </c>
      <c r="B3350" t="s">
        <v>1331</v>
      </c>
      <c r="C3350" t="s">
        <v>1171</v>
      </c>
      <c r="D3350">
        <v>173.4</v>
      </c>
    </row>
    <row r="3351" spans="1:4" x14ac:dyDescent="0.25">
      <c r="A3351" t="s">
        <v>1988</v>
      </c>
      <c r="B3351" t="s">
        <v>1330</v>
      </c>
      <c r="C3351" t="s">
        <v>1171</v>
      </c>
      <c r="D3351">
        <v>74.8</v>
      </c>
    </row>
    <row r="3352" spans="1:4" x14ac:dyDescent="0.25">
      <c r="A3352" t="s">
        <v>1983</v>
      </c>
      <c r="B3352" t="s">
        <v>1335</v>
      </c>
      <c r="C3352" t="s">
        <v>1171</v>
      </c>
      <c r="D3352">
        <v>4.55</v>
      </c>
    </row>
    <row r="3353" spans="1:4" x14ac:dyDescent="0.25">
      <c r="A3353" t="s">
        <v>2067</v>
      </c>
      <c r="B3353" t="s">
        <v>1330</v>
      </c>
      <c r="C3353" t="s">
        <v>1171</v>
      </c>
      <c r="D3353">
        <v>2.6</v>
      </c>
    </row>
    <row r="3354" spans="1:4" x14ac:dyDescent="0.25">
      <c r="A3354" t="s">
        <v>2017</v>
      </c>
      <c r="B3354" t="s">
        <v>1331</v>
      </c>
      <c r="C3354" t="s">
        <v>1171</v>
      </c>
      <c r="D3354">
        <v>105.5</v>
      </c>
    </row>
    <row r="3355" spans="1:4" x14ac:dyDescent="0.25">
      <c r="A3355" t="s">
        <v>2068</v>
      </c>
      <c r="B3355" t="s">
        <v>1333</v>
      </c>
      <c r="C3355" t="s">
        <v>1171</v>
      </c>
      <c r="D3355">
        <v>3.5</v>
      </c>
    </row>
    <row r="3356" spans="1:4" x14ac:dyDescent="0.25">
      <c r="A3356" t="s">
        <v>1913</v>
      </c>
      <c r="B3356" t="s">
        <v>1335</v>
      </c>
      <c r="C3356" t="s">
        <v>1171</v>
      </c>
      <c r="D3356">
        <v>7.7</v>
      </c>
    </row>
    <row r="3357" spans="1:4" x14ac:dyDescent="0.25">
      <c r="A3357" t="s">
        <v>2069</v>
      </c>
      <c r="B3357" t="s">
        <v>1333</v>
      </c>
      <c r="C3357" t="s">
        <v>1171</v>
      </c>
      <c r="D3357">
        <v>5</v>
      </c>
    </row>
    <row r="3358" spans="1:4" x14ac:dyDescent="0.25">
      <c r="A3358" t="s">
        <v>1980</v>
      </c>
      <c r="B3358" t="s">
        <v>1333</v>
      </c>
      <c r="C3358" t="s">
        <v>1171</v>
      </c>
      <c r="D3358">
        <v>10.4</v>
      </c>
    </row>
    <row r="3359" spans="1:4" x14ac:dyDescent="0.25">
      <c r="A3359" t="s">
        <v>1978</v>
      </c>
      <c r="B3359" t="s">
        <v>1335</v>
      </c>
      <c r="C3359" t="s">
        <v>1171</v>
      </c>
      <c r="D3359">
        <v>32.799999999999997</v>
      </c>
    </row>
    <row r="3360" spans="1:4" x14ac:dyDescent="0.25">
      <c r="A3360" t="s">
        <v>2005</v>
      </c>
      <c r="B3360" t="s">
        <v>1331</v>
      </c>
      <c r="C3360" t="s">
        <v>1171</v>
      </c>
      <c r="D3360">
        <v>784.25</v>
      </c>
    </row>
    <row r="3361" spans="1:4" x14ac:dyDescent="0.25">
      <c r="A3361" t="s">
        <v>2070</v>
      </c>
      <c r="B3361" t="s">
        <v>1333</v>
      </c>
      <c r="C3361" t="s">
        <v>1171</v>
      </c>
      <c r="D3361">
        <v>5.2</v>
      </c>
    </row>
    <row r="3362" spans="1:4" x14ac:dyDescent="0.25">
      <c r="A3362" t="s">
        <v>2019</v>
      </c>
      <c r="B3362" t="s">
        <v>1334</v>
      </c>
      <c r="C3362" t="s">
        <v>1177</v>
      </c>
      <c r="D3362">
        <v>7.7</v>
      </c>
    </row>
    <row r="3363" spans="1:4" x14ac:dyDescent="0.25">
      <c r="A3363" t="s">
        <v>1988</v>
      </c>
      <c r="B3363" t="s">
        <v>1331</v>
      </c>
      <c r="C3363" t="s">
        <v>1177</v>
      </c>
      <c r="D3363">
        <v>6.4</v>
      </c>
    </row>
    <row r="3364" spans="1:4" x14ac:dyDescent="0.25">
      <c r="A3364" t="s">
        <v>1978</v>
      </c>
      <c r="B3364" t="s">
        <v>1335</v>
      </c>
      <c r="C3364" t="s">
        <v>1177</v>
      </c>
      <c r="D3364">
        <v>34.5</v>
      </c>
    </row>
    <row r="3365" spans="1:4" x14ac:dyDescent="0.25">
      <c r="A3365" t="s">
        <v>1980</v>
      </c>
      <c r="B3365" t="s">
        <v>1331</v>
      </c>
      <c r="C3365" t="s">
        <v>1177</v>
      </c>
      <c r="D3365">
        <v>1</v>
      </c>
    </row>
    <row r="3366" spans="1:4" x14ac:dyDescent="0.25">
      <c r="A3366" t="s">
        <v>1988</v>
      </c>
      <c r="B3366" t="s">
        <v>1330</v>
      </c>
      <c r="C3366" t="s">
        <v>1177</v>
      </c>
      <c r="D3366">
        <v>13.1</v>
      </c>
    </row>
    <row r="3367" spans="1:4" x14ac:dyDescent="0.25">
      <c r="A3367" t="s">
        <v>1909</v>
      </c>
      <c r="B3367" t="s">
        <v>1335</v>
      </c>
      <c r="C3367" t="s">
        <v>1177</v>
      </c>
      <c r="D3367">
        <v>0.5</v>
      </c>
    </row>
    <row r="3368" spans="1:4" x14ac:dyDescent="0.25">
      <c r="A3368" t="s">
        <v>1968</v>
      </c>
      <c r="B3368" t="s">
        <v>1330</v>
      </c>
      <c r="C3368" t="s">
        <v>1180</v>
      </c>
      <c r="D3368">
        <v>90</v>
      </c>
    </row>
    <row r="3369" spans="1:4" x14ac:dyDescent="0.25">
      <c r="A3369" t="s">
        <v>1988</v>
      </c>
      <c r="B3369" t="s">
        <v>1330</v>
      </c>
      <c r="C3369" t="s">
        <v>1180</v>
      </c>
      <c r="D3369">
        <v>23.4</v>
      </c>
    </row>
    <row r="3370" spans="1:4" x14ac:dyDescent="0.25">
      <c r="A3370" t="s">
        <v>1978</v>
      </c>
      <c r="B3370" t="s">
        <v>1335</v>
      </c>
      <c r="C3370" t="s">
        <v>1180</v>
      </c>
      <c r="D3370">
        <v>503</v>
      </c>
    </row>
    <row r="3371" spans="1:4" x14ac:dyDescent="0.25">
      <c r="A3371" t="s">
        <v>1996</v>
      </c>
      <c r="B3371" t="s">
        <v>1335</v>
      </c>
      <c r="C3371" t="s">
        <v>1180</v>
      </c>
      <c r="D3371">
        <v>45.4</v>
      </c>
    </row>
    <row r="3372" spans="1:4" x14ac:dyDescent="0.25">
      <c r="A3372" t="s">
        <v>1965</v>
      </c>
      <c r="B3372" t="s">
        <v>1331</v>
      </c>
      <c r="C3372" t="s">
        <v>1180</v>
      </c>
      <c r="D3372">
        <v>69.3</v>
      </c>
    </row>
    <row r="3373" spans="1:4" x14ac:dyDescent="0.25">
      <c r="A3373" t="s">
        <v>1916</v>
      </c>
      <c r="B3373" t="s">
        <v>1335</v>
      </c>
      <c r="C3373" t="s">
        <v>1180</v>
      </c>
      <c r="D3373">
        <v>426.95</v>
      </c>
    </row>
    <row r="3374" spans="1:4" x14ac:dyDescent="0.25">
      <c r="A3374" t="s">
        <v>1971</v>
      </c>
      <c r="B3374" t="s">
        <v>1330</v>
      </c>
      <c r="C3374" t="s">
        <v>1180</v>
      </c>
      <c r="D3374">
        <v>36.5</v>
      </c>
    </row>
    <row r="3375" spans="1:4" x14ac:dyDescent="0.25">
      <c r="A3375" t="s">
        <v>1993</v>
      </c>
      <c r="B3375" t="s">
        <v>1335</v>
      </c>
      <c r="C3375" t="s">
        <v>1180</v>
      </c>
      <c r="D3375">
        <v>26</v>
      </c>
    </row>
    <row r="3376" spans="1:4" x14ac:dyDescent="0.25">
      <c r="A3376" t="s">
        <v>1907</v>
      </c>
      <c r="B3376" t="s">
        <v>1335</v>
      </c>
      <c r="C3376" t="s">
        <v>1180</v>
      </c>
      <c r="D3376">
        <v>0.7</v>
      </c>
    </row>
    <row r="3377" spans="1:4" x14ac:dyDescent="0.25">
      <c r="A3377" t="s">
        <v>1955</v>
      </c>
      <c r="B3377" t="s">
        <v>1335</v>
      </c>
      <c r="C3377" t="s">
        <v>1180</v>
      </c>
      <c r="D3377">
        <v>42.25</v>
      </c>
    </row>
    <row r="3378" spans="1:4" x14ac:dyDescent="0.25">
      <c r="A3378" t="s">
        <v>1921</v>
      </c>
      <c r="B3378" t="s">
        <v>1330</v>
      </c>
      <c r="C3378" t="s">
        <v>1180</v>
      </c>
      <c r="D3378">
        <v>84.7</v>
      </c>
    </row>
    <row r="3379" spans="1:4" x14ac:dyDescent="0.25">
      <c r="A3379" t="s">
        <v>1990</v>
      </c>
      <c r="B3379" t="s">
        <v>1331</v>
      </c>
      <c r="C3379" t="s">
        <v>1180</v>
      </c>
      <c r="D3379">
        <v>41.1</v>
      </c>
    </row>
    <row r="3380" spans="1:4" x14ac:dyDescent="0.25">
      <c r="A3380" t="s">
        <v>1978</v>
      </c>
      <c r="B3380" t="s">
        <v>1333</v>
      </c>
      <c r="C3380" t="s">
        <v>1180</v>
      </c>
      <c r="D3380">
        <v>9</v>
      </c>
    </row>
    <row r="3381" spans="1:4" x14ac:dyDescent="0.25">
      <c r="A3381" t="s">
        <v>1927</v>
      </c>
      <c r="B3381" t="s">
        <v>1330</v>
      </c>
      <c r="C3381" t="s">
        <v>1183</v>
      </c>
      <c r="D3381">
        <v>11.55</v>
      </c>
    </row>
    <row r="3382" spans="1:4" x14ac:dyDescent="0.25">
      <c r="A3382" t="s">
        <v>1980</v>
      </c>
      <c r="B3382" t="s">
        <v>1331</v>
      </c>
      <c r="C3382" t="s">
        <v>1183</v>
      </c>
      <c r="D3382">
        <v>13.85</v>
      </c>
    </row>
    <row r="3383" spans="1:4" x14ac:dyDescent="0.25">
      <c r="A3383" t="s">
        <v>1913</v>
      </c>
      <c r="B3383" t="s">
        <v>1335</v>
      </c>
      <c r="C3383" t="s">
        <v>1183</v>
      </c>
      <c r="D3383">
        <v>5.5</v>
      </c>
    </row>
    <row r="3384" spans="1:4" x14ac:dyDescent="0.25">
      <c r="A3384" t="s">
        <v>1968</v>
      </c>
      <c r="B3384" t="s">
        <v>1330</v>
      </c>
      <c r="C3384" t="s">
        <v>1183</v>
      </c>
      <c r="D3384">
        <v>71.599999999999994</v>
      </c>
    </row>
    <row r="3385" spans="1:4" x14ac:dyDescent="0.25">
      <c r="A3385" t="s">
        <v>1921</v>
      </c>
      <c r="B3385" t="s">
        <v>1330</v>
      </c>
      <c r="C3385" t="s">
        <v>1183</v>
      </c>
      <c r="D3385">
        <v>35.5</v>
      </c>
    </row>
    <row r="3386" spans="1:4" x14ac:dyDescent="0.25">
      <c r="A3386" t="s">
        <v>1988</v>
      </c>
      <c r="B3386" t="s">
        <v>1330</v>
      </c>
      <c r="C3386" t="s">
        <v>1183</v>
      </c>
      <c r="D3386">
        <v>53.9</v>
      </c>
    </row>
    <row r="3387" spans="1:4" x14ac:dyDescent="0.25">
      <c r="A3387" t="s">
        <v>1923</v>
      </c>
      <c r="B3387" t="s">
        <v>1331</v>
      </c>
      <c r="C3387" t="s">
        <v>1183</v>
      </c>
      <c r="D3387">
        <v>31.05</v>
      </c>
    </row>
    <row r="3388" spans="1:4" x14ac:dyDescent="0.25">
      <c r="A3388" t="s">
        <v>2005</v>
      </c>
      <c r="B3388" t="s">
        <v>1331</v>
      </c>
      <c r="C3388" t="s">
        <v>1183</v>
      </c>
      <c r="D3388">
        <v>1223.8</v>
      </c>
    </row>
    <row r="3389" spans="1:4" x14ac:dyDescent="0.25">
      <c r="A3389" t="s">
        <v>1987</v>
      </c>
      <c r="B3389" t="s">
        <v>1331</v>
      </c>
      <c r="C3389" t="s">
        <v>1183</v>
      </c>
      <c r="D3389">
        <v>62.47</v>
      </c>
    </row>
    <row r="3390" spans="1:4" x14ac:dyDescent="0.25">
      <c r="A3390" t="s">
        <v>1978</v>
      </c>
      <c r="B3390" t="s">
        <v>1335</v>
      </c>
      <c r="C3390" t="s">
        <v>1183</v>
      </c>
      <c r="D3390">
        <v>12.7</v>
      </c>
    </row>
    <row r="3391" spans="1:4" x14ac:dyDescent="0.25">
      <c r="A3391" t="s">
        <v>1909</v>
      </c>
      <c r="B3391" t="s">
        <v>1335</v>
      </c>
      <c r="C3391" t="s">
        <v>1183</v>
      </c>
      <c r="D3391">
        <v>3</v>
      </c>
    </row>
    <row r="3392" spans="1:4" x14ac:dyDescent="0.25">
      <c r="A3392" t="s">
        <v>2001</v>
      </c>
      <c r="B3392" t="s">
        <v>1331</v>
      </c>
      <c r="C3392" t="s">
        <v>1186</v>
      </c>
      <c r="D3392">
        <v>184.8</v>
      </c>
    </row>
    <row r="3393" spans="1:4" x14ac:dyDescent="0.25">
      <c r="A3393" t="s">
        <v>1904</v>
      </c>
      <c r="B3393" t="s">
        <v>1331</v>
      </c>
      <c r="C3393" t="s">
        <v>1186</v>
      </c>
      <c r="D3393">
        <v>1427.1</v>
      </c>
    </row>
    <row r="3394" spans="1:4" x14ac:dyDescent="0.25">
      <c r="A3394" t="s">
        <v>1999</v>
      </c>
      <c r="B3394" t="s">
        <v>1331</v>
      </c>
      <c r="C3394" t="s">
        <v>1186</v>
      </c>
      <c r="D3394">
        <v>1</v>
      </c>
    </row>
    <row r="3395" spans="1:4" x14ac:dyDescent="0.25">
      <c r="A3395" t="s">
        <v>1987</v>
      </c>
      <c r="B3395" t="s">
        <v>1331</v>
      </c>
      <c r="C3395" t="s">
        <v>1186</v>
      </c>
      <c r="D3395">
        <v>48.47</v>
      </c>
    </row>
    <row r="3396" spans="1:4" x14ac:dyDescent="0.25">
      <c r="A3396" t="s">
        <v>1911</v>
      </c>
      <c r="B3396" t="s">
        <v>1335</v>
      </c>
      <c r="C3396" t="s">
        <v>1186</v>
      </c>
      <c r="D3396">
        <v>17.600000000000001</v>
      </c>
    </row>
    <row r="3397" spans="1:4" x14ac:dyDescent="0.25">
      <c r="A3397" t="s">
        <v>1945</v>
      </c>
      <c r="B3397" t="s">
        <v>1331</v>
      </c>
      <c r="C3397" t="s">
        <v>1186</v>
      </c>
      <c r="D3397">
        <v>7</v>
      </c>
    </row>
    <row r="3398" spans="1:4" x14ac:dyDescent="0.25">
      <c r="A3398" t="s">
        <v>2007</v>
      </c>
      <c r="B3398" t="s">
        <v>1330</v>
      </c>
      <c r="C3398" t="s">
        <v>1186</v>
      </c>
      <c r="D3398">
        <v>6.85</v>
      </c>
    </row>
    <row r="3399" spans="1:4" x14ac:dyDescent="0.25">
      <c r="A3399" t="s">
        <v>1973</v>
      </c>
      <c r="B3399" t="s">
        <v>1331</v>
      </c>
      <c r="C3399" t="s">
        <v>1186</v>
      </c>
      <c r="D3399">
        <v>79.849999999999994</v>
      </c>
    </row>
    <row r="3400" spans="1:4" x14ac:dyDescent="0.25">
      <c r="A3400" t="s">
        <v>1909</v>
      </c>
      <c r="B3400" t="s">
        <v>1335</v>
      </c>
      <c r="C3400" t="s">
        <v>1186</v>
      </c>
      <c r="D3400">
        <v>2</v>
      </c>
    </row>
    <row r="3401" spans="1:4" x14ac:dyDescent="0.25">
      <c r="A3401" t="s">
        <v>1950</v>
      </c>
      <c r="B3401" t="s">
        <v>1331</v>
      </c>
      <c r="C3401" t="s">
        <v>1186</v>
      </c>
      <c r="D3401">
        <v>14.5</v>
      </c>
    </row>
    <row r="3402" spans="1:4" x14ac:dyDescent="0.25">
      <c r="A3402" t="s">
        <v>1927</v>
      </c>
      <c r="B3402" t="s">
        <v>1331</v>
      </c>
      <c r="C3402" t="s">
        <v>1186</v>
      </c>
      <c r="D3402">
        <v>30.8</v>
      </c>
    </row>
    <row r="3403" spans="1:4" x14ac:dyDescent="0.25">
      <c r="A3403" t="s">
        <v>1988</v>
      </c>
      <c r="B3403" t="s">
        <v>1330</v>
      </c>
      <c r="C3403" t="s">
        <v>1186</v>
      </c>
      <c r="D3403">
        <v>78.099999999999994</v>
      </c>
    </row>
    <row r="3404" spans="1:4" x14ac:dyDescent="0.25">
      <c r="A3404" t="s">
        <v>1913</v>
      </c>
      <c r="B3404" t="s">
        <v>1335</v>
      </c>
      <c r="C3404" t="s">
        <v>1186</v>
      </c>
      <c r="D3404">
        <v>13.7</v>
      </c>
    </row>
    <row r="3405" spans="1:4" x14ac:dyDescent="0.25">
      <c r="A3405" t="s">
        <v>2005</v>
      </c>
      <c r="B3405" t="s">
        <v>1331</v>
      </c>
      <c r="C3405" t="s">
        <v>1186</v>
      </c>
      <c r="D3405">
        <v>30.8</v>
      </c>
    </row>
    <row r="3406" spans="1:4" x14ac:dyDescent="0.25">
      <c r="A3406" t="s">
        <v>1927</v>
      </c>
      <c r="B3406" t="s">
        <v>1330</v>
      </c>
      <c r="C3406" t="s">
        <v>1186</v>
      </c>
      <c r="D3406">
        <v>7.7</v>
      </c>
    </row>
    <row r="3407" spans="1:4" x14ac:dyDescent="0.25">
      <c r="A3407" t="s">
        <v>1986</v>
      </c>
      <c r="B3407" t="s">
        <v>1331</v>
      </c>
      <c r="C3407" t="s">
        <v>1186</v>
      </c>
      <c r="D3407">
        <v>2</v>
      </c>
    </row>
    <row r="3408" spans="1:4" x14ac:dyDescent="0.25">
      <c r="A3408" t="s">
        <v>1921</v>
      </c>
      <c r="B3408" t="s">
        <v>1330</v>
      </c>
      <c r="C3408" t="s">
        <v>1186</v>
      </c>
      <c r="D3408">
        <v>177.95</v>
      </c>
    </row>
    <row r="3409" spans="1:4" x14ac:dyDescent="0.25">
      <c r="A3409" t="s">
        <v>1925</v>
      </c>
      <c r="B3409" t="s">
        <v>1331</v>
      </c>
      <c r="C3409" t="s">
        <v>1186</v>
      </c>
      <c r="D3409">
        <v>5</v>
      </c>
    </row>
    <row r="3410" spans="1:4" x14ac:dyDescent="0.25">
      <c r="A3410" t="s">
        <v>1980</v>
      </c>
      <c r="B3410" t="s">
        <v>1331</v>
      </c>
      <c r="C3410" t="s">
        <v>1186</v>
      </c>
      <c r="D3410">
        <v>276</v>
      </c>
    </row>
    <row r="3411" spans="1:4" x14ac:dyDescent="0.25">
      <c r="A3411" t="s">
        <v>1995</v>
      </c>
      <c r="B3411" t="s">
        <v>1330</v>
      </c>
      <c r="C3411" t="s">
        <v>1186</v>
      </c>
      <c r="D3411">
        <v>12.4</v>
      </c>
    </row>
    <row r="3412" spans="1:4" x14ac:dyDescent="0.25">
      <c r="A3412" t="s">
        <v>1983</v>
      </c>
      <c r="B3412" t="s">
        <v>1335</v>
      </c>
      <c r="C3412" t="s">
        <v>1186</v>
      </c>
      <c r="D3412">
        <v>83.65</v>
      </c>
    </row>
    <row r="3413" spans="1:4" x14ac:dyDescent="0.25">
      <c r="A3413" t="s">
        <v>1990</v>
      </c>
      <c r="B3413" t="s">
        <v>1331</v>
      </c>
      <c r="C3413" t="s">
        <v>1186</v>
      </c>
      <c r="D3413">
        <v>82.9</v>
      </c>
    </row>
    <row r="3414" spans="1:4" x14ac:dyDescent="0.25">
      <c r="A3414" t="s">
        <v>1950</v>
      </c>
      <c r="B3414" t="s">
        <v>1331</v>
      </c>
      <c r="C3414" t="s">
        <v>1190</v>
      </c>
      <c r="D3414">
        <v>70.150000000000006</v>
      </c>
    </row>
    <row r="3415" spans="1:4" x14ac:dyDescent="0.25">
      <c r="A3415" t="s">
        <v>1927</v>
      </c>
      <c r="B3415" t="s">
        <v>1330</v>
      </c>
      <c r="C3415" t="s">
        <v>1190</v>
      </c>
      <c r="D3415">
        <v>15.4</v>
      </c>
    </row>
    <row r="3416" spans="1:4" x14ac:dyDescent="0.25">
      <c r="A3416" t="s">
        <v>1979</v>
      </c>
      <c r="B3416" t="s">
        <v>1331</v>
      </c>
      <c r="C3416" t="s">
        <v>1190</v>
      </c>
      <c r="D3416">
        <v>38.5</v>
      </c>
    </row>
    <row r="3417" spans="1:4" x14ac:dyDescent="0.25">
      <c r="A3417" t="s">
        <v>2071</v>
      </c>
      <c r="B3417" t="s">
        <v>1331</v>
      </c>
      <c r="C3417" t="s">
        <v>1190</v>
      </c>
      <c r="D3417">
        <v>758.95</v>
      </c>
    </row>
    <row r="3418" spans="1:4" x14ac:dyDescent="0.25">
      <c r="A3418" t="s">
        <v>1972</v>
      </c>
      <c r="B3418" t="s">
        <v>1334</v>
      </c>
      <c r="C3418" t="s">
        <v>1190</v>
      </c>
      <c r="D3418">
        <v>5.5</v>
      </c>
    </row>
    <row r="3419" spans="1:4" x14ac:dyDescent="0.25">
      <c r="A3419" t="s">
        <v>1927</v>
      </c>
      <c r="B3419" t="s">
        <v>1331</v>
      </c>
      <c r="C3419" t="s">
        <v>1190</v>
      </c>
      <c r="D3419">
        <v>39.65</v>
      </c>
    </row>
    <row r="3420" spans="1:4" x14ac:dyDescent="0.25">
      <c r="A3420" t="s">
        <v>2017</v>
      </c>
      <c r="B3420" t="s">
        <v>1331</v>
      </c>
      <c r="C3420" t="s">
        <v>1190</v>
      </c>
      <c r="D3420">
        <v>15.4</v>
      </c>
    </row>
    <row r="3421" spans="1:4" x14ac:dyDescent="0.25">
      <c r="A3421" t="s">
        <v>1904</v>
      </c>
      <c r="B3421" t="s">
        <v>1331</v>
      </c>
      <c r="C3421" t="s">
        <v>1190</v>
      </c>
      <c r="D3421">
        <v>1</v>
      </c>
    </row>
    <row r="3422" spans="1:4" x14ac:dyDescent="0.25">
      <c r="A3422" t="s">
        <v>1988</v>
      </c>
      <c r="B3422" t="s">
        <v>1330</v>
      </c>
      <c r="C3422" t="s">
        <v>1190</v>
      </c>
      <c r="D3422">
        <v>56.1</v>
      </c>
    </row>
    <row r="3423" spans="1:4" x14ac:dyDescent="0.25">
      <c r="A3423" t="s">
        <v>1978</v>
      </c>
      <c r="B3423" t="s">
        <v>1335</v>
      </c>
      <c r="C3423" t="s">
        <v>1190</v>
      </c>
      <c r="D3423">
        <v>20.9</v>
      </c>
    </row>
    <row r="3424" spans="1:4" x14ac:dyDescent="0.25">
      <c r="A3424" t="s">
        <v>1999</v>
      </c>
      <c r="B3424" t="s">
        <v>1331</v>
      </c>
      <c r="C3424" t="s">
        <v>1190</v>
      </c>
      <c r="D3424">
        <v>42.75</v>
      </c>
    </row>
    <row r="3425" spans="1:4" x14ac:dyDescent="0.25">
      <c r="A3425" t="s">
        <v>2027</v>
      </c>
      <c r="B3425" t="s">
        <v>1334</v>
      </c>
      <c r="C3425" t="s">
        <v>1190</v>
      </c>
      <c r="D3425">
        <v>45.75</v>
      </c>
    </row>
    <row r="3426" spans="1:4" x14ac:dyDescent="0.25">
      <c r="A3426" t="s">
        <v>1990</v>
      </c>
      <c r="B3426" t="s">
        <v>1331</v>
      </c>
      <c r="C3426" t="s">
        <v>1190</v>
      </c>
      <c r="D3426">
        <v>206.5</v>
      </c>
    </row>
    <row r="3427" spans="1:4" x14ac:dyDescent="0.25">
      <c r="A3427" t="s">
        <v>1956</v>
      </c>
      <c r="B3427" t="s">
        <v>1333</v>
      </c>
      <c r="C3427" t="s">
        <v>1190</v>
      </c>
      <c r="D3427">
        <v>90.2</v>
      </c>
    </row>
    <row r="3428" spans="1:4" x14ac:dyDescent="0.25">
      <c r="A3428" t="s">
        <v>1980</v>
      </c>
      <c r="B3428" t="s">
        <v>1331</v>
      </c>
      <c r="C3428" t="s">
        <v>1190</v>
      </c>
      <c r="D3428">
        <v>23.8</v>
      </c>
    </row>
    <row r="3429" spans="1:4" x14ac:dyDescent="0.25">
      <c r="A3429" t="s">
        <v>1997</v>
      </c>
      <c r="B3429" t="s">
        <v>1333</v>
      </c>
      <c r="C3429" t="s">
        <v>1190</v>
      </c>
      <c r="D3429">
        <v>17.399999999999999</v>
      </c>
    </row>
    <row r="3430" spans="1:4" x14ac:dyDescent="0.25">
      <c r="A3430" t="s">
        <v>1980</v>
      </c>
      <c r="B3430" t="s">
        <v>1333</v>
      </c>
      <c r="C3430" t="s">
        <v>1190</v>
      </c>
      <c r="D3430">
        <v>87.4</v>
      </c>
    </row>
    <row r="3431" spans="1:4" x14ac:dyDescent="0.25">
      <c r="A3431" t="s">
        <v>2051</v>
      </c>
      <c r="B3431" t="s">
        <v>1335</v>
      </c>
      <c r="C3431" t="s">
        <v>1190</v>
      </c>
      <c r="D3431">
        <v>5</v>
      </c>
    </row>
    <row r="3432" spans="1:4" x14ac:dyDescent="0.25">
      <c r="A3432" t="s">
        <v>2007</v>
      </c>
      <c r="B3432" t="s">
        <v>1333</v>
      </c>
      <c r="C3432" t="s">
        <v>1190</v>
      </c>
      <c r="D3432">
        <v>1.2</v>
      </c>
    </row>
    <row r="3433" spans="1:4" x14ac:dyDescent="0.25">
      <c r="A3433" t="s">
        <v>1978</v>
      </c>
      <c r="B3433" t="s">
        <v>1333</v>
      </c>
      <c r="C3433" t="s">
        <v>1190</v>
      </c>
      <c r="D3433">
        <v>3.5</v>
      </c>
    </row>
    <row r="3434" spans="1:4" x14ac:dyDescent="0.25">
      <c r="A3434" t="s">
        <v>1978</v>
      </c>
      <c r="B3434" t="s">
        <v>1331</v>
      </c>
      <c r="C3434" t="s">
        <v>1190</v>
      </c>
      <c r="D3434">
        <v>1.5</v>
      </c>
    </row>
    <row r="3435" spans="1:4" x14ac:dyDescent="0.25">
      <c r="A3435" t="s">
        <v>2049</v>
      </c>
      <c r="B3435" t="s">
        <v>1331</v>
      </c>
      <c r="C3435" t="s">
        <v>1190</v>
      </c>
      <c r="D3435">
        <v>51.5</v>
      </c>
    </row>
    <row r="3436" spans="1:4" x14ac:dyDescent="0.25">
      <c r="A3436" t="s">
        <v>1988</v>
      </c>
      <c r="B3436" t="s">
        <v>1330</v>
      </c>
      <c r="C3436" t="s">
        <v>1193</v>
      </c>
      <c r="D3436">
        <v>33.5</v>
      </c>
    </row>
    <row r="3437" spans="1:4" x14ac:dyDescent="0.25">
      <c r="A3437" t="s">
        <v>1973</v>
      </c>
      <c r="B3437" t="s">
        <v>1331</v>
      </c>
      <c r="C3437" t="s">
        <v>1193</v>
      </c>
      <c r="D3437">
        <v>990.75</v>
      </c>
    </row>
    <row r="3438" spans="1:4" x14ac:dyDescent="0.25">
      <c r="A3438" t="s">
        <v>1990</v>
      </c>
      <c r="B3438" t="s">
        <v>1331</v>
      </c>
      <c r="C3438" t="s">
        <v>1193</v>
      </c>
      <c r="D3438">
        <v>18.399999999999999</v>
      </c>
    </row>
    <row r="3439" spans="1:4" x14ac:dyDescent="0.25">
      <c r="A3439" t="s">
        <v>1913</v>
      </c>
      <c r="B3439" t="s">
        <v>1335</v>
      </c>
      <c r="C3439" t="s">
        <v>1193</v>
      </c>
      <c r="D3439">
        <v>1</v>
      </c>
    </row>
    <row r="3440" spans="1:4" x14ac:dyDescent="0.25">
      <c r="A3440" t="s">
        <v>1978</v>
      </c>
      <c r="B3440" t="s">
        <v>1333</v>
      </c>
      <c r="C3440" t="s">
        <v>1193</v>
      </c>
      <c r="D3440">
        <v>3</v>
      </c>
    </row>
    <row r="3441" spans="1:4" x14ac:dyDescent="0.25">
      <c r="A3441" t="s">
        <v>1945</v>
      </c>
      <c r="B3441" t="s">
        <v>1333</v>
      </c>
      <c r="C3441" t="s">
        <v>1193</v>
      </c>
      <c r="D3441">
        <v>5</v>
      </c>
    </row>
    <row r="3442" spans="1:4" x14ac:dyDescent="0.25">
      <c r="A3442" t="s">
        <v>1978</v>
      </c>
      <c r="B3442" t="s">
        <v>1335</v>
      </c>
      <c r="C3442" t="s">
        <v>1193</v>
      </c>
      <c r="D3442">
        <v>25.5</v>
      </c>
    </row>
    <row r="3443" spans="1:4" x14ac:dyDescent="0.25">
      <c r="A3443" t="s">
        <v>1980</v>
      </c>
      <c r="B3443" t="s">
        <v>1331</v>
      </c>
      <c r="C3443" t="s">
        <v>1193</v>
      </c>
      <c r="D3443">
        <v>6</v>
      </c>
    </row>
    <row r="3444" spans="1:4" x14ac:dyDescent="0.25">
      <c r="A3444" t="s">
        <v>1945</v>
      </c>
      <c r="B3444" t="s">
        <v>1331</v>
      </c>
      <c r="C3444" t="s">
        <v>1193</v>
      </c>
      <c r="D3444">
        <v>2</v>
      </c>
    </row>
    <row r="3445" spans="1:4" x14ac:dyDescent="0.25">
      <c r="A3445" t="s">
        <v>2007</v>
      </c>
      <c r="B3445" t="s">
        <v>1330</v>
      </c>
      <c r="C3445" t="s">
        <v>1193</v>
      </c>
      <c r="D3445">
        <v>9.6999999999999993</v>
      </c>
    </row>
    <row r="3446" spans="1:4" x14ac:dyDescent="0.25">
      <c r="A3446" t="s">
        <v>1927</v>
      </c>
      <c r="B3446" t="s">
        <v>1330</v>
      </c>
      <c r="C3446" t="s">
        <v>1193</v>
      </c>
      <c r="D3446">
        <v>26.3</v>
      </c>
    </row>
    <row r="3447" spans="1:4" x14ac:dyDescent="0.25">
      <c r="A3447" t="s">
        <v>1927</v>
      </c>
      <c r="B3447" t="s">
        <v>1331</v>
      </c>
      <c r="C3447" t="s">
        <v>1193</v>
      </c>
      <c r="D3447">
        <v>23.1</v>
      </c>
    </row>
    <row r="3448" spans="1:4" x14ac:dyDescent="0.25">
      <c r="A3448" t="s">
        <v>1950</v>
      </c>
      <c r="B3448" t="s">
        <v>1331</v>
      </c>
      <c r="C3448" t="s">
        <v>1196</v>
      </c>
      <c r="D3448">
        <v>62.3</v>
      </c>
    </row>
    <row r="3449" spans="1:4" x14ac:dyDescent="0.25">
      <c r="A3449" t="s">
        <v>1921</v>
      </c>
      <c r="B3449" t="s">
        <v>1331</v>
      </c>
      <c r="C3449" t="s">
        <v>1196</v>
      </c>
      <c r="D3449">
        <v>449.6</v>
      </c>
    </row>
    <row r="3450" spans="1:4" x14ac:dyDescent="0.25">
      <c r="A3450" t="s">
        <v>1980</v>
      </c>
      <c r="B3450" t="s">
        <v>1333</v>
      </c>
      <c r="C3450" t="s">
        <v>1196</v>
      </c>
      <c r="D3450">
        <v>2</v>
      </c>
    </row>
    <row r="3451" spans="1:4" x14ac:dyDescent="0.25">
      <c r="A3451" t="s">
        <v>1904</v>
      </c>
      <c r="B3451" t="s">
        <v>1331</v>
      </c>
      <c r="C3451" t="s">
        <v>1196</v>
      </c>
      <c r="D3451">
        <v>1468.05</v>
      </c>
    </row>
    <row r="3452" spans="1:4" x14ac:dyDescent="0.25">
      <c r="A3452" t="s">
        <v>1904</v>
      </c>
      <c r="B3452" t="s">
        <v>1333</v>
      </c>
      <c r="C3452" t="s">
        <v>1196</v>
      </c>
      <c r="D3452">
        <v>38.799999999999997</v>
      </c>
    </row>
    <row r="3453" spans="1:4" x14ac:dyDescent="0.25">
      <c r="A3453" t="s">
        <v>1913</v>
      </c>
      <c r="B3453" t="s">
        <v>1333</v>
      </c>
      <c r="C3453" t="s">
        <v>1196</v>
      </c>
      <c r="D3453">
        <v>7.7</v>
      </c>
    </row>
    <row r="3454" spans="1:4" x14ac:dyDescent="0.25">
      <c r="A3454" t="s">
        <v>1911</v>
      </c>
      <c r="B3454" t="s">
        <v>1333</v>
      </c>
      <c r="C3454" t="s">
        <v>1196</v>
      </c>
      <c r="D3454">
        <v>29.1</v>
      </c>
    </row>
    <row r="3455" spans="1:4" x14ac:dyDescent="0.25">
      <c r="A3455" t="s">
        <v>1907</v>
      </c>
      <c r="B3455" t="s">
        <v>1335</v>
      </c>
      <c r="C3455" t="s">
        <v>1196</v>
      </c>
      <c r="D3455">
        <v>1</v>
      </c>
    </row>
    <row r="3456" spans="1:4" x14ac:dyDescent="0.25">
      <c r="A3456" t="s">
        <v>2018</v>
      </c>
      <c r="B3456" t="s">
        <v>1333</v>
      </c>
      <c r="C3456" t="s">
        <v>1196</v>
      </c>
      <c r="D3456">
        <v>19.8</v>
      </c>
    </row>
    <row r="3457" spans="1:4" x14ac:dyDescent="0.25">
      <c r="A3457" t="s">
        <v>2071</v>
      </c>
      <c r="B3457" t="s">
        <v>1331</v>
      </c>
      <c r="C3457" t="s">
        <v>1196</v>
      </c>
      <c r="D3457">
        <v>1040</v>
      </c>
    </row>
    <row r="3458" spans="1:4" x14ac:dyDescent="0.25">
      <c r="A3458" t="s">
        <v>1962</v>
      </c>
      <c r="B3458" t="s">
        <v>1331</v>
      </c>
      <c r="C3458" t="s">
        <v>1196</v>
      </c>
      <c r="D3458">
        <v>7.7</v>
      </c>
    </row>
    <row r="3459" spans="1:4" x14ac:dyDescent="0.25">
      <c r="A3459" t="s">
        <v>2067</v>
      </c>
      <c r="B3459" t="s">
        <v>1331</v>
      </c>
      <c r="C3459" t="s">
        <v>1196</v>
      </c>
      <c r="D3459">
        <v>15.75</v>
      </c>
    </row>
    <row r="3460" spans="1:4" x14ac:dyDescent="0.25">
      <c r="A3460" t="s">
        <v>1965</v>
      </c>
      <c r="B3460" t="s">
        <v>1331</v>
      </c>
      <c r="C3460" t="s">
        <v>1196</v>
      </c>
      <c r="D3460">
        <v>170.7</v>
      </c>
    </row>
    <row r="3461" spans="1:4" x14ac:dyDescent="0.25">
      <c r="A3461" t="s">
        <v>1909</v>
      </c>
      <c r="B3461" t="s">
        <v>1335</v>
      </c>
      <c r="C3461" t="s">
        <v>1196</v>
      </c>
      <c r="D3461">
        <v>1</v>
      </c>
    </row>
    <row r="3462" spans="1:4" x14ac:dyDescent="0.25">
      <c r="A3462" t="s">
        <v>1979</v>
      </c>
      <c r="B3462" t="s">
        <v>1331</v>
      </c>
      <c r="C3462" t="s">
        <v>1196</v>
      </c>
      <c r="D3462">
        <v>2</v>
      </c>
    </row>
    <row r="3463" spans="1:4" x14ac:dyDescent="0.25">
      <c r="A3463" t="s">
        <v>2017</v>
      </c>
      <c r="B3463" t="s">
        <v>1331</v>
      </c>
      <c r="C3463" t="s">
        <v>1196</v>
      </c>
      <c r="D3463">
        <v>109.5</v>
      </c>
    </row>
    <row r="3464" spans="1:4" x14ac:dyDescent="0.25">
      <c r="A3464" t="s">
        <v>1988</v>
      </c>
      <c r="B3464" t="s">
        <v>1330</v>
      </c>
      <c r="C3464" t="s">
        <v>1196</v>
      </c>
      <c r="D3464">
        <v>38.4</v>
      </c>
    </row>
    <row r="3465" spans="1:4" x14ac:dyDescent="0.25">
      <c r="A3465" t="s">
        <v>1990</v>
      </c>
      <c r="B3465" t="s">
        <v>1331</v>
      </c>
      <c r="C3465" t="s">
        <v>1196</v>
      </c>
      <c r="D3465">
        <v>113.8</v>
      </c>
    </row>
    <row r="3466" spans="1:4" x14ac:dyDescent="0.25">
      <c r="A3466" t="s">
        <v>1927</v>
      </c>
      <c r="B3466" t="s">
        <v>1331</v>
      </c>
      <c r="C3466" t="s">
        <v>1196</v>
      </c>
      <c r="D3466">
        <v>211.6</v>
      </c>
    </row>
    <row r="3467" spans="1:4" x14ac:dyDescent="0.25">
      <c r="A3467" t="s">
        <v>1988</v>
      </c>
      <c r="B3467" t="s">
        <v>1335</v>
      </c>
      <c r="C3467" t="s">
        <v>1196</v>
      </c>
      <c r="D3467">
        <v>11.4</v>
      </c>
    </row>
    <row r="3468" spans="1:4" x14ac:dyDescent="0.25">
      <c r="A3468" t="s">
        <v>1980</v>
      </c>
      <c r="B3468" t="s">
        <v>1331</v>
      </c>
      <c r="C3468" t="s">
        <v>1196</v>
      </c>
      <c r="D3468">
        <v>41.55</v>
      </c>
    </row>
    <row r="3469" spans="1:4" x14ac:dyDescent="0.25">
      <c r="A3469" t="s">
        <v>1973</v>
      </c>
      <c r="B3469" t="s">
        <v>1331</v>
      </c>
      <c r="C3469" t="s">
        <v>1196</v>
      </c>
      <c r="D3469">
        <v>21.6</v>
      </c>
    </row>
    <row r="3470" spans="1:4" x14ac:dyDescent="0.25">
      <c r="A3470" t="s">
        <v>1995</v>
      </c>
      <c r="B3470" t="s">
        <v>1330</v>
      </c>
      <c r="C3470" t="s">
        <v>1196</v>
      </c>
      <c r="D3470">
        <v>3</v>
      </c>
    </row>
    <row r="3471" spans="1:4" x14ac:dyDescent="0.25">
      <c r="A3471" t="s">
        <v>1950</v>
      </c>
      <c r="B3471" t="s">
        <v>1331</v>
      </c>
      <c r="C3471" t="s">
        <v>1199</v>
      </c>
      <c r="D3471">
        <v>79.7</v>
      </c>
    </row>
    <row r="3472" spans="1:4" x14ac:dyDescent="0.25">
      <c r="A3472" t="s">
        <v>1956</v>
      </c>
      <c r="B3472" t="s">
        <v>1335</v>
      </c>
      <c r="C3472" t="s">
        <v>1199</v>
      </c>
      <c r="D3472">
        <v>2</v>
      </c>
    </row>
    <row r="3473" spans="1:4" x14ac:dyDescent="0.25">
      <c r="A3473" t="s">
        <v>1913</v>
      </c>
      <c r="B3473" t="s">
        <v>1335</v>
      </c>
      <c r="C3473" t="s">
        <v>1199</v>
      </c>
      <c r="D3473">
        <v>7.7</v>
      </c>
    </row>
    <row r="3474" spans="1:4" x14ac:dyDescent="0.25">
      <c r="A3474" t="s">
        <v>1927</v>
      </c>
      <c r="B3474" t="s">
        <v>1331</v>
      </c>
      <c r="C3474" t="s">
        <v>1199</v>
      </c>
      <c r="D3474">
        <v>84.7</v>
      </c>
    </row>
    <row r="3475" spans="1:4" x14ac:dyDescent="0.25">
      <c r="A3475" t="s">
        <v>2049</v>
      </c>
      <c r="B3475" t="s">
        <v>1331</v>
      </c>
      <c r="C3475" t="s">
        <v>1199</v>
      </c>
      <c r="D3475">
        <v>35.799999999999997</v>
      </c>
    </row>
    <row r="3476" spans="1:4" x14ac:dyDescent="0.25">
      <c r="A3476" t="s">
        <v>1978</v>
      </c>
      <c r="B3476" t="s">
        <v>1331</v>
      </c>
      <c r="C3476" t="s">
        <v>1199</v>
      </c>
      <c r="D3476">
        <v>2</v>
      </c>
    </row>
    <row r="3477" spans="1:4" x14ac:dyDescent="0.25">
      <c r="A3477" t="s">
        <v>2048</v>
      </c>
      <c r="B3477" t="s">
        <v>1334</v>
      </c>
      <c r="C3477" t="s">
        <v>1199</v>
      </c>
      <c r="D3477">
        <v>1.5</v>
      </c>
    </row>
    <row r="3478" spans="1:4" x14ac:dyDescent="0.25">
      <c r="A3478" t="s">
        <v>1990</v>
      </c>
      <c r="B3478" t="s">
        <v>1331</v>
      </c>
      <c r="C3478" t="s">
        <v>1199</v>
      </c>
      <c r="D3478">
        <v>237.3</v>
      </c>
    </row>
    <row r="3479" spans="1:4" x14ac:dyDescent="0.25">
      <c r="A3479" t="s">
        <v>1988</v>
      </c>
      <c r="B3479" t="s">
        <v>1330</v>
      </c>
      <c r="C3479" t="s">
        <v>1199</v>
      </c>
      <c r="D3479">
        <v>38</v>
      </c>
    </row>
    <row r="3480" spans="1:4" x14ac:dyDescent="0.25">
      <c r="A3480" t="s">
        <v>1907</v>
      </c>
      <c r="B3480" t="s">
        <v>1335</v>
      </c>
      <c r="C3480" t="s">
        <v>1199</v>
      </c>
      <c r="D3480">
        <v>2.7</v>
      </c>
    </row>
    <row r="3481" spans="1:4" x14ac:dyDescent="0.25">
      <c r="A3481" t="s">
        <v>1983</v>
      </c>
      <c r="B3481" t="s">
        <v>1335</v>
      </c>
      <c r="C3481" t="s">
        <v>1199</v>
      </c>
      <c r="D3481">
        <v>10.199999999999999</v>
      </c>
    </row>
    <row r="3482" spans="1:4" x14ac:dyDescent="0.25">
      <c r="A3482" t="s">
        <v>2043</v>
      </c>
      <c r="B3482" t="s">
        <v>1334</v>
      </c>
      <c r="C3482" t="s">
        <v>1199</v>
      </c>
      <c r="D3482">
        <v>26.7</v>
      </c>
    </row>
    <row r="3483" spans="1:4" x14ac:dyDescent="0.25">
      <c r="A3483" t="s">
        <v>2007</v>
      </c>
      <c r="B3483" t="s">
        <v>1331</v>
      </c>
      <c r="C3483" t="s">
        <v>1199</v>
      </c>
      <c r="D3483">
        <v>4</v>
      </c>
    </row>
    <row r="3484" spans="1:4" x14ac:dyDescent="0.25">
      <c r="A3484" t="s">
        <v>1980</v>
      </c>
      <c r="B3484" t="s">
        <v>1331</v>
      </c>
      <c r="C3484" t="s">
        <v>1199</v>
      </c>
      <c r="D3484">
        <v>65.349999999999994</v>
      </c>
    </row>
    <row r="3485" spans="1:4" x14ac:dyDescent="0.25">
      <c r="A3485" t="s">
        <v>1997</v>
      </c>
      <c r="B3485" t="s">
        <v>1331</v>
      </c>
      <c r="C3485" t="s">
        <v>1199</v>
      </c>
      <c r="D3485">
        <v>883.1</v>
      </c>
    </row>
    <row r="3486" spans="1:4" x14ac:dyDescent="0.25">
      <c r="A3486" t="s">
        <v>2005</v>
      </c>
      <c r="B3486" t="s">
        <v>1331</v>
      </c>
      <c r="C3486" t="s">
        <v>1199</v>
      </c>
      <c r="D3486">
        <v>9.1999999999999993</v>
      </c>
    </row>
    <row r="3487" spans="1:4" x14ac:dyDescent="0.25">
      <c r="A3487" t="s">
        <v>1979</v>
      </c>
      <c r="B3487" t="s">
        <v>1331</v>
      </c>
      <c r="C3487" t="s">
        <v>1199</v>
      </c>
      <c r="D3487">
        <v>51.2</v>
      </c>
    </row>
    <row r="3488" spans="1:4" x14ac:dyDescent="0.25">
      <c r="A3488" t="s">
        <v>2017</v>
      </c>
      <c r="B3488" t="s">
        <v>1331</v>
      </c>
      <c r="C3488" t="s">
        <v>1199</v>
      </c>
      <c r="D3488">
        <v>35.799999999999997</v>
      </c>
    </row>
    <row r="3489" spans="1:4" x14ac:dyDescent="0.25">
      <c r="A3489" t="s">
        <v>2001</v>
      </c>
      <c r="B3489" t="s">
        <v>1333</v>
      </c>
      <c r="C3489" t="s">
        <v>1199</v>
      </c>
      <c r="D3489">
        <v>4.3</v>
      </c>
    </row>
    <row r="3490" spans="1:4" x14ac:dyDescent="0.25">
      <c r="A3490" t="s">
        <v>1996</v>
      </c>
      <c r="B3490" t="s">
        <v>1335</v>
      </c>
      <c r="C3490" t="s">
        <v>1199</v>
      </c>
      <c r="D3490">
        <v>8</v>
      </c>
    </row>
    <row r="3491" spans="1:4" x14ac:dyDescent="0.25">
      <c r="A3491" t="s">
        <v>2001</v>
      </c>
      <c r="B3491" t="s">
        <v>1330</v>
      </c>
      <c r="C3491" t="s">
        <v>1199</v>
      </c>
      <c r="D3491">
        <v>21.1</v>
      </c>
    </row>
    <row r="3492" spans="1:4" x14ac:dyDescent="0.25">
      <c r="A3492" t="s">
        <v>1978</v>
      </c>
      <c r="B3492" t="s">
        <v>1333</v>
      </c>
      <c r="C3492" t="s">
        <v>1199</v>
      </c>
      <c r="D3492">
        <v>41</v>
      </c>
    </row>
    <row r="3493" spans="1:4" x14ac:dyDescent="0.25">
      <c r="A3493" t="s">
        <v>1973</v>
      </c>
      <c r="B3493" t="s">
        <v>1333</v>
      </c>
      <c r="C3493" t="s">
        <v>1199</v>
      </c>
      <c r="D3493">
        <v>7.7</v>
      </c>
    </row>
    <row r="3494" spans="1:4" x14ac:dyDescent="0.25">
      <c r="A3494" t="s">
        <v>1978</v>
      </c>
      <c r="B3494" t="s">
        <v>1335</v>
      </c>
      <c r="C3494" t="s">
        <v>1199</v>
      </c>
      <c r="D3494">
        <v>54.2</v>
      </c>
    </row>
    <row r="3495" spans="1:4" x14ac:dyDescent="0.25">
      <c r="A3495" t="s">
        <v>1980</v>
      </c>
      <c r="B3495" t="s">
        <v>1333</v>
      </c>
      <c r="C3495" t="s">
        <v>1199</v>
      </c>
      <c r="D3495">
        <v>15.35</v>
      </c>
    </row>
    <row r="3496" spans="1:4" x14ac:dyDescent="0.25">
      <c r="A3496" t="s">
        <v>1997</v>
      </c>
      <c r="B3496" t="s">
        <v>1333</v>
      </c>
      <c r="C3496" t="s">
        <v>1199</v>
      </c>
      <c r="D3496">
        <v>6</v>
      </c>
    </row>
    <row r="3497" spans="1:4" x14ac:dyDescent="0.25">
      <c r="A3497" t="s">
        <v>1988</v>
      </c>
      <c r="B3497" t="s">
        <v>1330</v>
      </c>
      <c r="C3497" t="s">
        <v>1203</v>
      </c>
      <c r="D3497">
        <v>120.4</v>
      </c>
    </row>
    <row r="3498" spans="1:4" x14ac:dyDescent="0.25">
      <c r="A3498" t="s">
        <v>1950</v>
      </c>
      <c r="B3498" t="s">
        <v>1331</v>
      </c>
      <c r="C3498" t="s">
        <v>1203</v>
      </c>
      <c r="D3498">
        <v>3</v>
      </c>
    </row>
    <row r="3499" spans="1:4" x14ac:dyDescent="0.25">
      <c r="A3499" t="s">
        <v>1990</v>
      </c>
      <c r="B3499" t="s">
        <v>1331</v>
      </c>
      <c r="C3499" t="s">
        <v>1203</v>
      </c>
      <c r="D3499">
        <v>22.9</v>
      </c>
    </row>
    <row r="3500" spans="1:4" x14ac:dyDescent="0.25">
      <c r="A3500" t="s">
        <v>1921</v>
      </c>
      <c r="B3500" t="s">
        <v>1330</v>
      </c>
      <c r="C3500" t="s">
        <v>1203</v>
      </c>
      <c r="D3500">
        <v>175.6</v>
      </c>
    </row>
    <row r="3501" spans="1:4" x14ac:dyDescent="0.25">
      <c r="A3501" t="s">
        <v>1979</v>
      </c>
      <c r="B3501" t="s">
        <v>1331</v>
      </c>
      <c r="C3501" t="s">
        <v>1203</v>
      </c>
      <c r="D3501">
        <v>7.7</v>
      </c>
    </row>
    <row r="3502" spans="1:4" x14ac:dyDescent="0.25">
      <c r="A3502" t="s">
        <v>2067</v>
      </c>
      <c r="B3502" t="s">
        <v>1330</v>
      </c>
      <c r="C3502" t="s">
        <v>1203</v>
      </c>
      <c r="D3502">
        <v>23.1</v>
      </c>
    </row>
    <row r="3503" spans="1:4" x14ac:dyDescent="0.25">
      <c r="A3503" t="s">
        <v>2016</v>
      </c>
      <c r="B3503" t="s">
        <v>1331</v>
      </c>
      <c r="C3503" t="s">
        <v>1203</v>
      </c>
      <c r="D3503">
        <v>1.67</v>
      </c>
    </row>
    <row r="3504" spans="1:4" x14ac:dyDescent="0.25">
      <c r="A3504" t="s">
        <v>2049</v>
      </c>
      <c r="B3504" t="s">
        <v>1331</v>
      </c>
      <c r="C3504" t="s">
        <v>1203</v>
      </c>
      <c r="D3504">
        <v>5.2</v>
      </c>
    </row>
    <row r="3505" spans="1:4" x14ac:dyDescent="0.25">
      <c r="A3505" t="s">
        <v>1913</v>
      </c>
      <c r="B3505" t="s">
        <v>1335</v>
      </c>
      <c r="C3505" t="s">
        <v>1203</v>
      </c>
      <c r="D3505">
        <v>7</v>
      </c>
    </row>
    <row r="3506" spans="1:4" x14ac:dyDescent="0.25">
      <c r="A3506" t="s">
        <v>2067</v>
      </c>
      <c r="B3506" t="s">
        <v>1331</v>
      </c>
      <c r="C3506" t="s">
        <v>1203</v>
      </c>
      <c r="D3506">
        <v>47.2</v>
      </c>
    </row>
    <row r="3507" spans="1:4" x14ac:dyDescent="0.25">
      <c r="A3507" t="s">
        <v>1907</v>
      </c>
      <c r="B3507" t="s">
        <v>1335</v>
      </c>
      <c r="C3507" t="s">
        <v>1203</v>
      </c>
      <c r="D3507">
        <v>1</v>
      </c>
    </row>
    <row r="3508" spans="1:4" x14ac:dyDescent="0.25">
      <c r="A3508" t="s">
        <v>1980</v>
      </c>
      <c r="B3508" t="s">
        <v>1331</v>
      </c>
      <c r="C3508" t="s">
        <v>1203</v>
      </c>
      <c r="D3508">
        <v>279.45</v>
      </c>
    </row>
    <row r="3509" spans="1:4" x14ac:dyDescent="0.25">
      <c r="A3509" t="s">
        <v>2005</v>
      </c>
      <c r="B3509" t="s">
        <v>1331</v>
      </c>
      <c r="C3509" t="s">
        <v>1203</v>
      </c>
      <c r="D3509">
        <v>1087.45</v>
      </c>
    </row>
    <row r="3510" spans="1:4" x14ac:dyDescent="0.25">
      <c r="A3510" t="s">
        <v>1995</v>
      </c>
      <c r="B3510" t="s">
        <v>1331</v>
      </c>
      <c r="C3510" t="s">
        <v>1203</v>
      </c>
      <c r="D3510">
        <v>3.5</v>
      </c>
    </row>
    <row r="3511" spans="1:4" x14ac:dyDescent="0.25">
      <c r="A3511" t="s">
        <v>1995</v>
      </c>
      <c r="B3511" t="s">
        <v>1330</v>
      </c>
      <c r="C3511" t="s">
        <v>1203</v>
      </c>
      <c r="D3511">
        <v>3.7</v>
      </c>
    </row>
    <row r="3512" spans="1:4" x14ac:dyDescent="0.25">
      <c r="A3512" t="s">
        <v>1923</v>
      </c>
      <c r="B3512" t="s">
        <v>1331</v>
      </c>
      <c r="C3512" t="s">
        <v>1203</v>
      </c>
      <c r="D3512">
        <v>1190.5</v>
      </c>
    </row>
    <row r="3513" spans="1:4" x14ac:dyDescent="0.25">
      <c r="A3513" t="s">
        <v>2007</v>
      </c>
      <c r="B3513" t="s">
        <v>1330</v>
      </c>
      <c r="C3513" t="s">
        <v>1203</v>
      </c>
      <c r="D3513">
        <v>112.1</v>
      </c>
    </row>
    <row r="3514" spans="1:4" x14ac:dyDescent="0.25">
      <c r="A3514" t="s">
        <v>2007</v>
      </c>
      <c r="B3514" t="s">
        <v>1331</v>
      </c>
      <c r="C3514" t="s">
        <v>1203</v>
      </c>
      <c r="D3514">
        <v>5.7</v>
      </c>
    </row>
    <row r="3515" spans="1:4" x14ac:dyDescent="0.25">
      <c r="A3515" t="s">
        <v>1945</v>
      </c>
      <c r="B3515" t="s">
        <v>1331</v>
      </c>
      <c r="C3515" t="s">
        <v>1203</v>
      </c>
      <c r="D3515">
        <v>1</v>
      </c>
    </row>
    <row r="3516" spans="1:4" x14ac:dyDescent="0.25">
      <c r="A3516" t="s">
        <v>1973</v>
      </c>
      <c r="B3516" t="s">
        <v>1331</v>
      </c>
      <c r="C3516" t="s">
        <v>1203</v>
      </c>
      <c r="D3516">
        <v>7.7</v>
      </c>
    </row>
    <row r="3517" spans="1:4" x14ac:dyDescent="0.25">
      <c r="A3517" t="s">
        <v>1927</v>
      </c>
      <c r="B3517" t="s">
        <v>1331</v>
      </c>
      <c r="C3517" t="s">
        <v>1240</v>
      </c>
      <c r="D3517">
        <v>88.55</v>
      </c>
    </row>
    <row r="3518" spans="1:4" x14ac:dyDescent="0.25">
      <c r="A3518" t="s">
        <v>1950</v>
      </c>
      <c r="B3518" t="s">
        <v>1334</v>
      </c>
      <c r="C3518" t="s">
        <v>1240</v>
      </c>
      <c r="D3518">
        <v>2.85</v>
      </c>
    </row>
    <row r="3519" spans="1:4" x14ac:dyDescent="0.25">
      <c r="A3519" t="s">
        <v>2019</v>
      </c>
      <c r="B3519" t="s">
        <v>1334</v>
      </c>
      <c r="C3519" t="s">
        <v>1240</v>
      </c>
      <c r="D3519">
        <v>96</v>
      </c>
    </row>
    <row r="3520" spans="1:4" x14ac:dyDescent="0.25">
      <c r="A3520" t="s">
        <v>1990</v>
      </c>
      <c r="B3520" t="s">
        <v>1334</v>
      </c>
      <c r="C3520" t="s">
        <v>1240</v>
      </c>
      <c r="D3520">
        <v>21.7</v>
      </c>
    </row>
    <row r="3521" spans="1:4" x14ac:dyDescent="0.25">
      <c r="A3521" t="s">
        <v>1911</v>
      </c>
      <c r="B3521" t="s">
        <v>1335</v>
      </c>
      <c r="C3521" t="s">
        <v>1240</v>
      </c>
      <c r="D3521">
        <v>19.8</v>
      </c>
    </row>
    <row r="3522" spans="1:4" x14ac:dyDescent="0.25">
      <c r="A3522" t="s">
        <v>1983</v>
      </c>
      <c r="B3522" t="s">
        <v>1335</v>
      </c>
      <c r="C3522" t="s">
        <v>1240</v>
      </c>
      <c r="D3522">
        <v>56.1</v>
      </c>
    </row>
    <row r="3523" spans="1:4" x14ac:dyDescent="0.25">
      <c r="A3523" t="s">
        <v>1920</v>
      </c>
      <c r="B3523" t="s">
        <v>1334</v>
      </c>
      <c r="C3523" t="s">
        <v>1240</v>
      </c>
      <c r="D3523">
        <v>35.5</v>
      </c>
    </row>
    <row r="3524" spans="1:4" x14ac:dyDescent="0.25">
      <c r="A3524" t="s">
        <v>1995</v>
      </c>
      <c r="B3524" t="s">
        <v>1330</v>
      </c>
      <c r="C3524" t="s">
        <v>1240</v>
      </c>
      <c r="D3524">
        <v>38.1</v>
      </c>
    </row>
    <row r="3525" spans="1:4" x14ac:dyDescent="0.25">
      <c r="A3525" t="s">
        <v>1989</v>
      </c>
      <c r="B3525" t="s">
        <v>1331</v>
      </c>
      <c r="C3525" t="s">
        <v>1240</v>
      </c>
      <c r="D3525">
        <v>19.100000000000001</v>
      </c>
    </row>
    <row r="3526" spans="1:4" x14ac:dyDescent="0.25">
      <c r="A3526" t="s">
        <v>1965</v>
      </c>
      <c r="B3526" t="s">
        <v>1331</v>
      </c>
      <c r="C3526" t="s">
        <v>1240</v>
      </c>
      <c r="D3526">
        <v>965.65</v>
      </c>
    </row>
    <row r="3527" spans="1:4" x14ac:dyDescent="0.25">
      <c r="A3527" t="s">
        <v>1907</v>
      </c>
      <c r="B3527" t="s">
        <v>1335</v>
      </c>
      <c r="C3527" t="s">
        <v>1240</v>
      </c>
      <c r="D3527">
        <v>1.7</v>
      </c>
    </row>
    <row r="3528" spans="1:4" x14ac:dyDescent="0.25">
      <c r="A3528" t="s">
        <v>2021</v>
      </c>
      <c r="B3528" t="s">
        <v>1334</v>
      </c>
      <c r="C3528" t="s">
        <v>1240</v>
      </c>
      <c r="D3528">
        <v>2</v>
      </c>
    </row>
    <row r="3529" spans="1:4" x14ac:dyDescent="0.25">
      <c r="A3529" t="s">
        <v>1972</v>
      </c>
      <c r="B3529" t="s">
        <v>1334</v>
      </c>
      <c r="C3529" t="s">
        <v>1240</v>
      </c>
      <c r="D3529">
        <v>1.5</v>
      </c>
    </row>
    <row r="3530" spans="1:4" x14ac:dyDescent="0.25">
      <c r="A3530" t="s">
        <v>1978</v>
      </c>
      <c r="B3530" t="s">
        <v>1335</v>
      </c>
      <c r="C3530" t="s">
        <v>1240</v>
      </c>
      <c r="D3530">
        <v>63.65</v>
      </c>
    </row>
    <row r="3531" spans="1:4" x14ac:dyDescent="0.25">
      <c r="A3531" t="s">
        <v>1971</v>
      </c>
      <c r="B3531" t="s">
        <v>1330</v>
      </c>
      <c r="C3531" t="s">
        <v>1240</v>
      </c>
      <c r="D3531">
        <v>71.3</v>
      </c>
    </row>
    <row r="3532" spans="1:4" x14ac:dyDescent="0.25">
      <c r="A3532" t="s">
        <v>1913</v>
      </c>
      <c r="B3532" t="s">
        <v>1335</v>
      </c>
      <c r="C3532" t="s">
        <v>1240</v>
      </c>
      <c r="D3532">
        <v>13.55</v>
      </c>
    </row>
    <row r="3533" spans="1:4" x14ac:dyDescent="0.25">
      <c r="A3533" t="s">
        <v>1902</v>
      </c>
      <c r="B3533" t="s">
        <v>1335</v>
      </c>
      <c r="C3533" t="s">
        <v>1240</v>
      </c>
      <c r="D3533">
        <v>17</v>
      </c>
    </row>
    <row r="3534" spans="1:4" x14ac:dyDescent="0.25">
      <c r="A3534" t="s">
        <v>1962</v>
      </c>
      <c r="B3534" t="s">
        <v>1331</v>
      </c>
      <c r="C3534" t="s">
        <v>1240</v>
      </c>
      <c r="D3534">
        <v>2</v>
      </c>
    </row>
    <row r="3535" spans="1:4" x14ac:dyDescent="0.25">
      <c r="A3535" t="s">
        <v>1929</v>
      </c>
      <c r="B3535" t="s">
        <v>1331</v>
      </c>
      <c r="C3535" t="s">
        <v>1504</v>
      </c>
      <c r="D3535">
        <v>123</v>
      </c>
    </row>
    <row r="3536" spans="1:4" x14ac:dyDescent="0.25">
      <c r="A3536" t="s">
        <v>2021</v>
      </c>
      <c r="B3536" t="s">
        <v>1334</v>
      </c>
      <c r="C3536" t="s">
        <v>1504</v>
      </c>
      <c r="D3536">
        <v>7.7</v>
      </c>
    </row>
    <row r="3537" spans="1:4" x14ac:dyDescent="0.25">
      <c r="A3537" t="s">
        <v>1960</v>
      </c>
      <c r="B3537" t="s">
        <v>1331</v>
      </c>
      <c r="C3537" t="s">
        <v>1504</v>
      </c>
      <c r="D3537">
        <v>4.0999999999999996</v>
      </c>
    </row>
    <row r="3538" spans="1:4" x14ac:dyDescent="0.25">
      <c r="A3538" t="s">
        <v>2021</v>
      </c>
      <c r="B3538" t="s">
        <v>1334</v>
      </c>
      <c r="C3538" t="s">
        <v>1552</v>
      </c>
      <c r="D3538">
        <v>15.7</v>
      </c>
    </row>
    <row r="3539" spans="1:4" x14ac:dyDescent="0.25">
      <c r="A3539" t="s">
        <v>1902</v>
      </c>
      <c r="B3539" t="s">
        <v>1335</v>
      </c>
      <c r="C3539" t="s">
        <v>1552</v>
      </c>
      <c r="D3539">
        <v>1.85</v>
      </c>
    </row>
    <row r="3540" spans="1:4" x14ac:dyDescent="0.25">
      <c r="A3540" t="s">
        <v>1929</v>
      </c>
      <c r="B3540" t="s">
        <v>1331</v>
      </c>
      <c r="C3540" t="s">
        <v>1552</v>
      </c>
      <c r="D3540">
        <v>46</v>
      </c>
    </row>
    <row r="3541" spans="1:4" x14ac:dyDescent="0.25">
      <c r="A3541" t="s">
        <v>1911</v>
      </c>
      <c r="B3541" t="s">
        <v>1335</v>
      </c>
      <c r="C3541" t="s">
        <v>1552</v>
      </c>
      <c r="D3541">
        <v>7.7</v>
      </c>
    </row>
    <row r="3542" spans="1:4" x14ac:dyDescent="0.25">
      <c r="A3542" t="s">
        <v>1913</v>
      </c>
      <c r="B3542" t="s">
        <v>1335</v>
      </c>
      <c r="C3542" t="s">
        <v>1552</v>
      </c>
      <c r="D3542">
        <v>6.35</v>
      </c>
    </row>
    <row r="3543" spans="1:4" x14ac:dyDescent="0.25">
      <c r="A3543" t="s">
        <v>1960</v>
      </c>
      <c r="B3543" t="s">
        <v>1331</v>
      </c>
      <c r="C3543" t="s">
        <v>1552</v>
      </c>
      <c r="D3543">
        <v>3.5</v>
      </c>
    </row>
    <row r="3544" spans="1:4" x14ac:dyDescent="0.25">
      <c r="A3544" t="s">
        <v>1923</v>
      </c>
      <c r="B3544" t="s">
        <v>1331</v>
      </c>
      <c r="C3544" t="s">
        <v>1243</v>
      </c>
      <c r="D3544">
        <v>9.6999999999999993</v>
      </c>
    </row>
    <row r="3545" spans="1:4" x14ac:dyDescent="0.25">
      <c r="A3545" t="s">
        <v>1973</v>
      </c>
      <c r="B3545" t="s">
        <v>1331</v>
      </c>
      <c r="C3545" t="s">
        <v>1243</v>
      </c>
      <c r="D3545">
        <v>16.05</v>
      </c>
    </row>
    <row r="3546" spans="1:4" x14ac:dyDescent="0.25">
      <c r="A3546" t="s">
        <v>1968</v>
      </c>
      <c r="B3546" t="s">
        <v>1330</v>
      </c>
      <c r="C3546" t="s">
        <v>1243</v>
      </c>
      <c r="D3546">
        <v>41.1</v>
      </c>
    </row>
    <row r="3547" spans="1:4" x14ac:dyDescent="0.25">
      <c r="A3547" t="s">
        <v>1927</v>
      </c>
      <c r="B3547" t="s">
        <v>1331</v>
      </c>
      <c r="C3547" t="s">
        <v>1243</v>
      </c>
      <c r="D3547">
        <v>42.35</v>
      </c>
    </row>
    <row r="3548" spans="1:4" x14ac:dyDescent="0.25">
      <c r="A3548" t="s">
        <v>1921</v>
      </c>
      <c r="B3548" t="s">
        <v>1330</v>
      </c>
      <c r="C3548" t="s">
        <v>1243</v>
      </c>
      <c r="D3548">
        <v>79.7</v>
      </c>
    </row>
    <row r="3549" spans="1:4" x14ac:dyDescent="0.25">
      <c r="A3549" t="s">
        <v>1909</v>
      </c>
      <c r="B3549" t="s">
        <v>1335</v>
      </c>
      <c r="C3549" t="s">
        <v>1243</v>
      </c>
      <c r="D3549">
        <v>61.5</v>
      </c>
    </row>
    <row r="3550" spans="1:4" x14ac:dyDescent="0.25">
      <c r="A3550" t="s">
        <v>1962</v>
      </c>
      <c r="B3550" t="s">
        <v>1331</v>
      </c>
      <c r="C3550" t="s">
        <v>1243</v>
      </c>
      <c r="D3550">
        <v>646.6</v>
      </c>
    </row>
    <row r="3551" spans="1:4" x14ac:dyDescent="0.25">
      <c r="A3551" t="s">
        <v>1995</v>
      </c>
      <c r="B3551" t="s">
        <v>1330</v>
      </c>
      <c r="C3551" t="s">
        <v>1243</v>
      </c>
      <c r="D3551">
        <v>268.10000000000002</v>
      </c>
    </row>
    <row r="3552" spans="1:4" x14ac:dyDescent="0.25">
      <c r="A3552" t="s">
        <v>1971</v>
      </c>
      <c r="B3552" t="s">
        <v>1330</v>
      </c>
      <c r="C3552" t="s">
        <v>1243</v>
      </c>
      <c r="D3552">
        <v>40.299999999999997</v>
      </c>
    </row>
    <row r="3553" spans="1:4" x14ac:dyDescent="0.25">
      <c r="A3553" t="s">
        <v>1911</v>
      </c>
      <c r="B3553" t="s">
        <v>1335</v>
      </c>
      <c r="C3553" t="s">
        <v>1243</v>
      </c>
      <c r="D3553">
        <v>110.65</v>
      </c>
    </row>
    <row r="3554" spans="1:4" x14ac:dyDescent="0.25">
      <c r="A3554" t="s">
        <v>1913</v>
      </c>
      <c r="B3554" t="s">
        <v>1335</v>
      </c>
      <c r="C3554" t="s">
        <v>1243</v>
      </c>
      <c r="D3554">
        <v>6.7</v>
      </c>
    </row>
    <row r="3555" spans="1:4" x14ac:dyDescent="0.25">
      <c r="A3555" t="s">
        <v>2015</v>
      </c>
      <c r="B3555" t="s">
        <v>1331</v>
      </c>
      <c r="C3555" t="s">
        <v>1243</v>
      </c>
      <c r="D3555">
        <v>95.8</v>
      </c>
    </row>
    <row r="3556" spans="1:4" x14ac:dyDescent="0.25">
      <c r="A3556" t="s">
        <v>2019</v>
      </c>
      <c r="B3556" t="s">
        <v>1334</v>
      </c>
      <c r="C3556" t="s">
        <v>1356</v>
      </c>
      <c r="D3556">
        <v>402.15</v>
      </c>
    </row>
    <row r="3557" spans="1:4" x14ac:dyDescent="0.25">
      <c r="A3557" t="s">
        <v>1972</v>
      </c>
      <c r="B3557" t="s">
        <v>1334</v>
      </c>
      <c r="C3557" t="s">
        <v>1356</v>
      </c>
      <c r="D3557">
        <v>202.8</v>
      </c>
    </row>
    <row r="3558" spans="1:4" x14ac:dyDescent="0.25">
      <c r="A3558" t="s">
        <v>1985</v>
      </c>
      <c r="B3558" t="s">
        <v>1331</v>
      </c>
      <c r="C3558" t="s">
        <v>1356</v>
      </c>
      <c r="D3558">
        <v>59.8</v>
      </c>
    </row>
    <row r="3559" spans="1:4" x14ac:dyDescent="0.25">
      <c r="A3559" t="s">
        <v>1907</v>
      </c>
      <c r="B3559" t="s">
        <v>1335</v>
      </c>
      <c r="C3559" t="s">
        <v>1356</v>
      </c>
      <c r="D3559">
        <v>6.7</v>
      </c>
    </row>
    <row r="3560" spans="1:4" x14ac:dyDescent="0.25">
      <c r="A3560" t="s">
        <v>1990</v>
      </c>
      <c r="B3560" t="s">
        <v>1331</v>
      </c>
      <c r="C3560" t="s">
        <v>1356</v>
      </c>
      <c r="D3560">
        <v>25.4</v>
      </c>
    </row>
    <row r="3561" spans="1:4" x14ac:dyDescent="0.25">
      <c r="A3561" t="s">
        <v>1973</v>
      </c>
      <c r="B3561" t="s">
        <v>1331</v>
      </c>
      <c r="C3561" t="s">
        <v>1356</v>
      </c>
      <c r="D3561">
        <v>549.1</v>
      </c>
    </row>
    <row r="3562" spans="1:4" x14ac:dyDescent="0.25">
      <c r="A3562" t="s">
        <v>1989</v>
      </c>
      <c r="B3562" t="s">
        <v>1331</v>
      </c>
      <c r="C3562" t="s">
        <v>1356</v>
      </c>
      <c r="D3562">
        <v>22</v>
      </c>
    </row>
    <row r="3563" spans="1:4" x14ac:dyDescent="0.25">
      <c r="A3563" t="s">
        <v>1995</v>
      </c>
      <c r="B3563" t="s">
        <v>1330</v>
      </c>
      <c r="C3563" t="s">
        <v>1356</v>
      </c>
      <c r="D3563">
        <v>754.7</v>
      </c>
    </row>
    <row r="3564" spans="1:4" x14ac:dyDescent="0.25">
      <c r="A3564" t="s">
        <v>1971</v>
      </c>
      <c r="B3564" t="s">
        <v>1330</v>
      </c>
      <c r="C3564" t="s">
        <v>1356</v>
      </c>
      <c r="D3564">
        <v>96.1</v>
      </c>
    </row>
    <row r="3565" spans="1:4" x14ac:dyDescent="0.25">
      <c r="A3565" t="s">
        <v>1980</v>
      </c>
      <c r="B3565" t="s">
        <v>1331</v>
      </c>
      <c r="C3565" t="s">
        <v>1356</v>
      </c>
      <c r="D3565">
        <v>3</v>
      </c>
    </row>
    <row r="3566" spans="1:4" x14ac:dyDescent="0.25">
      <c r="A3566" t="s">
        <v>1911</v>
      </c>
      <c r="B3566" t="s">
        <v>1335</v>
      </c>
      <c r="C3566" t="s">
        <v>1356</v>
      </c>
      <c r="D3566">
        <v>59.2</v>
      </c>
    </row>
    <row r="3567" spans="1:4" x14ac:dyDescent="0.25">
      <c r="A3567" t="s">
        <v>1927</v>
      </c>
      <c r="B3567" t="s">
        <v>1331</v>
      </c>
      <c r="C3567" t="s">
        <v>1356</v>
      </c>
      <c r="D3567">
        <v>42.35</v>
      </c>
    </row>
    <row r="3568" spans="1:4" x14ac:dyDescent="0.25">
      <c r="A3568" t="s">
        <v>2021</v>
      </c>
      <c r="B3568" t="s">
        <v>1334</v>
      </c>
      <c r="C3568" t="s">
        <v>1356</v>
      </c>
      <c r="D3568">
        <v>39</v>
      </c>
    </row>
    <row r="3569" spans="1:4" x14ac:dyDescent="0.25">
      <c r="A3569" t="s">
        <v>2010</v>
      </c>
      <c r="B3569" t="s">
        <v>1331</v>
      </c>
      <c r="C3569" t="s">
        <v>1356</v>
      </c>
      <c r="D3569">
        <v>691.7</v>
      </c>
    </row>
    <row r="3570" spans="1:4" x14ac:dyDescent="0.25">
      <c r="A3570" t="s">
        <v>1909</v>
      </c>
      <c r="B3570" t="s">
        <v>1335</v>
      </c>
      <c r="C3570" t="s">
        <v>1356</v>
      </c>
      <c r="D3570">
        <v>7.5</v>
      </c>
    </row>
    <row r="3571" spans="1:4" x14ac:dyDescent="0.25">
      <c r="A3571" t="s">
        <v>2002</v>
      </c>
      <c r="B3571" t="s">
        <v>1331</v>
      </c>
      <c r="C3571" t="s">
        <v>1356</v>
      </c>
      <c r="D3571">
        <v>3.85</v>
      </c>
    </row>
    <row r="3572" spans="1:4" x14ac:dyDescent="0.25">
      <c r="A3572" t="s">
        <v>2027</v>
      </c>
      <c r="B3572" t="s">
        <v>1334</v>
      </c>
      <c r="C3572" t="s">
        <v>1356</v>
      </c>
      <c r="D3572">
        <v>11.2</v>
      </c>
    </row>
    <row r="3573" spans="1:4" x14ac:dyDescent="0.25">
      <c r="A3573" t="s">
        <v>1913</v>
      </c>
      <c r="B3573" t="s">
        <v>1335</v>
      </c>
      <c r="C3573" t="s">
        <v>1356</v>
      </c>
      <c r="D3573">
        <v>64.900000000000006</v>
      </c>
    </row>
    <row r="3574" spans="1:4" x14ac:dyDescent="0.25">
      <c r="A3574" t="s">
        <v>2043</v>
      </c>
      <c r="B3574" t="s">
        <v>1334</v>
      </c>
      <c r="C3574" t="s">
        <v>1356</v>
      </c>
      <c r="D3574">
        <v>25.4</v>
      </c>
    </row>
    <row r="3575" spans="1:4" x14ac:dyDescent="0.25">
      <c r="A3575" t="s">
        <v>1945</v>
      </c>
      <c r="B3575" t="s">
        <v>1331</v>
      </c>
      <c r="C3575" t="s">
        <v>1356</v>
      </c>
      <c r="D3575">
        <v>3</v>
      </c>
    </row>
    <row r="3576" spans="1:4" x14ac:dyDescent="0.25">
      <c r="A3576" t="s">
        <v>2041</v>
      </c>
      <c r="B3576" t="s">
        <v>1334</v>
      </c>
      <c r="C3576" t="s">
        <v>1356</v>
      </c>
      <c r="D3576">
        <v>7.7</v>
      </c>
    </row>
    <row r="3577" spans="1:4" x14ac:dyDescent="0.25">
      <c r="A3577" t="s">
        <v>1950</v>
      </c>
      <c r="B3577" t="s">
        <v>1331</v>
      </c>
      <c r="C3577" t="s">
        <v>1356</v>
      </c>
      <c r="D3577">
        <v>9.6999999999999993</v>
      </c>
    </row>
    <row r="3578" spans="1:4" x14ac:dyDescent="0.25">
      <c r="A3578" t="s">
        <v>2015</v>
      </c>
      <c r="B3578" t="s">
        <v>1331</v>
      </c>
      <c r="C3578" t="s">
        <v>1356</v>
      </c>
      <c r="D3578">
        <v>42.65</v>
      </c>
    </row>
    <row r="3579" spans="1:4" x14ac:dyDescent="0.25">
      <c r="A3579" t="s">
        <v>1995</v>
      </c>
      <c r="B3579" t="s">
        <v>1331</v>
      </c>
      <c r="C3579" t="s">
        <v>1356</v>
      </c>
      <c r="D3579">
        <v>13.05</v>
      </c>
    </row>
    <row r="3580" spans="1:4" x14ac:dyDescent="0.25">
      <c r="A3580" t="s">
        <v>1962</v>
      </c>
      <c r="B3580" t="s">
        <v>1331</v>
      </c>
      <c r="C3580" t="s">
        <v>1249</v>
      </c>
      <c r="D3580">
        <v>44.8</v>
      </c>
    </row>
    <row r="3581" spans="1:4" x14ac:dyDescent="0.25">
      <c r="A3581" t="s">
        <v>2021</v>
      </c>
      <c r="B3581" t="s">
        <v>1334</v>
      </c>
      <c r="C3581" t="s">
        <v>1249</v>
      </c>
      <c r="D3581">
        <v>2</v>
      </c>
    </row>
    <row r="3582" spans="1:4" x14ac:dyDescent="0.25">
      <c r="A3582" t="s">
        <v>1927</v>
      </c>
      <c r="B3582" t="s">
        <v>1333</v>
      </c>
      <c r="C3582" t="s">
        <v>1249</v>
      </c>
      <c r="D3582">
        <v>7.7</v>
      </c>
    </row>
    <row r="3583" spans="1:4" x14ac:dyDescent="0.25">
      <c r="A3583" t="s">
        <v>1995</v>
      </c>
      <c r="B3583" t="s">
        <v>1330</v>
      </c>
      <c r="C3583" t="s">
        <v>1249</v>
      </c>
      <c r="D3583">
        <v>9.1</v>
      </c>
    </row>
    <row r="3584" spans="1:4" x14ac:dyDescent="0.25">
      <c r="A3584" t="s">
        <v>1988</v>
      </c>
      <c r="B3584" t="s">
        <v>1331</v>
      </c>
      <c r="C3584" t="s">
        <v>1249</v>
      </c>
      <c r="D3584">
        <v>31.4</v>
      </c>
    </row>
    <row r="3585" spans="1:4" x14ac:dyDescent="0.25">
      <c r="A3585" t="s">
        <v>1923</v>
      </c>
      <c r="B3585" t="s">
        <v>1331</v>
      </c>
      <c r="C3585" t="s">
        <v>1249</v>
      </c>
      <c r="D3585">
        <v>145.5</v>
      </c>
    </row>
    <row r="3586" spans="1:4" x14ac:dyDescent="0.25">
      <c r="A3586" t="s">
        <v>1999</v>
      </c>
      <c r="B3586" t="s">
        <v>1331</v>
      </c>
      <c r="C3586" t="s">
        <v>1249</v>
      </c>
      <c r="D3586">
        <v>1</v>
      </c>
    </row>
    <row r="3587" spans="1:4" x14ac:dyDescent="0.25">
      <c r="A3587" t="s">
        <v>1911</v>
      </c>
      <c r="B3587" t="s">
        <v>1335</v>
      </c>
      <c r="C3587" t="s">
        <v>1249</v>
      </c>
      <c r="D3587">
        <v>172.18</v>
      </c>
    </row>
    <row r="3588" spans="1:4" x14ac:dyDescent="0.25">
      <c r="A3588" t="s">
        <v>1980</v>
      </c>
      <c r="B3588" t="s">
        <v>1333</v>
      </c>
      <c r="C3588" t="s">
        <v>1249</v>
      </c>
      <c r="D3588">
        <v>1</v>
      </c>
    </row>
    <row r="3589" spans="1:4" x14ac:dyDescent="0.25">
      <c r="A3589" t="s">
        <v>1927</v>
      </c>
      <c r="B3589" t="s">
        <v>1330</v>
      </c>
      <c r="C3589" t="s">
        <v>1249</v>
      </c>
      <c r="D3589">
        <v>7.7</v>
      </c>
    </row>
    <row r="3590" spans="1:4" x14ac:dyDescent="0.25">
      <c r="A3590" t="s">
        <v>2019</v>
      </c>
      <c r="B3590" t="s">
        <v>1334</v>
      </c>
      <c r="C3590" t="s">
        <v>1249</v>
      </c>
      <c r="D3590">
        <v>335.75</v>
      </c>
    </row>
    <row r="3591" spans="1:4" x14ac:dyDescent="0.25">
      <c r="A3591" t="s">
        <v>1927</v>
      </c>
      <c r="B3591" t="s">
        <v>1331</v>
      </c>
      <c r="C3591" t="s">
        <v>1249</v>
      </c>
      <c r="D3591">
        <v>404.25</v>
      </c>
    </row>
    <row r="3592" spans="1:4" x14ac:dyDescent="0.25">
      <c r="A3592" t="s">
        <v>1920</v>
      </c>
      <c r="B3592" t="s">
        <v>1331</v>
      </c>
      <c r="C3592" t="s">
        <v>1249</v>
      </c>
      <c r="D3592">
        <v>24.5</v>
      </c>
    </row>
    <row r="3593" spans="1:4" x14ac:dyDescent="0.25">
      <c r="A3593" t="s">
        <v>1909</v>
      </c>
      <c r="B3593" t="s">
        <v>1335</v>
      </c>
      <c r="C3593" t="s">
        <v>1249</v>
      </c>
      <c r="D3593">
        <v>12.25</v>
      </c>
    </row>
    <row r="3594" spans="1:4" x14ac:dyDescent="0.25">
      <c r="A3594" t="s">
        <v>2041</v>
      </c>
      <c r="B3594" t="s">
        <v>1334</v>
      </c>
      <c r="C3594" t="s">
        <v>1249</v>
      </c>
      <c r="D3594">
        <v>2</v>
      </c>
    </row>
    <row r="3595" spans="1:4" x14ac:dyDescent="0.25">
      <c r="A3595" t="s">
        <v>1950</v>
      </c>
      <c r="B3595" t="s">
        <v>1331</v>
      </c>
      <c r="C3595" t="s">
        <v>1249</v>
      </c>
      <c r="D3595">
        <v>16.55</v>
      </c>
    </row>
    <row r="3596" spans="1:4" x14ac:dyDescent="0.25">
      <c r="A3596" t="s">
        <v>1988</v>
      </c>
      <c r="B3596" t="s">
        <v>1330</v>
      </c>
      <c r="C3596" t="s">
        <v>1249</v>
      </c>
      <c r="D3596">
        <v>247.95</v>
      </c>
    </row>
    <row r="3597" spans="1:4" x14ac:dyDescent="0.25">
      <c r="A3597" t="s">
        <v>1978</v>
      </c>
      <c r="B3597" t="s">
        <v>1335</v>
      </c>
      <c r="C3597" t="s">
        <v>1249</v>
      </c>
      <c r="D3597">
        <v>11</v>
      </c>
    </row>
    <row r="3598" spans="1:4" x14ac:dyDescent="0.25">
      <c r="A3598" t="s">
        <v>1990</v>
      </c>
      <c r="B3598" t="s">
        <v>1331</v>
      </c>
      <c r="C3598" t="s">
        <v>1249</v>
      </c>
      <c r="D3598">
        <v>125.7</v>
      </c>
    </row>
    <row r="3599" spans="1:4" x14ac:dyDescent="0.25">
      <c r="A3599" t="s">
        <v>1918</v>
      </c>
      <c r="B3599" t="s">
        <v>1335</v>
      </c>
      <c r="C3599" t="s">
        <v>1249</v>
      </c>
      <c r="D3599">
        <v>23.25</v>
      </c>
    </row>
    <row r="3600" spans="1:4" x14ac:dyDescent="0.25">
      <c r="A3600" t="s">
        <v>2006</v>
      </c>
      <c r="B3600" t="s">
        <v>1331</v>
      </c>
      <c r="C3600" t="s">
        <v>1249</v>
      </c>
      <c r="D3600">
        <v>1278.75</v>
      </c>
    </row>
    <row r="3601" spans="1:4" x14ac:dyDescent="0.25">
      <c r="A3601" t="s">
        <v>1972</v>
      </c>
      <c r="B3601" t="s">
        <v>1334</v>
      </c>
      <c r="C3601" t="s">
        <v>1249</v>
      </c>
      <c r="D3601">
        <v>82.9</v>
      </c>
    </row>
    <row r="3602" spans="1:4" x14ac:dyDescent="0.25">
      <c r="A3602" t="s">
        <v>2027</v>
      </c>
      <c r="B3602" t="s">
        <v>1334</v>
      </c>
      <c r="C3602" t="s">
        <v>1249</v>
      </c>
      <c r="D3602">
        <v>40.4</v>
      </c>
    </row>
    <row r="3603" spans="1:4" x14ac:dyDescent="0.25">
      <c r="A3603" t="s">
        <v>1971</v>
      </c>
      <c r="B3603" t="s">
        <v>1330</v>
      </c>
      <c r="C3603" t="s">
        <v>1249</v>
      </c>
      <c r="D3603">
        <v>106.5</v>
      </c>
    </row>
    <row r="3604" spans="1:4" x14ac:dyDescent="0.25">
      <c r="A3604" t="s">
        <v>1980</v>
      </c>
      <c r="B3604" t="s">
        <v>1331</v>
      </c>
      <c r="C3604" t="s">
        <v>1249</v>
      </c>
      <c r="D3604">
        <v>3.85</v>
      </c>
    </row>
    <row r="3605" spans="1:4" x14ac:dyDescent="0.25">
      <c r="A3605" t="s">
        <v>1945</v>
      </c>
      <c r="B3605" t="s">
        <v>1331</v>
      </c>
      <c r="C3605" t="s">
        <v>1249</v>
      </c>
      <c r="D3605">
        <v>6</v>
      </c>
    </row>
    <row r="3606" spans="1:4" x14ac:dyDescent="0.25">
      <c r="A3606" t="s">
        <v>1995</v>
      </c>
      <c r="B3606" t="s">
        <v>1330</v>
      </c>
      <c r="C3606" t="s">
        <v>1253</v>
      </c>
      <c r="D3606">
        <v>32.880000000000003</v>
      </c>
    </row>
    <row r="3607" spans="1:4" x14ac:dyDescent="0.25">
      <c r="A3607" t="s">
        <v>1923</v>
      </c>
      <c r="B3607" t="s">
        <v>1331</v>
      </c>
      <c r="C3607" t="s">
        <v>1253</v>
      </c>
      <c r="D3607">
        <v>26.4</v>
      </c>
    </row>
    <row r="3608" spans="1:4" x14ac:dyDescent="0.25">
      <c r="A3608" t="s">
        <v>1980</v>
      </c>
      <c r="B3608" t="s">
        <v>1331</v>
      </c>
      <c r="C3608" t="s">
        <v>1253</v>
      </c>
      <c r="D3608">
        <v>1</v>
      </c>
    </row>
    <row r="3609" spans="1:4" x14ac:dyDescent="0.25">
      <c r="A3609" t="s">
        <v>1921</v>
      </c>
      <c r="B3609" t="s">
        <v>1330</v>
      </c>
      <c r="C3609" t="s">
        <v>1253</v>
      </c>
      <c r="D3609">
        <v>3</v>
      </c>
    </row>
    <row r="3610" spans="1:4" x14ac:dyDescent="0.25">
      <c r="A3610" t="s">
        <v>1911</v>
      </c>
      <c r="B3610" t="s">
        <v>1335</v>
      </c>
      <c r="C3610" t="s">
        <v>1253</v>
      </c>
      <c r="D3610">
        <v>64</v>
      </c>
    </row>
    <row r="3611" spans="1:4" x14ac:dyDescent="0.25">
      <c r="A3611" t="s">
        <v>1960</v>
      </c>
      <c r="B3611" t="s">
        <v>1333</v>
      </c>
      <c r="C3611" t="s">
        <v>1253</v>
      </c>
      <c r="D3611">
        <v>8.6999999999999993</v>
      </c>
    </row>
    <row r="3612" spans="1:4" x14ac:dyDescent="0.25">
      <c r="A3612" t="s">
        <v>1962</v>
      </c>
      <c r="B3612" t="s">
        <v>1331</v>
      </c>
      <c r="C3612" t="s">
        <v>1253</v>
      </c>
      <c r="D3612">
        <v>164.9</v>
      </c>
    </row>
    <row r="3613" spans="1:4" x14ac:dyDescent="0.25">
      <c r="A3613" t="s">
        <v>1913</v>
      </c>
      <c r="B3613" t="s">
        <v>1335</v>
      </c>
      <c r="C3613" t="s">
        <v>1253</v>
      </c>
      <c r="D3613">
        <v>8.8000000000000007</v>
      </c>
    </row>
    <row r="3614" spans="1:4" x14ac:dyDescent="0.25">
      <c r="A3614" t="s">
        <v>1956</v>
      </c>
      <c r="B3614" t="s">
        <v>1333</v>
      </c>
      <c r="C3614" t="s">
        <v>1253</v>
      </c>
      <c r="D3614">
        <v>10.5</v>
      </c>
    </row>
    <row r="3615" spans="1:4" x14ac:dyDescent="0.25">
      <c r="A3615" t="s">
        <v>1956</v>
      </c>
      <c r="B3615" t="s">
        <v>1330</v>
      </c>
      <c r="C3615" t="s">
        <v>1253</v>
      </c>
      <c r="D3615">
        <v>3.7</v>
      </c>
    </row>
    <row r="3616" spans="1:4" x14ac:dyDescent="0.25">
      <c r="A3616" t="s">
        <v>1983</v>
      </c>
      <c r="B3616" t="s">
        <v>1335</v>
      </c>
      <c r="C3616" t="s">
        <v>1253</v>
      </c>
      <c r="D3616">
        <v>2.5</v>
      </c>
    </row>
    <row r="3617" spans="1:4" x14ac:dyDescent="0.25">
      <c r="A3617" t="s">
        <v>2007</v>
      </c>
      <c r="B3617" t="s">
        <v>1333</v>
      </c>
      <c r="C3617" t="s">
        <v>1253</v>
      </c>
      <c r="D3617">
        <v>75.900000000000006</v>
      </c>
    </row>
    <row r="3618" spans="1:4" x14ac:dyDescent="0.25">
      <c r="A3618" t="s">
        <v>1914</v>
      </c>
      <c r="B3618" t="s">
        <v>1333</v>
      </c>
      <c r="C3618" t="s">
        <v>1253</v>
      </c>
      <c r="D3618">
        <v>4</v>
      </c>
    </row>
    <row r="3619" spans="1:4" x14ac:dyDescent="0.25">
      <c r="A3619" t="s">
        <v>1945</v>
      </c>
      <c r="B3619" t="s">
        <v>1333</v>
      </c>
      <c r="C3619" t="s">
        <v>1253</v>
      </c>
      <c r="D3619">
        <v>7</v>
      </c>
    </row>
    <row r="3620" spans="1:4" x14ac:dyDescent="0.25">
      <c r="A3620" t="s">
        <v>1980</v>
      </c>
      <c r="B3620" t="s">
        <v>1331</v>
      </c>
      <c r="C3620" t="s">
        <v>1257</v>
      </c>
      <c r="D3620">
        <v>6.55</v>
      </c>
    </row>
    <row r="3621" spans="1:4" x14ac:dyDescent="0.25">
      <c r="A3621" t="s">
        <v>1913</v>
      </c>
      <c r="B3621" t="s">
        <v>1335</v>
      </c>
      <c r="C3621" t="s">
        <v>1257</v>
      </c>
      <c r="D3621">
        <v>137.5</v>
      </c>
    </row>
    <row r="3622" spans="1:4" x14ac:dyDescent="0.25">
      <c r="A3622" t="s">
        <v>1923</v>
      </c>
      <c r="B3622" t="s">
        <v>1334</v>
      </c>
      <c r="C3622" t="s">
        <v>1257</v>
      </c>
      <c r="D3622">
        <v>18.399999999999999</v>
      </c>
    </row>
    <row r="3623" spans="1:4" x14ac:dyDescent="0.25">
      <c r="A3623" t="s">
        <v>1923</v>
      </c>
      <c r="B3623" t="s">
        <v>1331</v>
      </c>
      <c r="C3623" t="s">
        <v>1257</v>
      </c>
      <c r="D3623">
        <v>26.4</v>
      </c>
    </row>
    <row r="3624" spans="1:4" x14ac:dyDescent="0.25">
      <c r="A3624" t="s">
        <v>2043</v>
      </c>
      <c r="B3624" t="s">
        <v>1334</v>
      </c>
      <c r="C3624" t="s">
        <v>1257</v>
      </c>
      <c r="D3624">
        <v>7</v>
      </c>
    </row>
    <row r="3625" spans="1:4" x14ac:dyDescent="0.25">
      <c r="A3625" t="s">
        <v>2019</v>
      </c>
      <c r="B3625" t="s">
        <v>1334</v>
      </c>
      <c r="C3625" t="s">
        <v>1257</v>
      </c>
      <c r="D3625">
        <v>278.8</v>
      </c>
    </row>
    <row r="3626" spans="1:4" x14ac:dyDescent="0.25">
      <c r="A3626" t="s">
        <v>2003</v>
      </c>
      <c r="B3626" t="s">
        <v>1331</v>
      </c>
      <c r="C3626" t="s">
        <v>1257</v>
      </c>
      <c r="D3626">
        <v>281.35000000000002</v>
      </c>
    </row>
    <row r="3627" spans="1:4" x14ac:dyDescent="0.25">
      <c r="A3627" t="s">
        <v>1990</v>
      </c>
      <c r="B3627" t="s">
        <v>1331</v>
      </c>
      <c r="C3627" t="s">
        <v>1257</v>
      </c>
      <c r="D3627">
        <v>117.3</v>
      </c>
    </row>
    <row r="3628" spans="1:4" x14ac:dyDescent="0.25">
      <c r="A3628" t="s">
        <v>2024</v>
      </c>
      <c r="B3628" t="s">
        <v>1334</v>
      </c>
      <c r="C3628" t="s">
        <v>1257</v>
      </c>
      <c r="D3628">
        <v>2.5</v>
      </c>
    </row>
    <row r="3629" spans="1:4" x14ac:dyDescent="0.25">
      <c r="A3629" t="s">
        <v>1972</v>
      </c>
      <c r="B3629" t="s">
        <v>1334</v>
      </c>
      <c r="C3629" t="s">
        <v>1257</v>
      </c>
      <c r="D3629">
        <v>27.9</v>
      </c>
    </row>
    <row r="3630" spans="1:4" x14ac:dyDescent="0.25">
      <c r="A3630" t="s">
        <v>1978</v>
      </c>
      <c r="B3630" t="s">
        <v>1335</v>
      </c>
      <c r="C3630" t="s">
        <v>1257</v>
      </c>
      <c r="D3630">
        <v>20.100000000000001</v>
      </c>
    </row>
    <row r="3631" spans="1:4" x14ac:dyDescent="0.25">
      <c r="A3631" t="s">
        <v>1971</v>
      </c>
      <c r="B3631" t="s">
        <v>1330</v>
      </c>
      <c r="C3631" t="s">
        <v>1257</v>
      </c>
      <c r="D3631">
        <v>19.100000000000001</v>
      </c>
    </row>
    <row r="3632" spans="1:4" x14ac:dyDescent="0.25">
      <c r="A3632" t="s">
        <v>1980</v>
      </c>
      <c r="B3632" t="s">
        <v>1333</v>
      </c>
      <c r="C3632" t="s">
        <v>1257</v>
      </c>
      <c r="D3632">
        <v>14.95</v>
      </c>
    </row>
    <row r="3633" spans="1:4" x14ac:dyDescent="0.25">
      <c r="A3633" t="s">
        <v>1995</v>
      </c>
      <c r="B3633" t="s">
        <v>1331</v>
      </c>
      <c r="C3633" t="s">
        <v>1257</v>
      </c>
      <c r="D3633">
        <v>93</v>
      </c>
    </row>
    <row r="3634" spans="1:4" x14ac:dyDescent="0.25">
      <c r="A3634" t="s">
        <v>1927</v>
      </c>
      <c r="B3634" t="s">
        <v>1330</v>
      </c>
      <c r="C3634" t="s">
        <v>1257</v>
      </c>
      <c r="D3634">
        <v>129.9</v>
      </c>
    </row>
    <row r="3635" spans="1:4" x14ac:dyDescent="0.25">
      <c r="A3635" t="s">
        <v>1911</v>
      </c>
      <c r="B3635" t="s">
        <v>1335</v>
      </c>
      <c r="C3635" t="s">
        <v>1257</v>
      </c>
      <c r="D3635">
        <v>269.64999999999998</v>
      </c>
    </row>
    <row r="3636" spans="1:4" x14ac:dyDescent="0.25">
      <c r="A3636" t="s">
        <v>1909</v>
      </c>
      <c r="B3636" t="s">
        <v>1335</v>
      </c>
      <c r="C3636" t="s">
        <v>1257</v>
      </c>
      <c r="D3636">
        <v>7</v>
      </c>
    </row>
    <row r="3637" spans="1:4" x14ac:dyDescent="0.25">
      <c r="A3637" t="s">
        <v>1990</v>
      </c>
      <c r="B3637" t="s">
        <v>1334</v>
      </c>
      <c r="C3637" t="s">
        <v>1257</v>
      </c>
      <c r="D3637">
        <v>2</v>
      </c>
    </row>
    <row r="3638" spans="1:4" x14ac:dyDescent="0.25">
      <c r="A3638" t="s">
        <v>1988</v>
      </c>
      <c r="B3638" t="s">
        <v>1330</v>
      </c>
      <c r="C3638" t="s">
        <v>1257</v>
      </c>
      <c r="D3638">
        <v>30.9</v>
      </c>
    </row>
    <row r="3639" spans="1:4" x14ac:dyDescent="0.25">
      <c r="A3639" t="s">
        <v>1962</v>
      </c>
      <c r="B3639" t="s">
        <v>1331</v>
      </c>
      <c r="C3639" t="s">
        <v>1257</v>
      </c>
      <c r="D3639">
        <v>150.6</v>
      </c>
    </row>
    <row r="3640" spans="1:4" x14ac:dyDescent="0.25">
      <c r="A3640" t="s">
        <v>1984</v>
      </c>
      <c r="B3640" t="s">
        <v>1331</v>
      </c>
      <c r="C3640" t="s">
        <v>1257</v>
      </c>
      <c r="D3640">
        <v>4</v>
      </c>
    </row>
    <row r="3641" spans="1:4" x14ac:dyDescent="0.25">
      <c r="A3641" t="s">
        <v>1960</v>
      </c>
      <c r="B3641" t="s">
        <v>1331</v>
      </c>
      <c r="C3641" t="s">
        <v>1257</v>
      </c>
      <c r="D3641">
        <v>52.6</v>
      </c>
    </row>
    <row r="3642" spans="1:4" x14ac:dyDescent="0.25">
      <c r="A3642" t="s">
        <v>2027</v>
      </c>
      <c r="B3642" t="s">
        <v>1334</v>
      </c>
      <c r="C3642" t="s">
        <v>1257</v>
      </c>
      <c r="D3642">
        <v>30</v>
      </c>
    </row>
    <row r="3643" spans="1:4" x14ac:dyDescent="0.25">
      <c r="A3643" t="s">
        <v>1927</v>
      </c>
      <c r="B3643" t="s">
        <v>1331</v>
      </c>
      <c r="C3643" t="s">
        <v>1257</v>
      </c>
      <c r="D3643">
        <v>57.75</v>
      </c>
    </row>
    <row r="3644" spans="1:4" x14ac:dyDescent="0.25">
      <c r="A3644" t="s">
        <v>1995</v>
      </c>
      <c r="B3644" t="s">
        <v>1330</v>
      </c>
      <c r="C3644" t="s">
        <v>1257</v>
      </c>
      <c r="D3644">
        <v>58.9</v>
      </c>
    </row>
    <row r="3645" spans="1:4" x14ac:dyDescent="0.25">
      <c r="A3645" t="s">
        <v>1994</v>
      </c>
      <c r="B3645" t="s">
        <v>1331</v>
      </c>
      <c r="C3645" t="s">
        <v>1257</v>
      </c>
      <c r="D3645">
        <v>458.65</v>
      </c>
    </row>
    <row r="3646" spans="1:4" x14ac:dyDescent="0.25">
      <c r="A3646" t="s">
        <v>1904</v>
      </c>
      <c r="B3646" t="s">
        <v>1333</v>
      </c>
      <c r="C3646" t="s">
        <v>1257</v>
      </c>
      <c r="D3646">
        <v>20.25</v>
      </c>
    </row>
    <row r="3647" spans="1:4" x14ac:dyDescent="0.25">
      <c r="A3647" t="s">
        <v>1904</v>
      </c>
      <c r="B3647" t="s">
        <v>1331</v>
      </c>
      <c r="C3647" t="s">
        <v>1257</v>
      </c>
      <c r="D3647">
        <v>5.85</v>
      </c>
    </row>
    <row r="3648" spans="1:4" x14ac:dyDescent="0.25">
      <c r="A3648" t="s">
        <v>1972</v>
      </c>
      <c r="B3648" t="s">
        <v>1334</v>
      </c>
      <c r="C3648" t="s">
        <v>1262</v>
      </c>
      <c r="D3648">
        <v>2</v>
      </c>
    </row>
    <row r="3649" spans="1:4" x14ac:dyDescent="0.25">
      <c r="A3649" t="s">
        <v>1995</v>
      </c>
      <c r="B3649" t="s">
        <v>1330</v>
      </c>
      <c r="C3649" t="s">
        <v>1262</v>
      </c>
      <c r="D3649">
        <v>46</v>
      </c>
    </row>
    <row r="3650" spans="1:4" x14ac:dyDescent="0.25">
      <c r="A3650" t="s">
        <v>1923</v>
      </c>
      <c r="B3650" t="s">
        <v>1331</v>
      </c>
      <c r="C3650" t="s">
        <v>1262</v>
      </c>
      <c r="D3650">
        <v>35.5</v>
      </c>
    </row>
    <row r="3651" spans="1:4" x14ac:dyDescent="0.25">
      <c r="A3651" t="s">
        <v>2071</v>
      </c>
      <c r="B3651" t="s">
        <v>1330</v>
      </c>
      <c r="C3651" t="s">
        <v>1262</v>
      </c>
      <c r="D3651">
        <v>141.30000000000001</v>
      </c>
    </row>
    <row r="3652" spans="1:4" x14ac:dyDescent="0.25">
      <c r="A3652" t="s">
        <v>1927</v>
      </c>
      <c r="B3652" t="s">
        <v>1330</v>
      </c>
      <c r="C3652" t="s">
        <v>1262</v>
      </c>
      <c r="D3652">
        <v>100.1</v>
      </c>
    </row>
    <row r="3653" spans="1:4" x14ac:dyDescent="0.25">
      <c r="A3653" t="s">
        <v>1909</v>
      </c>
      <c r="B3653" t="s">
        <v>1335</v>
      </c>
      <c r="C3653" t="s">
        <v>1262</v>
      </c>
      <c r="D3653">
        <v>1</v>
      </c>
    </row>
    <row r="3654" spans="1:4" x14ac:dyDescent="0.25">
      <c r="A3654" t="s">
        <v>1978</v>
      </c>
      <c r="B3654" t="s">
        <v>1335</v>
      </c>
      <c r="C3654" t="s">
        <v>1262</v>
      </c>
      <c r="D3654">
        <v>1</v>
      </c>
    </row>
    <row r="3655" spans="1:4" x14ac:dyDescent="0.25">
      <c r="A3655" t="s">
        <v>2003</v>
      </c>
      <c r="B3655" t="s">
        <v>1331</v>
      </c>
      <c r="C3655" t="s">
        <v>1262</v>
      </c>
      <c r="D3655">
        <v>400.8</v>
      </c>
    </row>
    <row r="3656" spans="1:4" x14ac:dyDescent="0.25">
      <c r="A3656" t="s">
        <v>1990</v>
      </c>
      <c r="B3656" t="s">
        <v>1331</v>
      </c>
      <c r="C3656" t="s">
        <v>1262</v>
      </c>
      <c r="D3656">
        <v>22.1</v>
      </c>
    </row>
    <row r="3657" spans="1:4" x14ac:dyDescent="0.25">
      <c r="A3657" t="s">
        <v>1958</v>
      </c>
      <c r="B3657" t="s">
        <v>1331</v>
      </c>
      <c r="C3657" t="s">
        <v>1262</v>
      </c>
      <c r="D3657">
        <v>9.1999999999999993</v>
      </c>
    </row>
    <row r="3658" spans="1:4" x14ac:dyDescent="0.25">
      <c r="A3658" t="s">
        <v>1913</v>
      </c>
      <c r="B3658" t="s">
        <v>1335</v>
      </c>
      <c r="C3658" t="s">
        <v>1262</v>
      </c>
      <c r="D3658">
        <v>8.85</v>
      </c>
    </row>
    <row r="3659" spans="1:4" x14ac:dyDescent="0.25">
      <c r="A3659" t="s">
        <v>1995</v>
      </c>
      <c r="B3659" t="s">
        <v>1331</v>
      </c>
      <c r="C3659" t="s">
        <v>1262</v>
      </c>
      <c r="D3659">
        <v>136.5</v>
      </c>
    </row>
    <row r="3660" spans="1:4" x14ac:dyDescent="0.25">
      <c r="A3660" t="s">
        <v>1950</v>
      </c>
      <c r="B3660" t="s">
        <v>1331</v>
      </c>
      <c r="C3660" t="s">
        <v>1262</v>
      </c>
      <c r="D3660">
        <v>11.85</v>
      </c>
    </row>
    <row r="3661" spans="1:4" x14ac:dyDescent="0.25">
      <c r="A3661" t="s">
        <v>1980</v>
      </c>
      <c r="B3661" t="s">
        <v>1331</v>
      </c>
      <c r="C3661" t="s">
        <v>1262</v>
      </c>
      <c r="D3661">
        <v>9</v>
      </c>
    </row>
    <row r="3662" spans="1:4" x14ac:dyDescent="0.25">
      <c r="A3662" t="s">
        <v>1994</v>
      </c>
      <c r="B3662" t="s">
        <v>1331</v>
      </c>
      <c r="C3662" t="s">
        <v>1262</v>
      </c>
      <c r="D3662">
        <v>523.1</v>
      </c>
    </row>
    <row r="3663" spans="1:4" x14ac:dyDescent="0.25">
      <c r="A3663" t="s">
        <v>1911</v>
      </c>
      <c r="B3663" t="s">
        <v>1335</v>
      </c>
      <c r="C3663" t="s">
        <v>1262</v>
      </c>
      <c r="D3663">
        <v>7.7</v>
      </c>
    </row>
    <row r="3664" spans="1:4" x14ac:dyDescent="0.25">
      <c r="A3664" t="s">
        <v>2071</v>
      </c>
      <c r="B3664" t="s">
        <v>1331</v>
      </c>
      <c r="C3664" t="s">
        <v>1262</v>
      </c>
      <c r="D3664">
        <v>14</v>
      </c>
    </row>
    <row r="3665" spans="1:4" x14ac:dyDescent="0.25">
      <c r="A3665" t="s">
        <v>1960</v>
      </c>
      <c r="B3665" t="s">
        <v>1331</v>
      </c>
      <c r="C3665" t="s">
        <v>1265</v>
      </c>
      <c r="D3665">
        <v>34.299999999999997</v>
      </c>
    </row>
    <row r="3666" spans="1:4" x14ac:dyDescent="0.25">
      <c r="A3666" t="s">
        <v>1913</v>
      </c>
      <c r="B3666" t="s">
        <v>1335</v>
      </c>
      <c r="C3666" t="s">
        <v>1265</v>
      </c>
      <c r="D3666">
        <v>38.65</v>
      </c>
    </row>
    <row r="3667" spans="1:4" x14ac:dyDescent="0.25">
      <c r="A3667" t="s">
        <v>2016</v>
      </c>
      <c r="B3667" t="s">
        <v>1331</v>
      </c>
      <c r="C3667" t="s">
        <v>1720</v>
      </c>
      <c r="D3667">
        <v>14.6</v>
      </c>
    </row>
    <row r="3668" spans="1:4" x14ac:dyDescent="0.25">
      <c r="A3668" t="s">
        <v>2020</v>
      </c>
      <c r="B3668" t="s">
        <v>1334</v>
      </c>
      <c r="C3668" t="s">
        <v>1596</v>
      </c>
      <c r="D3668">
        <v>35.5</v>
      </c>
    </row>
    <row r="3669" spans="1:4" x14ac:dyDescent="0.25">
      <c r="A3669" t="s">
        <v>1963</v>
      </c>
      <c r="B3669" t="s">
        <v>1331</v>
      </c>
      <c r="C3669" t="s">
        <v>1596</v>
      </c>
      <c r="D3669">
        <v>18.100000000000001</v>
      </c>
    </row>
    <row r="3670" spans="1:4" x14ac:dyDescent="0.25">
      <c r="A3670" t="s">
        <v>2016</v>
      </c>
      <c r="B3670" t="s">
        <v>1331</v>
      </c>
      <c r="C3670" t="s">
        <v>1774</v>
      </c>
      <c r="D3670">
        <v>3.5</v>
      </c>
    </row>
    <row r="3671" spans="1:4" x14ac:dyDescent="0.25">
      <c r="A3671" t="s">
        <v>1959</v>
      </c>
      <c r="B3671" t="s">
        <v>1330</v>
      </c>
      <c r="C3671" t="s">
        <v>1774</v>
      </c>
      <c r="D3671">
        <v>5</v>
      </c>
    </row>
    <row r="3672" spans="1:4" x14ac:dyDescent="0.25">
      <c r="A3672" t="s">
        <v>1959</v>
      </c>
      <c r="B3672" t="s">
        <v>1330</v>
      </c>
      <c r="C3672" t="s">
        <v>1804</v>
      </c>
      <c r="D3672">
        <v>3</v>
      </c>
    </row>
    <row r="3673" spans="1:4" x14ac:dyDescent="0.25">
      <c r="A3673" t="s">
        <v>2016</v>
      </c>
      <c r="B3673" t="s">
        <v>1331</v>
      </c>
      <c r="C3673" t="s">
        <v>1804</v>
      </c>
      <c r="D3673">
        <v>2.5</v>
      </c>
    </row>
    <row r="3674" spans="1:4" x14ac:dyDescent="0.25">
      <c r="A3674" t="s">
        <v>2016</v>
      </c>
      <c r="B3674" t="s">
        <v>1331</v>
      </c>
      <c r="C3674" t="s">
        <v>1864</v>
      </c>
      <c r="D3674">
        <v>1.7</v>
      </c>
    </row>
    <row r="3675" spans="1:4" x14ac:dyDescent="0.25">
      <c r="A3675" t="s">
        <v>1959</v>
      </c>
      <c r="B3675" t="s">
        <v>1330</v>
      </c>
      <c r="C3675" t="s">
        <v>1727</v>
      </c>
      <c r="D3675">
        <v>13.7</v>
      </c>
    </row>
    <row r="3676" spans="1:4" x14ac:dyDescent="0.25">
      <c r="A3676" t="s">
        <v>2016</v>
      </c>
      <c r="B3676" t="s">
        <v>1331</v>
      </c>
      <c r="C3676" t="s">
        <v>1803</v>
      </c>
      <c r="D3676">
        <v>5.75</v>
      </c>
    </row>
    <row r="3677" spans="1:4" x14ac:dyDescent="0.25">
      <c r="A3677" t="s">
        <v>2016</v>
      </c>
      <c r="B3677" t="s">
        <v>1331</v>
      </c>
      <c r="C3677" t="s">
        <v>1763</v>
      </c>
      <c r="D3677">
        <v>9.1999999999999993</v>
      </c>
    </row>
    <row r="3678" spans="1:4" x14ac:dyDescent="0.25">
      <c r="A3678" t="s">
        <v>2016</v>
      </c>
      <c r="B3678" t="s">
        <v>1331</v>
      </c>
      <c r="C3678" t="s">
        <v>1844</v>
      </c>
      <c r="D3678">
        <v>2.2000000000000002</v>
      </c>
    </row>
    <row r="3679" spans="1:4" x14ac:dyDescent="0.25">
      <c r="A3679" t="s">
        <v>2016</v>
      </c>
      <c r="B3679" t="s">
        <v>1331</v>
      </c>
      <c r="C3679" t="s">
        <v>1817</v>
      </c>
      <c r="D3679">
        <v>4.2</v>
      </c>
    </row>
    <row r="3680" spans="1:4" x14ac:dyDescent="0.25">
      <c r="A3680" t="s">
        <v>2016</v>
      </c>
      <c r="B3680" t="s">
        <v>1331</v>
      </c>
      <c r="C3680" t="s">
        <v>1734</v>
      </c>
      <c r="D3680">
        <v>12.9</v>
      </c>
    </row>
    <row r="3681" spans="1:4" x14ac:dyDescent="0.25">
      <c r="A3681" t="s">
        <v>1947</v>
      </c>
      <c r="B3681" t="s">
        <v>1331</v>
      </c>
      <c r="C3681" t="s">
        <v>1561</v>
      </c>
      <c r="D3681">
        <v>3.85</v>
      </c>
    </row>
    <row r="3682" spans="1:4" x14ac:dyDescent="0.25">
      <c r="A3682" t="s">
        <v>1959</v>
      </c>
      <c r="B3682" t="s">
        <v>1330</v>
      </c>
      <c r="C3682" t="s">
        <v>1561</v>
      </c>
      <c r="D3682">
        <v>66.2</v>
      </c>
    </row>
    <row r="3683" spans="1:4" x14ac:dyDescent="0.25">
      <c r="A3683" t="s">
        <v>1902</v>
      </c>
      <c r="B3683" t="s">
        <v>1331</v>
      </c>
      <c r="C3683" t="s">
        <v>1561</v>
      </c>
      <c r="D3683">
        <v>6</v>
      </c>
    </row>
    <row r="3684" spans="1:4" x14ac:dyDescent="0.25">
      <c r="A3684" t="s">
        <v>2016</v>
      </c>
      <c r="B3684" t="s">
        <v>1331</v>
      </c>
      <c r="C3684" t="s">
        <v>1805</v>
      </c>
      <c r="D3684">
        <v>5.5</v>
      </c>
    </row>
    <row r="3685" spans="1:4" x14ac:dyDescent="0.25">
      <c r="A3685" t="s">
        <v>2016</v>
      </c>
      <c r="B3685" t="s">
        <v>1331</v>
      </c>
      <c r="C3685" t="s">
        <v>1738</v>
      </c>
      <c r="D3685">
        <v>12.25</v>
      </c>
    </row>
    <row r="3686" spans="1:4" x14ac:dyDescent="0.25">
      <c r="A3686" t="s">
        <v>2016</v>
      </c>
      <c r="B3686" t="s">
        <v>1331</v>
      </c>
      <c r="C3686" t="s">
        <v>1729</v>
      </c>
      <c r="D3686">
        <v>13.5</v>
      </c>
    </row>
    <row r="3687" spans="1:4" x14ac:dyDescent="0.25">
      <c r="A3687" t="s">
        <v>2016</v>
      </c>
      <c r="B3687" t="s">
        <v>1331</v>
      </c>
      <c r="C3687" t="s">
        <v>1747</v>
      </c>
      <c r="D3687">
        <v>10.55</v>
      </c>
    </row>
    <row r="3688" spans="1:4" x14ac:dyDescent="0.25">
      <c r="A3688" t="s">
        <v>2016</v>
      </c>
      <c r="B3688" t="s">
        <v>1331</v>
      </c>
      <c r="C3688" t="s">
        <v>1796</v>
      </c>
      <c r="D3688">
        <v>6</v>
      </c>
    </row>
    <row r="3689" spans="1:4" x14ac:dyDescent="0.25">
      <c r="A3689" t="s">
        <v>2016</v>
      </c>
      <c r="B3689" t="s">
        <v>1331</v>
      </c>
      <c r="C3689" t="s">
        <v>1493</v>
      </c>
      <c r="D3689">
        <v>100.7</v>
      </c>
    </row>
    <row r="3690" spans="1:4" x14ac:dyDescent="0.25">
      <c r="A3690" t="s">
        <v>1959</v>
      </c>
      <c r="B3690" t="s">
        <v>1330</v>
      </c>
      <c r="C3690" t="s">
        <v>1493</v>
      </c>
      <c r="D3690">
        <v>51.25</v>
      </c>
    </row>
    <row r="3691" spans="1:4" x14ac:dyDescent="0.25">
      <c r="A3691" t="s">
        <v>2016</v>
      </c>
      <c r="B3691" t="s">
        <v>1331</v>
      </c>
      <c r="C3691" t="s">
        <v>1679</v>
      </c>
      <c r="D3691">
        <v>21.1</v>
      </c>
    </row>
    <row r="3692" spans="1:4" x14ac:dyDescent="0.25">
      <c r="A3692" t="s">
        <v>1959</v>
      </c>
      <c r="B3692" t="s">
        <v>1330</v>
      </c>
      <c r="C3692" t="s">
        <v>1679</v>
      </c>
      <c r="D3692">
        <v>2</v>
      </c>
    </row>
    <row r="3693" spans="1:4" x14ac:dyDescent="0.25">
      <c r="A3693" t="s">
        <v>2016</v>
      </c>
      <c r="B3693" t="s">
        <v>1331</v>
      </c>
      <c r="C3693" t="s">
        <v>1589</v>
      </c>
      <c r="D3693">
        <v>35.700000000000003</v>
      </c>
    </row>
    <row r="3694" spans="1:4" x14ac:dyDescent="0.25">
      <c r="A3694" t="s">
        <v>1959</v>
      </c>
      <c r="B3694" t="s">
        <v>1330</v>
      </c>
      <c r="C3694" t="s">
        <v>1589</v>
      </c>
      <c r="D3694">
        <v>22.4</v>
      </c>
    </row>
    <row r="3695" spans="1:4" x14ac:dyDescent="0.25">
      <c r="A3695" t="s">
        <v>1959</v>
      </c>
      <c r="B3695" t="s">
        <v>1330</v>
      </c>
      <c r="C3695" t="s">
        <v>1598</v>
      </c>
      <c r="D3695">
        <v>13.7</v>
      </c>
    </row>
    <row r="3696" spans="1:4" x14ac:dyDescent="0.25">
      <c r="A3696" t="s">
        <v>2045</v>
      </c>
      <c r="B3696" t="s">
        <v>1330</v>
      </c>
      <c r="C3696" t="s">
        <v>1598</v>
      </c>
      <c r="D3696">
        <v>38.5</v>
      </c>
    </row>
    <row r="3697" spans="1:4" x14ac:dyDescent="0.25">
      <c r="A3697" t="s">
        <v>1959</v>
      </c>
      <c r="B3697" t="s">
        <v>1330</v>
      </c>
      <c r="C3697" t="s">
        <v>1582</v>
      </c>
      <c r="D3697">
        <v>41.25</v>
      </c>
    </row>
    <row r="3698" spans="1:4" x14ac:dyDescent="0.25">
      <c r="A3698" t="s">
        <v>2016</v>
      </c>
      <c r="B3698" t="s">
        <v>1331</v>
      </c>
      <c r="C3698" t="s">
        <v>1582</v>
      </c>
      <c r="D3698">
        <v>23.31</v>
      </c>
    </row>
    <row r="3699" spans="1:4" x14ac:dyDescent="0.25">
      <c r="A3699" t="s">
        <v>1995</v>
      </c>
      <c r="B3699" t="s">
        <v>1331</v>
      </c>
      <c r="C3699" t="s">
        <v>1577</v>
      </c>
      <c r="D3699">
        <v>13.7</v>
      </c>
    </row>
    <row r="3700" spans="1:4" x14ac:dyDescent="0.25">
      <c r="A3700" t="s">
        <v>1995</v>
      </c>
      <c r="B3700" t="s">
        <v>1330</v>
      </c>
      <c r="C3700" t="s">
        <v>1577</v>
      </c>
      <c r="D3700">
        <v>52.2</v>
      </c>
    </row>
    <row r="3701" spans="1:4" x14ac:dyDescent="0.25">
      <c r="A3701" t="s">
        <v>2016</v>
      </c>
      <c r="B3701" t="s">
        <v>1331</v>
      </c>
      <c r="C3701" t="s">
        <v>1785</v>
      </c>
      <c r="D3701">
        <v>7.5</v>
      </c>
    </row>
    <row r="3702" spans="1:4" x14ac:dyDescent="0.25">
      <c r="A3702" t="s">
        <v>2016</v>
      </c>
      <c r="B3702" t="s">
        <v>1331</v>
      </c>
      <c r="C3702" t="s">
        <v>1794</v>
      </c>
      <c r="D3702">
        <v>6.4</v>
      </c>
    </row>
    <row r="3703" spans="1:4" x14ac:dyDescent="0.25">
      <c r="A3703" t="s">
        <v>1959</v>
      </c>
      <c r="B3703" t="s">
        <v>1330</v>
      </c>
      <c r="C3703" t="s">
        <v>1831</v>
      </c>
      <c r="D3703">
        <v>3</v>
      </c>
    </row>
    <row r="3704" spans="1:4" x14ac:dyDescent="0.25">
      <c r="A3704" t="s">
        <v>2016</v>
      </c>
      <c r="B3704" t="s">
        <v>1331</v>
      </c>
      <c r="C3704" t="s">
        <v>1645</v>
      </c>
      <c r="D3704">
        <v>25.45</v>
      </c>
    </row>
    <row r="3705" spans="1:4" x14ac:dyDescent="0.25">
      <c r="A3705" t="s">
        <v>1959</v>
      </c>
      <c r="B3705" t="s">
        <v>1330</v>
      </c>
      <c r="C3705" t="s">
        <v>1645</v>
      </c>
      <c r="D3705">
        <v>5</v>
      </c>
    </row>
    <row r="3706" spans="1:4" x14ac:dyDescent="0.25">
      <c r="A3706" t="s">
        <v>2016</v>
      </c>
      <c r="B3706" t="s">
        <v>1331</v>
      </c>
      <c r="C3706" t="s">
        <v>1845</v>
      </c>
      <c r="D3706">
        <v>2</v>
      </c>
    </row>
    <row r="3707" spans="1:4" x14ac:dyDescent="0.25">
      <c r="A3707" t="s">
        <v>2016</v>
      </c>
      <c r="B3707" t="s">
        <v>1331</v>
      </c>
      <c r="C3707" t="s">
        <v>1889</v>
      </c>
      <c r="D3707">
        <v>0.5</v>
      </c>
    </row>
    <row r="3708" spans="1:4" x14ac:dyDescent="0.25">
      <c r="A3708" t="s">
        <v>2016</v>
      </c>
      <c r="B3708" t="s">
        <v>1331</v>
      </c>
      <c r="C3708" t="s">
        <v>1840</v>
      </c>
      <c r="D3708">
        <v>2.7</v>
      </c>
    </row>
    <row r="3709" spans="1:4" x14ac:dyDescent="0.25">
      <c r="A3709" t="s">
        <v>2016</v>
      </c>
      <c r="B3709" t="s">
        <v>1331</v>
      </c>
      <c r="C3709" t="s">
        <v>1764</v>
      </c>
      <c r="D3709">
        <v>2.5</v>
      </c>
    </row>
    <row r="3710" spans="1:4" x14ac:dyDescent="0.25">
      <c r="A3710" t="s">
        <v>1987</v>
      </c>
      <c r="B3710" t="s">
        <v>1331</v>
      </c>
      <c r="C3710" t="s">
        <v>1764</v>
      </c>
      <c r="D3710">
        <v>6.7</v>
      </c>
    </row>
    <row r="3711" spans="1:4" x14ac:dyDescent="0.25">
      <c r="A3711" t="s">
        <v>1929</v>
      </c>
      <c r="B3711" t="s">
        <v>1331</v>
      </c>
      <c r="C3711" t="s">
        <v>1717</v>
      </c>
      <c r="D3711">
        <v>15.4</v>
      </c>
    </row>
    <row r="3712" spans="1:4" x14ac:dyDescent="0.25">
      <c r="A3712" t="s">
        <v>1959</v>
      </c>
      <c r="B3712" t="s">
        <v>1330</v>
      </c>
      <c r="C3712" t="s">
        <v>1721</v>
      </c>
      <c r="D3712">
        <v>11</v>
      </c>
    </row>
    <row r="3713" spans="1:4" x14ac:dyDescent="0.25">
      <c r="A3713" t="s">
        <v>2016</v>
      </c>
      <c r="B3713" t="s">
        <v>1331</v>
      </c>
      <c r="C3713" t="s">
        <v>1721</v>
      </c>
      <c r="D3713">
        <v>3.5</v>
      </c>
    </row>
    <row r="3714" spans="1:4" x14ac:dyDescent="0.25">
      <c r="A3714" t="s">
        <v>2016</v>
      </c>
      <c r="B3714" t="s">
        <v>1331</v>
      </c>
      <c r="C3714" t="s">
        <v>1677</v>
      </c>
      <c r="D3714">
        <v>23.8</v>
      </c>
    </row>
    <row r="3715" spans="1:4" x14ac:dyDescent="0.25">
      <c r="A3715" t="s">
        <v>2016</v>
      </c>
      <c r="B3715" t="s">
        <v>1331</v>
      </c>
      <c r="C3715" t="s">
        <v>1830</v>
      </c>
      <c r="D3715">
        <v>3.25</v>
      </c>
    </row>
    <row r="3716" spans="1:4" x14ac:dyDescent="0.25">
      <c r="A3716" t="s">
        <v>2016</v>
      </c>
      <c r="B3716" t="s">
        <v>1331</v>
      </c>
      <c r="C3716" t="s">
        <v>1573</v>
      </c>
      <c r="D3716">
        <v>55.55</v>
      </c>
    </row>
    <row r="3717" spans="1:4" x14ac:dyDescent="0.25">
      <c r="A3717" t="s">
        <v>1959</v>
      </c>
      <c r="B3717" t="s">
        <v>1330</v>
      </c>
      <c r="C3717" t="s">
        <v>1573</v>
      </c>
      <c r="D3717">
        <v>13</v>
      </c>
    </row>
    <row r="3718" spans="1:4" x14ac:dyDescent="0.25">
      <c r="A3718" t="s">
        <v>2016</v>
      </c>
      <c r="B3718" t="s">
        <v>1331</v>
      </c>
      <c r="C3718" t="s">
        <v>1543</v>
      </c>
      <c r="D3718">
        <v>50.55</v>
      </c>
    </row>
    <row r="3719" spans="1:4" x14ac:dyDescent="0.25">
      <c r="A3719" t="s">
        <v>1959</v>
      </c>
      <c r="B3719" t="s">
        <v>1330</v>
      </c>
      <c r="C3719" t="s">
        <v>1543</v>
      </c>
      <c r="D3719">
        <v>34.4</v>
      </c>
    </row>
    <row r="3720" spans="1:4" x14ac:dyDescent="0.25">
      <c r="A3720" t="s">
        <v>1900</v>
      </c>
      <c r="B3720" t="s">
        <v>1330</v>
      </c>
      <c r="C3720" t="s">
        <v>1543</v>
      </c>
      <c r="D3720">
        <v>3</v>
      </c>
    </row>
    <row r="3721" spans="1:4" x14ac:dyDescent="0.25">
      <c r="A3721" t="s">
        <v>2016</v>
      </c>
      <c r="B3721" t="s">
        <v>1331</v>
      </c>
      <c r="C3721" t="s">
        <v>1637</v>
      </c>
      <c r="D3721">
        <v>6.25</v>
      </c>
    </row>
    <row r="3722" spans="1:4" x14ac:dyDescent="0.25">
      <c r="A3722" t="s">
        <v>1987</v>
      </c>
      <c r="B3722" t="s">
        <v>1331</v>
      </c>
      <c r="C3722" t="s">
        <v>1637</v>
      </c>
      <c r="D3722">
        <v>26.1</v>
      </c>
    </row>
    <row r="3723" spans="1:4" x14ac:dyDescent="0.25">
      <c r="A3723" t="s">
        <v>1959</v>
      </c>
      <c r="B3723" t="s">
        <v>1330</v>
      </c>
      <c r="C3723" t="s">
        <v>1797</v>
      </c>
      <c r="D3723">
        <v>6</v>
      </c>
    </row>
    <row r="3724" spans="1:4" x14ac:dyDescent="0.25">
      <c r="A3724" t="s">
        <v>1987</v>
      </c>
      <c r="B3724" t="s">
        <v>1331</v>
      </c>
      <c r="C3724" t="s">
        <v>1406</v>
      </c>
      <c r="D3724">
        <v>211.3</v>
      </c>
    </row>
    <row r="3725" spans="1:4" x14ac:dyDescent="0.25">
      <c r="A3725" t="s">
        <v>1959</v>
      </c>
      <c r="B3725" t="s">
        <v>1330</v>
      </c>
      <c r="C3725" t="s">
        <v>1406</v>
      </c>
      <c r="D3725">
        <v>65.05</v>
      </c>
    </row>
    <row r="3726" spans="1:4" x14ac:dyDescent="0.25">
      <c r="A3726" t="s">
        <v>1904</v>
      </c>
      <c r="B3726" t="s">
        <v>1331</v>
      </c>
      <c r="C3726" t="s">
        <v>1406</v>
      </c>
      <c r="D3726">
        <v>5</v>
      </c>
    </row>
    <row r="3727" spans="1:4" x14ac:dyDescent="0.25">
      <c r="A3727" t="s">
        <v>1902</v>
      </c>
      <c r="B3727" t="s">
        <v>1331</v>
      </c>
      <c r="C3727" t="s">
        <v>1406</v>
      </c>
      <c r="D3727">
        <v>7.7</v>
      </c>
    </row>
    <row r="3728" spans="1:4" x14ac:dyDescent="0.25">
      <c r="A3728" t="s">
        <v>2072</v>
      </c>
      <c r="B3728" t="s">
        <v>1331</v>
      </c>
      <c r="C3728" t="s">
        <v>1406</v>
      </c>
      <c r="D3728">
        <v>291.45</v>
      </c>
    </row>
    <row r="3729" spans="1:4" x14ac:dyDescent="0.25">
      <c r="A3729" t="s">
        <v>1987</v>
      </c>
      <c r="B3729" t="s">
        <v>1330</v>
      </c>
      <c r="C3729" t="s">
        <v>1406</v>
      </c>
      <c r="D3729">
        <v>9</v>
      </c>
    </row>
    <row r="3730" spans="1:4" x14ac:dyDescent="0.25">
      <c r="A3730" t="s">
        <v>1959</v>
      </c>
      <c r="B3730" t="s">
        <v>1331</v>
      </c>
      <c r="C3730" t="s">
        <v>1406</v>
      </c>
      <c r="D3730">
        <v>3</v>
      </c>
    </row>
    <row r="3731" spans="1:4" x14ac:dyDescent="0.25">
      <c r="A3731" t="s">
        <v>1987</v>
      </c>
      <c r="B3731" t="s">
        <v>1331</v>
      </c>
      <c r="C3731" t="s">
        <v>1865</v>
      </c>
      <c r="D3731">
        <v>1.7</v>
      </c>
    </row>
    <row r="3732" spans="1:4" x14ac:dyDescent="0.25">
      <c r="A3732" t="s">
        <v>2016</v>
      </c>
      <c r="B3732" t="s">
        <v>1331</v>
      </c>
      <c r="C3732" t="s">
        <v>1625</v>
      </c>
      <c r="D3732">
        <v>24.1</v>
      </c>
    </row>
    <row r="3733" spans="1:4" x14ac:dyDescent="0.25">
      <c r="A3733" t="s">
        <v>1959</v>
      </c>
      <c r="B3733" t="s">
        <v>1330</v>
      </c>
      <c r="C3733" t="s">
        <v>1625</v>
      </c>
      <c r="D3733">
        <v>13.7</v>
      </c>
    </row>
    <row r="3734" spans="1:4" x14ac:dyDescent="0.25">
      <c r="A3734" t="s">
        <v>1947</v>
      </c>
      <c r="B3734" t="s">
        <v>1331</v>
      </c>
      <c r="C3734" t="s">
        <v>1411</v>
      </c>
      <c r="D3734">
        <v>15.4</v>
      </c>
    </row>
    <row r="3735" spans="1:4" x14ac:dyDescent="0.25">
      <c r="A3735" t="s">
        <v>1959</v>
      </c>
      <c r="B3735" t="s">
        <v>1330</v>
      </c>
      <c r="C3735" t="s">
        <v>1411</v>
      </c>
      <c r="D3735">
        <v>150.75</v>
      </c>
    </row>
    <row r="3736" spans="1:4" x14ac:dyDescent="0.25">
      <c r="A3736" t="s">
        <v>1987</v>
      </c>
      <c r="B3736" t="s">
        <v>1331</v>
      </c>
      <c r="C3736" t="s">
        <v>1411</v>
      </c>
      <c r="D3736">
        <v>42.6</v>
      </c>
    </row>
    <row r="3737" spans="1:4" x14ac:dyDescent="0.25">
      <c r="A3737" t="s">
        <v>1902</v>
      </c>
      <c r="B3737" t="s">
        <v>1331</v>
      </c>
      <c r="C3737" t="s">
        <v>1411</v>
      </c>
      <c r="D3737">
        <v>64.599999999999994</v>
      </c>
    </row>
    <row r="3738" spans="1:4" x14ac:dyDescent="0.25">
      <c r="A3738" t="s">
        <v>2016</v>
      </c>
      <c r="B3738" t="s">
        <v>1331</v>
      </c>
      <c r="C3738" t="s">
        <v>1411</v>
      </c>
      <c r="D3738">
        <v>2.75</v>
      </c>
    </row>
    <row r="3739" spans="1:4" x14ac:dyDescent="0.25">
      <c r="A3739" t="s">
        <v>2072</v>
      </c>
      <c r="B3739" t="s">
        <v>1331</v>
      </c>
      <c r="C3739" t="s">
        <v>1411</v>
      </c>
      <c r="D3739">
        <v>271.35000000000002</v>
      </c>
    </row>
    <row r="3740" spans="1:4" x14ac:dyDescent="0.25">
      <c r="A3740" t="s">
        <v>1959</v>
      </c>
      <c r="B3740" t="s">
        <v>1330</v>
      </c>
      <c r="C3740" t="s">
        <v>1667</v>
      </c>
      <c r="D3740">
        <v>8.25</v>
      </c>
    </row>
    <row r="3741" spans="1:4" x14ac:dyDescent="0.25">
      <c r="A3741" t="s">
        <v>2016</v>
      </c>
      <c r="B3741" t="s">
        <v>1331</v>
      </c>
      <c r="C3741" t="s">
        <v>1667</v>
      </c>
      <c r="D3741">
        <v>18.25</v>
      </c>
    </row>
    <row r="3742" spans="1:4" x14ac:dyDescent="0.25">
      <c r="A3742" t="s">
        <v>2016</v>
      </c>
      <c r="B3742" t="s">
        <v>1331</v>
      </c>
      <c r="C3742" t="s">
        <v>1560</v>
      </c>
      <c r="D3742">
        <v>55.85</v>
      </c>
    </row>
    <row r="3743" spans="1:4" x14ac:dyDescent="0.25">
      <c r="A3743" t="s">
        <v>1959</v>
      </c>
      <c r="B3743" t="s">
        <v>1330</v>
      </c>
      <c r="C3743" t="s">
        <v>1560</v>
      </c>
      <c r="D3743">
        <v>20.25</v>
      </c>
    </row>
    <row r="3744" spans="1:4" x14ac:dyDescent="0.25">
      <c r="A3744" t="s">
        <v>1959</v>
      </c>
      <c r="B3744" t="s">
        <v>1330</v>
      </c>
      <c r="C3744" t="s">
        <v>1612</v>
      </c>
      <c r="D3744">
        <v>7.7</v>
      </c>
    </row>
    <row r="3745" spans="1:4" x14ac:dyDescent="0.25">
      <c r="A3745" t="s">
        <v>2016</v>
      </c>
      <c r="B3745" t="s">
        <v>1331</v>
      </c>
      <c r="C3745" t="s">
        <v>1612</v>
      </c>
      <c r="D3745">
        <v>35.299999999999997</v>
      </c>
    </row>
    <row r="3746" spans="1:4" x14ac:dyDescent="0.25">
      <c r="A3746" t="s">
        <v>2016</v>
      </c>
      <c r="B3746" t="s">
        <v>1331</v>
      </c>
      <c r="C3746" t="s">
        <v>1841</v>
      </c>
      <c r="D3746">
        <v>2.7</v>
      </c>
    </row>
    <row r="3747" spans="1:4" x14ac:dyDescent="0.25">
      <c r="A3747" t="s">
        <v>2016</v>
      </c>
      <c r="B3747" t="s">
        <v>1331</v>
      </c>
      <c r="C3747" t="s">
        <v>1499</v>
      </c>
      <c r="D3747">
        <v>110.6</v>
      </c>
    </row>
    <row r="3748" spans="1:4" x14ac:dyDescent="0.25">
      <c r="A3748" t="s">
        <v>1900</v>
      </c>
      <c r="B3748" t="s">
        <v>1330</v>
      </c>
      <c r="C3748" t="s">
        <v>1499</v>
      </c>
      <c r="D3748">
        <v>18.45</v>
      </c>
    </row>
    <row r="3749" spans="1:4" x14ac:dyDescent="0.25">
      <c r="A3749" t="s">
        <v>1959</v>
      </c>
      <c r="B3749" t="s">
        <v>1330</v>
      </c>
      <c r="C3749" t="s">
        <v>1499</v>
      </c>
      <c r="D3749">
        <v>14.7</v>
      </c>
    </row>
    <row r="3750" spans="1:4" x14ac:dyDescent="0.25">
      <c r="A3750" t="s">
        <v>2016</v>
      </c>
      <c r="B3750" t="s">
        <v>1331</v>
      </c>
      <c r="C3750" t="s">
        <v>1870</v>
      </c>
      <c r="D3750">
        <v>1</v>
      </c>
    </row>
    <row r="3751" spans="1:4" x14ac:dyDescent="0.25">
      <c r="A3751" t="s">
        <v>1959</v>
      </c>
      <c r="B3751" t="s">
        <v>1330</v>
      </c>
      <c r="C3751" t="s">
        <v>1654</v>
      </c>
      <c r="D3751">
        <v>2</v>
      </c>
    </row>
    <row r="3752" spans="1:4" x14ac:dyDescent="0.25">
      <c r="A3752" t="s">
        <v>2016</v>
      </c>
      <c r="B3752" t="s">
        <v>1331</v>
      </c>
      <c r="C3752" t="s">
        <v>1654</v>
      </c>
      <c r="D3752">
        <v>27.05</v>
      </c>
    </row>
    <row r="3753" spans="1:4" x14ac:dyDescent="0.25">
      <c r="A3753" t="s">
        <v>2016</v>
      </c>
      <c r="B3753" t="s">
        <v>1331</v>
      </c>
      <c r="C3753" t="s">
        <v>1668</v>
      </c>
      <c r="D3753">
        <v>26</v>
      </c>
    </row>
    <row r="3754" spans="1:4" x14ac:dyDescent="0.25">
      <c r="A3754" t="s">
        <v>1902</v>
      </c>
      <c r="B3754" t="s">
        <v>1331</v>
      </c>
      <c r="C3754" t="s">
        <v>1555</v>
      </c>
      <c r="D3754">
        <v>11.55</v>
      </c>
    </row>
    <row r="3755" spans="1:4" x14ac:dyDescent="0.25">
      <c r="A3755" t="s">
        <v>1921</v>
      </c>
      <c r="B3755" t="s">
        <v>1330</v>
      </c>
      <c r="C3755" t="s">
        <v>1555</v>
      </c>
      <c r="D3755">
        <v>68.75</v>
      </c>
    </row>
    <row r="3756" spans="1:4" x14ac:dyDescent="0.25">
      <c r="A3756" t="s">
        <v>2016</v>
      </c>
      <c r="B3756" t="s">
        <v>1331</v>
      </c>
      <c r="C3756" t="s">
        <v>1599</v>
      </c>
      <c r="D3756">
        <v>49.85</v>
      </c>
    </row>
    <row r="3757" spans="1:4" x14ac:dyDescent="0.25">
      <c r="A3757" t="s">
        <v>2016</v>
      </c>
      <c r="B3757" t="s">
        <v>1331</v>
      </c>
      <c r="C3757" t="s">
        <v>1871</v>
      </c>
      <c r="D3757">
        <v>1</v>
      </c>
    </row>
    <row r="3758" spans="1:4" x14ac:dyDescent="0.25">
      <c r="A3758" t="s">
        <v>2019</v>
      </c>
      <c r="B3758" t="s">
        <v>1334</v>
      </c>
      <c r="C3758" t="s">
        <v>1585</v>
      </c>
      <c r="D3758">
        <v>4</v>
      </c>
    </row>
    <row r="3759" spans="1:4" x14ac:dyDescent="0.25">
      <c r="A3759" t="s">
        <v>2021</v>
      </c>
      <c r="B3759" t="s">
        <v>1334</v>
      </c>
      <c r="C3759" t="s">
        <v>1585</v>
      </c>
      <c r="D3759">
        <v>57.75</v>
      </c>
    </row>
    <row r="3760" spans="1:4" x14ac:dyDescent="0.25">
      <c r="A3760" t="s">
        <v>1987</v>
      </c>
      <c r="B3760" t="s">
        <v>1331</v>
      </c>
      <c r="C3760" t="s">
        <v>1480</v>
      </c>
      <c r="D3760">
        <v>93.2</v>
      </c>
    </row>
    <row r="3761" spans="1:4" x14ac:dyDescent="0.25">
      <c r="A3761" t="s">
        <v>1959</v>
      </c>
      <c r="B3761" t="s">
        <v>1330</v>
      </c>
      <c r="C3761" t="s">
        <v>1480</v>
      </c>
      <c r="D3761">
        <v>33.200000000000003</v>
      </c>
    </row>
    <row r="3762" spans="1:4" x14ac:dyDescent="0.25">
      <c r="A3762" t="s">
        <v>1947</v>
      </c>
      <c r="B3762" t="s">
        <v>1330</v>
      </c>
      <c r="C3762" t="s">
        <v>1480</v>
      </c>
      <c r="D3762">
        <v>31.65</v>
      </c>
    </row>
    <row r="3763" spans="1:4" x14ac:dyDescent="0.25">
      <c r="A3763" t="s">
        <v>1947</v>
      </c>
      <c r="B3763" t="s">
        <v>1331</v>
      </c>
      <c r="C3763" t="s">
        <v>1480</v>
      </c>
      <c r="D3763">
        <v>15.4</v>
      </c>
    </row>
    <row r="3764" spans="1:4" x14ac:dyDescent="0.25">
      <c r="A3764" t="s">
        <v>1987</v>
      </c>
      <c r="B3764" t="s">
        <v>1334</v>
      </c>
      <c r="C3764" t="s">
        <v>1480</v>
      </c>
      <c r="D3764">
        <v>2.7</v>
      </c>
    </row>
    <row r="3765" spans="1:4" x14ac:dyDescent="0.25">
      <c r="A3765" t="s">
        <v>1950</v>
      </c>
      <c r="B3765" t="s">
        <v>1334</v>
      </c>
      <c r="C3765" t="s">
        <v>1272</v>
      </c>
      <c r="D3765">
        <v>44.8</v>
      </c>
    </row>
    <row r="3766" spans="1:4" x14ac:dyDescent="0.25">
      <c r="A3766" t="s">
        <v>1995</v>
      </c>
      <c r="B3766" t="s">
        <v>1330</v>
      </c>
      <c r="C3766" t="s">
        <v>1272</v>
      </c>
      <c r="D3766">
        <v>13</v>
      </c>
    </row>
    <row r="3767" spans="1:4" x14ac:dyDescent="0.25">
      <c r="A3767" t="s">
        <v>1945</v>
      </c>
      <c r="B3767" t="s">
        <v>1331</v>
      </c>
      <c r="C3767" t="s">
        <v>1272</v>
      </c>
      <c r="D3767">
        <v>91.3</v>
      </c>
    </row>
    <row r="3768" spans="1:4" x14ac:dyDescent="0.25">
      <c r="A3768" t="s">
        <v>1949</v>
      </c>
      <c r="B3768" t="s">
        <v>1331</v>
      </c>
      <c r="C3768" t="s">
        <v>1272</v>
      </c>
      <c r="D3768">
        <v>17.399999999999999</v>
      </c>
    </row>
    <row r="3769" spans="1:4" x14ac:dyDescent="0.25">
      <c r="A3769" t="s">
        <v>1929</v>
      </c>
      <c r="B3769" t="s">
        <v>1331</v>
      </c>
      <c r="C3769" t="s">
        <v>1272</v>
      </c>
      <c r="D3769">
        <v>7</v>
      </c>
    </row>
    <row r="3770" spans="1:4" x14ac:dyDescent="0.25">
      <c r="A3770" t="s">
        <v>1925</v>
      </c>
      <c r="B3770" t="s">
        <v>1331</v>
      </c>
      <c r="C3770" t="s">
        <v>1832</v>
      </c>
      <c r="D3770">
        <v>2</v>
      </c>
    </row>
    <row r="3771" spans="1:4" x14ac:dyDescent="0.25">
      <c r="A3771" t="s">
        <v>2016</v>
      </c>
      <c r="B3771" t="s">
        <v>1331</v>
      </c>
      <c r="C3771" t="s">
        <v>1832</v>
      </c>
      <c r="D3771">
        <v>1</v>
      </c>
    </row>
    <row r="3772" spans="1:4" x14ac:dyDescent="0.25">
      <c r="A3772" t="s">
        <v>1987</v>
      </c>
      <c r="B3772" t="s">
        <v>1331</v>
      </c>
      <c r="C3772" t="s">
        <v>1786</v>
      </c>
      <c r="D3772">
        <v>7</v>
      </c>
    </row>
    <row r="3773" spans="1:4" x14ac:dyDescent="0.25">
      <c r="A3773" t="s">
        <v>2072</v>
      </c>
      <c r="B3773" t="s">
        <v>1331</v>
      </c>
      <c r="C3773" t="s">
        <v>1405</v>
      </c>
      <c r="D3773">
        <v>470</v>
      </c>
    </row>
    <row r="3774" spans="1:4" x14ac:dyDescent="0.25">
      <c r="A3774" t="s">
        <v>1901</v>
      </c>
      <c r="B3774" t="s">
        <v>1331</v>
      </c>
      <c r="C3774" t="s">
        <v>1405</v>
      </c>
      <c r="D3774">
        <v>24.8</v>
      </c>
    </row>
    <row r="3775" spans="1:4" x14ac:dyDescent="0.25">
      <c r="A3775" t="s">
        <v>2072</v>
      </c>
      <c r="B3775" t="s">
        <v>1330</v>
      </c>
      <c r="C3775" t="s">
        <v>1405</v>
      </c>
      <c r="D3775">
        <v>6.7</v>
      </c>
    </row>
    <row r="3776" spans="1:4" x14ac:dyDescent="0.25">
      <c r="A3776" t="s">
        <v>1959</v>
      </c>
      <c r="B3776" t="s">
        <v>1330</v>
      </c>
      <c r="C3776" t="s">
        <v>1405</v>
      </c>
      <c r="D3776">
        <v>67.25</v>
      </c>
    </row>
    <row r="3777" spans="1:4" x14ac:dyDescent="0.25">
      <c r="A3777" t="s">
        <v>1927</v>
      </c>
      <c r="B3777" t="s">
        <v>1331</v>
      </c>
      <c r="C3777" t="s">
        <v>1405</v>
      </c>
      <c r="D3777">
        <v>23.1</v>
      </c>
    </row>
    <row r="3778" spans="1:4" x14ac:dyDescent="0.25">
      <c r="A3778" t="s">
        <v>1904</v>
      </c>
      <c r="B3778" t="s">
        <v>1331</v>
      </c>
      <c r="C3778" t="s">
        <v>1405</v>
      </c>
      <c r="D3778">
        <v>3.6</v>
      </c>
    </row>
    <row r="3779" spans="1:4" x14ac:dyDescent="0.25">
      <c r="A3779" t="s">
        <v>1987</v>
      </c>
      <c r="B3779" t="s">
        <v>1331</v>
      </c>
      <c r="C3779" t="s">
        <v>1751</v>
      </c>
      <c r="D3779">
        <v>10.1</v>
      </c>
    </row>
    <row r="3780" spans="1:4" x14ac:dyDescent="0.25">
      <c r="A3780" t="s">
        <v>1947</v>
      </c>
      <c r="B3780" t="s">
        <v>1331</v>
      </c>
      <c r="C3780" t="s">
        <v>1564</v>
      </c>
      <c r="D3780">
        <v>19.25</v>
      </c>
    </row>
    <row r="3781" spans="1:4" x14ac:dyDescent="0.25">
      <c r="A3781" t="s">
        <v>2072</v>
      </c>
      <c r="B3781" t="s">
        <v>1331</v>
      </c>
      <c r="C3781" t="s">
        <v>1564</v>
      </c>
      <c r="D3781">
        <v>33.5</v>
      </c>
    </row>
    <row r="3782" spans="1:4" x14ac:dyDescent="0.25">
      <c r="A3782" t="s">
        <v>1959</v>
      </c>
      <c r="B3782" t="s">
        <v>1330</v>
      </c>
      <c r="C3782" t="s">
        <v>1564</v>
      </c>
      <c r="D3782">
        <v>22.5</v>
      </c>
    </row>
    <row r="3783" spans="1:4" x14ac:dyDescent="0.25">
      <c r="A3783" t="s">
        <v>1902</v>
      </c>
      <c r="B3783" t="s">
        <v>1331</v>
      </c>
      <c r="C3783" t="s">
        <v>1471</v>
      </c>
      <c r="D3783">
        <v>63.6</v>
      </c>
    </row>
    <row r="3784" spans="1:4" x14ac:dyDescent="0.25">
      <c r="A3784" t="s">
        <v>1987</v>
      </c>
      <c r="B3784" t="s">
        <v>1331</v>
      </c>
      <c r="C3784" t="s">
        <v>1471</v>
      </c>
      <c r="D3784">
        <v>15.8</v>
      </c>
    </row>
    <row r="3785" spans="1:4" x14ac:dyDescent="0.25">
      <c r="A3785" t="s">
        <v>2034</v>
      </c>
      <c r="B3785" t="s">
        <v>1331</v>
      </c>
      <c r="C3785" t="s">
        <v>1471</v>
      </c>
      <c r="D3785">
        <v>4</v>
      </c>
    </row>
    <row r="3786" spans="1:4" x14ac:dyDescent="0.25">
      <c r="A3786" t="s">
        <v>1900</v>
      </c>
      <c r="B3786" t="s">
        <v>1330</v>
      </c>
      <c r="C3786" t="s">
        <v>1471</v>
      </c>
      <c r="D3786">
        <v>15.25</v>
      </c>
    </row>
    <row r="3787" spans="1:4" x14ac:dyDescent="0.25">
      <c r="A3787" t="s">
        <v>1947</v>
      </c>
      <c r="B3787" t="s">
        <v>1331</v>
      </c>
      <c r="C3787" t="s">
        <v>1471</v>
      </c>
      <c r="D3787">
        <v>7.7</v>
      </c>
    </row>
    <row r="3788" spans="1:4" x14ac:dyDescent="0.25">
      <c r="A3788" t="s">
        <v>1902</v>
      </c>
      <c r="B3788" t="s">
        <v>1330</v>
      </c>
      <c r="C3788" t="s">
        <v>1471</v>
      </c>
      <c r="D3788">
        <v>7.7</v>
      </c>
    </row>
    <row r="3789" spans="1:4" x14ac:dyDescent="0.25">
      <c r="A3789" t="s">
        <v>1902</v>
      </c>
      <c r="B3789" t="s">
        <v>1335</v>
      </c>
      <c r="C3789" t="s">
        <v>1471</v>
      </c>
      <c r="D3789">
        <v>15.4</v>
      </c>
    </row>
    <row r="3790" spans="1:4" x14ac:dyDescent="0.25">
      <c r="A3790" t="s">
        <v>1959</v>
      </c>
      <c r="B3790" t="s">
        <v>1330</v>
      </c>
      <c r="C3790" t="s">
        <v>1471</v>
      </c>
      <c r="D3790">
        <v>65.599999999999994</v>
      </c>
    </row>
    <row r="3791" spans="1:4" x14ac:dyDescent="0.25">
      <c r="A3791" t="s">
        <v>1900</v>
      </c>
      <c r="B3791" t="s">
        <v>1331</v>
      </c>
      <c r="C3791" t="s">
        <v>1725</v>
      </c>
      <c r="D3791">
        <v>4.5</v>
      </c>
    </row>
    <row r="3792" spans="1:4" x14ac:dyDescent="0.25">
      <c r="A3792" t="s">
        <v>2016</v>
      </c>
      <c r="B3792" t="s">
        <v>1331</v>
      </c>
      <c r="C3792" t="s">
        <v>1725</v>
      </c>
      <c r="D3792">
        <v>9.4</v>
      </c>
    </row>
    <row r="3793" spans="1:4" x14ac:dyDescent="0.25">
      <c r="A3793" t="s">
        <v>1959</v>
      </c>
      <c r="B3793" t="s">
        <v>1330</v>
      </c>
      <c r="C3793" t="s">
        <v>1523</v>
      </c>
      <c r="D3793">
        <v>10.4</v>
      </c>
    </row>
    <row r="3794" spans="1:4" x14ac:dyDescent="0.25">
      <c r="A3794" t="s">
        <v>1902</v>
      </c>
      <c r="B3794" t="s">
        <v>1335</v>
      </c>
      <c r="C3794" t="s">
        <v>1523</v>
      </c>
      <c r="D3794">
        <v>17.25</v>
      </c>
    </row>
    <row r="3795" spans="1:4" x14ac:dyDescent="0.25">
      <c r="A3795" t="s">
        <v>1913</v>
      </c>
      <c r="B3795" t="s">
        <v>1335</v>
      </c>
      <c r="C3795" t="s">
        <v>1523</v>
      </c>
      <c r="D3795">
        <v>71.8</v>
      </c>
    </row>
    <row r="3796" spans="1:4" x14ac:dyDescent="0.25">
      <c r="A3796" t="s">
        <v>2016</v>
      </c>
      <c r="B3796" t="s">
        <v>1331</v>
      </c>
      <c r="C3796" t="s">
        <v>1523</v>
      </c>
      <c r="D3796">
        <v>11</v>
      </c>
    </row>
    <row r="3797" spans="1:4" x14ac:dyDescent="0.25">
      <c r="A3797" t="s">
        <v>2024</v>
      </c>
      <c r="B3797" t="s">
        <v>1334</v>
      </c>
      <c r="C3797" t="s">
        <v>1437</v>
      </c>
      <c r="D3797">
        <v>34.5</v>
      </c>
    </row>
    <row r="3798" spans="1:4" x14ac:dyDescent="0.25">
      <c r="A3798" t="s">
        <v>2020</v>
      </c>
      <c r="B3798" t="s">
        <v>1334</v>
      </c>
      <c r="C3798" t="s">
        <v>1437</v>
      </c>
      <c r="D3798">
        <v>28.4</v>
      </c>
    </row>
    <row r="3799" spans="1:4" x14ac:dyDescent="0.25">
      <c r="A3799" t="s">
        <v>2020</v>
      </c>
      <c r="B3799" t="s">
        <v>1331</v>
      </c>
      <c r="C3799" t="s">
        <v>1437</v>
      </c>
      <c r="D3799">
        <v>14.4</v>
      </c>
    </row>
    <row r="3800" spans="1:4" x14ac:dyDescent="0.25">
      <c r="A3800" t="s">
        <v>2029</v>
      </c>
      <c r="B3800" t="s">
        <v>1334</v>
      </c>
      <c r="C3800" t="s">
        <v>1437</v>
      </c>
      <c r="D3800">
        <v>120.9</v>
      </c>
    </row>
    <row r="3801" spans="1:4" x14ac:dyDescent="0.25">
      <c r="A3801" t="s">
        <v>2021</v>
      </c>
      <c r="B3801" t="s">
        <v>1334</v>
      </c>
      <c r="C3801" t="s">
        <v>1437</v>
      </c>
      <c r="D3801">
        <v>123.2</v>
      </c>
    </row>
    <row r="3802" spans="1:4" x14ac:dyDescent="0.25">
      <c r="A3802" t="s">
        <v>1925</v>
      </c>
      <c r="B3802" t="s">
        <v>1331</v>
      </c>
      <c r="C3802" t="s">
        <v>1826</v>
      </c>
      <c r="D3802">
        <v>3.85</v>
      </c>
    </row>
    <row r="3803" spans="1:4" x14ac:dyDescent="0.25">
      <c r="A3803" t="s">
        <v>1927</v>
      </c>
      <c r="B3803" t="s">
        <v>1331</v>
      </c>
      <c r="C3803" t="s">
        <v>1584</v>
      </c>
      <c r="D3803">
        <v>29.3</v>
      </c>
    </row>
    <row r="3804" spans="1:4" x14ac:dyDescent="0.25">
      <c r="A3804" t="s">
        <v>2016</v>
      </c>
      <c r="B3804" t="s">
        <v>1331</v>
      </c>
      <c r="C3804" t="s">
        <v>1584</v>
      </c>
      <c r="D3804">
        <v>1.5</v>
      </c>
    </row>
    <row r="3805" spans="1:4" x14ac:dyDescent="0.25">
      <c r="A3805" t="s">
        <v>1902</v>
      </c>
      <c r="B3805" t="s">
        <v>1331</v>
      </c>
      <c r="C3805" t="s">
        <v>1584</v>
      </c>
      <c r="D3805">
        <v>7.7</v>
      </c>
    </row>
    <row r="3806" spans="1:4" x14ac:dyDescent="0.25">
      <c r="A3806" t="s">
        <v>1959</v>
      </c>
      <c r="B3806" t="s">
        <v>1330</v>
      </c>
      <c r="C3806" t="s">
        <v>1584</v>
      </c>
      <c r="D3806">
        <v>24.1</v>
      </c>
    </row>
    <row r="3807" spans="1:4" x14ac:dyDescent="0.25">
      <c r="A3807" t="s">
        <v>2021</v>
      </c>
      <c r="B3807" t="s">
        <v>1334</v>
      </c>
      <c r="C3807" t="s">
        <v>1361</v>
      </c>
      <c r="D3807">
        <v>107.8</v>
      </c>
    </row>
    <row r="3808" spans="1:4" x14ac:dyDescent="0.25">
      <c r="A3808" t="s">
        <v>1967</v>
      </c>
      <c r="B3808" t="s">
        <v>1331</v>
      </c>
      <c r="C3808" t="s">
        <v>1361</v>
      </c>
      <c r="D3808">
        <v>29.9</v>
      </c>
    </row>
    <row r="3809" spans="1:4" x14ac:dyDescent="0.25">
      <c r="A3809" t="s">
        <v>1972</v>
      </c>
      <c r="B3809" t="s">
        <v>1334</v>
      </c>
      <c r="C3809" t="s">
        <v>1361</v>
      </c>
      <c r="D3809">
        <v>194.1</v>
      </c>
    </row>
    <row r="3810" spans="1:4" x14ac:dyDescent="0.25">
      <c r="A3810" t="s">
        <v>1947</v>
      </c>
      <c r="B3810" t="s">
        <v>1331</v>
      </c>
      <c r="C3810" t="s">
        <v>1361</v>
      </c>
      <c r="D3810">
        <v>37.5</v>
      </c>
    </row>
    <row r="3811" spans="1:4" x14ac:dyDescent="0.25">
      <c r="A3811" t="s">
        <v>2019</v>
      </c>
      <c r="B3811" t="s">
        <v>1331</v>
      </c>
      <c r="C3811" t="s">
        <v>1361</v>
      </c>
      <c r="D3811">
        <v>6.5</v>
      </c>
    </row>
    <row r="3812" spans="1:4" x14ac:dyDescent="0.25">
      <c r="A3812" t="s">
        <v>2025</v>
      </c>
      <c r="B3812" t="s">
        <v>1334</v>
      </c>
      <c r="C3812" t="s">
        <v>1361</v>
      </c>
      <c r="D3812">
        <v>60.75</v>
      </c>
    </row>
    <row r="3813" spans="1:4" x14ac:dyDescent="0.25">
      <c r="A3813" t="s">
        <v>2020</v>
      </c>
      <c r="B3813" t="s">
        <v>1334</v>
      </c>
      <c r="C3813" t="s">
        <v>1361</v>
      </c>
      <c r="D3813">
        <v>19.8</v>
      </c>
    </row>
    <row r="3814" spans="1:4" x14ac:dyDescent="0.25">
      <c r="A3814" t="s">
        <v>1958</v>
      </c>
      <c r="B3814" t="s">
        <v>1331</v>
      </c>
      <c r="C3814" t="s">
        <v>1361</v>
      </c>
      <c r="D3814">
        <v>1</v>
      </c>
    </row>
    <row r="3815" spans="1:4" x14ac:dyDescent="0.25">
      <c r="A3815" t="s">
        <v>1950</v>
      </c>
      <c r="B3815" t="s">
        <v>1331</v>
      </c>
      <c r="C3815" t="s">
        <v>1361</v>
      </c>
      <c r="D3815">
        <v>3.7</v>
      </c>
    </row>
    <row r="3816" spans="1:4" x14ac:dyDescent="0.25">
      <c r="A3816" t="s">
        <v>1939</v>
      </c>
      <c r="B3816" t="s">
        <v>1331</v>
      </c>
      <c r="C3816" t="s">
        <v>1361</v>
      </c>
      <c r="D3816">
        <v>12.7</v>
      </c>
    </row>
    <row r="3817" spans="1:4" x14ac:dyDescent="0.25">
      <c r="A3817" t="s">
        <v>2024</v>
      </c>
      <c r="B3817" t="s">
        <v>1334</v>
      </c>
      <c r="C3817" t="s">
        <v>1361</v>
      </c>
      <c r="D3817">
        <v>27.95</v>
      </c>
    </row>
    <row r="3818" spans="1:4" x14ac:dyDescent="0.25">
      <c r="A3818" t="s">
        <v>1902</v>
      </c>
      <c r="B3818" t="s">
        <v>1331</v>
      </c>
      <c r="C3818" t="s">
        <v>1361</v>
      </c>
      <c r="D3818">
        <v>10.050000000000001</v>
      </c>
    </row>
    <row r="3819" spans="1:4" x14ac:dyDescent="0.25">
      <c r="A3819" t="s">
        <v>2019</v>
      </c>
      <c r="B3819" t="s">
        <v>1334</v>
      </c>
      <c r="C3819" t="s">
        <v>1361</v>
      </c>
      <c r="D3819">
        <v>856.05</v>
      </c>
    </row>
    <row r="3820" spans="1:4" x14ac:dyDescent="0.25">
      <c r="A3820" t="s">
        <v>1925</v>
      </c>
      <c r="B3820" t="s">
        <v>1331</v>
      </c>
      <c r="C3820" t="s">
        <v>1361</v>
      </c>
      <c r="D3820">
        <v>135.5</v>
      </c>
    </row>
    <row r="3821" spans="1:4" x14ac:dyDescent="0.25">
      <c r="A3821" t="s">
        <v>2022</v>
      </c>
      <c r="B3821" t="s">
        <v>1334</v>
      </c>
      <c r="C3821" t="s">
        <v>1361</v>
      </c>
      <c r="D3821">
        <v>77</v>
      </c>
    </row>
    <row r="3822" spans="1:4" x14ac:dyDescent="0.25">
      <c r="A3822" t="s">
        <v>1927</v>
      </c>
      <c r="B3822" t="s">
        <v>1331</v>
      </c>
      <c r="C3822" t="s">
        <v>1361</v>
      </c>
      <c r="D3822">
        <v>13.9</v>
      </c>
    </row>
    <row r="3823" spans="1:4" x14ac:dyDescent="0.25">
      <c r="A3823" t="s">
        <v>1921</v>
      </c>
      <c r="B3823" t="s">
        <v>1330</v>
      </c>
      <c r="C3823" t="s">
        <v>1361</v>
      </c>
      <c r="D3823">
        <v>126.5</v>
      </c>
    </row>
    <row r="3824" spans="1:4" x14ac:dyDescent="0.25">
      <c r="A3824" t="s">
        <v>1972</v>
      </c>
      <c r="B3824" t="s">
        <v>1331</v>
      </c>
      <c r="C3824" t="s">
        <v>1361</v>
      </c>
      <c r="D3824">
        <v>5.7</v>
      </c>
    </row>
    <row r="3825" spans="1:4" x14ac:dyDescent="0.25">
      <c r="A3825" t="s">
        <v>2019</v>
      </c>
      <c r="B3825" t="s">
        <v>1330</v>
      </c>
      <c r="C3825" t="s">
        <v>1361</v>
      </c>
      <c r="D3825">
        <v>23.1</v>
      </c>
    </row>
    <row r="3826" spans="1:4" x14ac:dyDescent="0.25">
      <c r="A3826" t="s">
        <v>2010</v>
      </c>
      <c r="B3826" t="s">
        <v>1331</v>
      </c>
      <c r="C3826" t="s">
        <v>1361</v>
      </c>
      <c r="D3826">
        <v>851.55</v>
      </c>
    </row>
    <row r="3827" spans="1:4" x14ac:dyDescent="0.25">
      <c r="A3827" t="s">
        <v>1935</v>
      </c>
      <c r="B3827" t="s">
        <v>1331</v>
      </c>
      <c r="C3827" t="s">
        <v>1361</v>
      </c>
      <c r="D3827">
        <v>3</v>
      </c>
    </row>
    <row r="3828" spans="1:4" x14ac:dyDescent="0.25">
      <c r="A3828" t="s">
        <v>1950</v>
      </c>
      <c r="B3828" t="s">
        <v>1334</v>
      </c>
      <c r="C3828" t="s">
        <v>1361</v>
      </c>
      <c r="D3828">
        <v>3.7</v>
      </c>
    </row>
    <row r="3829" spans="1:4" x14ac:dyDescent="0.25">
      <c r="A3829" t="s">
        <v>2029</v>
      </c>
      <c r="B3829" t="s">
        <v>1334</v>
      </c>
      <c r="C3829" t="s">
        <v>1506</v>
      </c>
      <c r="D3829">
        <v>3.85</v>
      </c>
    </row>
    <row r="3830" spans="1:4" x14ac:dyDescent="0.25">
      <c r="A3830" t="s">
        <v>1995</v>
      </c>
      <c r="B3830" t="s">
        <v>1330</v>
      </c>
      <c r="C3830" t="s">
        <v>1506</v>
      </c>
      <c r="D3830">
        <v>5</v>
      </c>
    </row>
    <row r="3831" spans="1:4" x14ac:dyDescent="0.25">
      <c r="A3831" t="s">
        <v>2028</v>
      </c>
      <c r="B3831" t="s">
        <v>1334</v>
      </c>
      <c r="C3831" t="s">
        <v>1506</v>
      </c>
      <c r="D3831">
        <v>122.2</v>
      </c>
    </row>
    <row r="3832" spans="1:4" x14ac:dyDescent="0.25">
      <c r="A3832" t="s">
        <v>1987</v>
      </c>
      <c r="B3832" t="s">
        <v>1331</v>
      </c>
      <c r="C3832" t="s">
        <v>1534</v>
      </c>
      <c r="D3832">
        <v>64.099999999999994</v>
      </c>
    </row>
    <row r="3833" spans="1:4" x14ac:dyDescent="0.25">
      <c r="A3833" t="s">
        <v>1959</v>
      </c>
      <c r="B3833" t="s">
        <v>1330</v>
      </c>
      <c r="C3833" t="s">
        <v>1534</v>
      </c>
      <c r="D3833">
        <v>33</v>
      </c>
    </row>
    <row r="3834" spans="1:4" x14ac:dyDescent="0.25">
      <c r="A3834" t="s">
        <v>1949</v>
      </c>
      <c r="B3834" t="s">
        <v>1331</v>
      </c>
      <c r="C3834" t="s">
        <v>1429</v>
      </c>
      <c r="D3834">
        <v>82.4</v>
      </c>
    </row>
    <row r="3835" spans="1:4" x14ac:dyDescent="0.25">
      <c r="A3835" t="s">
        <v>1921</v>
      </c>
      <c r="B3835" t="s">
        <v>1331</v>
      </c>
      <c r="C3835" t="s">
        <v>1429</v>
      </c>
      <c r="D3835">
        <v>15.4</v>
      </c>
    </row>
    <row r="3836" spans="1:4" x14ac:dyDescent="0.25">
      <c r="A3836" t="s">
        <v>1902</v>
      </c>
      <c r="B3836" t="s">
        <v>1333</v>
      </c>
      <c r="C3836" t="s">
        <v>1429</v>
      </c>
      <c r="D3836">
        <v>3.85</v>
      </c>
    </row>
    <row r="3837" spans="1:4" x14ac:dyDescent="0.25">
      <c r="A3837" t="s">
        <v>1939</v>
      </c>
      <c r="B3837" t="s">
        <v>1331</v>
      </c>
      <c r="C3837" t="s">
        <v>1429</v>
      </c>
      <c r="D3837">
        <v>7.7</v>
      </c>
    </row>
    <row r="3838" spans="1:4" x14ac:dyDescent="0.25">
      <c r="A3838" t="s">
        <v>1931</v>
      </c>
      <c r="B3838" t="s">
        <v>1330</v>
      </c>
      <c r="C3838" t="s">
        <v>1429</v>
      </c>
      <c r="D3838">
        <v>15.4</v>
      </c>
    </row>
    <row r="3839" spans="1:4" x14ac:dyDescent="0.25">
      <c r="A3839" t="s">
        <v>1902</v>
      </c>
      <c r="B3839" t="s">
        <v>1331</v>
      </c>
      <c r="C3839" t="s">
        <v>1429</v>
      </c>
      <c r="D3839">
        <v>18.100000000000001</v>
      </c>
    </row>
    <row r="3840" spans="1:4" x14ac:dyDescent="0.25">
      <c r="A3840" t="s">
        <v>1995</v>
      </c>
      <c r="B3840" t="s">
        <v>1330</v>
      </c>
      <c r="C3840" t="s">
        <v>1429</v>
      </c>
      <c r="D3840">
        <v>3.7</v>
      </c>
    </row>
    <row r="3841" spans="1:4" x14ac:dyDescent="0.25">
      <c r="A3841" t="s">
        <v>1935</v>
      </c>
      <c r="B3841" t="s">
        <v>1331</v>
      </c>
      <c r="C3841" t="s">
        <v>1429</v>
      </c>
      <c r="D3841">
        <v>116.6</v>
      </c>
    </row>
    <row r="3842" spans="1:4" x14ac:dyDescent="0.25">
      <c r="A3842" t="s">
        <v>1949</v>
      </c>
      <c r="B3842" t="s">
        <v>1333</v>
      </c>
      <c r="C3842" t="s">
        <v>1429</v>
      </c>
      <c r="D3842">
        <v>1</v>
      </c>
    </row>
    <row r="3843" spans="1:4" x14ac:dyDescent="0.25">
      <c r="A3843" t="s">
        <v>1921</v>
      </c>
      <c r="B3843" t="s">
        <v>1330</v>
      </c>
      <c r="C3843" t="s">
        <v>1429</v>
      </c>
      <c r="D3843">
        <v>111.7</v>
      </c>
    </row>
    <row r="3844" spans="1:4" x14ac:dyDescent="0.25">
      <c r="A3844" t="s">
        <v>2072</v>
      </c>
      <c r="B3844" t="s">
        <v>1331</v>
      </c>
      <c r="C3844" t="s">
        <v>1450</v>
      </c>
      <c r="D3844">
        <v>214.4</v>
      </c>
    </row>
    <row r="3845" spans="1:4" x14ac:dyDescent="0.25">
      <c r="A3845" t="s">
        <v>1904</v>
      </c>
      <c r="B3845" t="s">
        <v>1331</v>
      </c>
      <c r="C3845" t="s">
        <v>1450</v>
      </c>
      <c r="D3845">
        <v>3</v>
      </c>
    </row>
    <row r="3846" spans="1:4" x14ac:dyDescent="0.25">
      <c r="A3846" t="s">
        <v>1959</v>
      </c>
      <c r="B3846" t="s">
        <v>1330</v>
      </c>
      <c r="C3846" t="s">
        <v>1450</v>
      </c>
      <c r="D3846">
        <v>42.8</v>
      </c>
    </row>
    <row r="3847" spans="1:4" x14ac:dyDescent="0.25">
      <c r="A3847" t="s">
        <v>2016</v>
      </c>
      <c r="B3847" t="s">
        <v>1331</v>
      </c>
      <c r="C3847" t="s">
        <v>1389</v>
      </c>
      <c r="D3847">
        <v>14.98</v>
      </c>
    </row>
    <row r="3848" spans="1:4" x14ac:dyDescent="0.25">
      <c r="A3848" t="s">
        <v>1959</v>
      </c>
      <c r="B3848" t="s">
        <v>1330</v>
      </c>
      <c r="C3848" t="s">
        <v>1389</v>
      </c>
      <c r="D3848">
        <v>152.94999999999999</v>
      </c>
    </row>
    <row r="3849" spans="1:4" x14ac:dyDescent="0.25">
      <c r="A3849" t="s">
        <v>1921</v>
      </c>
      <c r="B3849" t="s">
        <v>1330</v>
      </c>
      <c r="C3849" t="s">
        <v>1389</v>
      </c>
      <c r="D3849">
        <v>1</v>
      </c>
    </row>
    <row r="3850" spans="1:4" x14ac:dyDescent="0.25">
      <c r="A3850" t="s">
        <v>1929</v>
      </c>
      <c r="B3850" t="s">
        <v>1331</v>
      </c>
      <c r="C3850" t="s">
        <v>1389</v>
      </c>
      <c r="D3850">
        <v>71</v>
      </c>
    </row>
    <row r="3851" spans="1:4" x14ac:dyDescent="0.25">
      <c r="A3851" t="s">
        <v>1962</v>
      </c>
      <c r="B3851" t="s">
        <v>1333</v>
      </c>
      <c r="C3851" t="s">
        <v>1389</v>
      </c>
      <c r="D3851">
        <v>51.9</v>
      </c>
    </row>
    <row r="3852" spans="1:4" x14ac:dyDescent="0.25">
      <c r="A3852" t="s">
        <v>2072</v>
      </c>
      <c r="B3852" t="s">
        <v>1331</v>
      </c>
      <c r="C3852" t="s">
        <v>1389</v>
      </c>
      <c r="D3852">
        <v>230.8</v>
      </c>
    </row>
    <row r="3853" spans="1:4" x14ac:dyDescent="0.25">
      <c r="A3853" t="s">
        <v>1959</v>
      </c>
      <c r="B3853" t="s">
        <v>1331</v>
      </c>
      <c r="C3853" t="s">
        <v>1389</v>
      </c>
      <c r="D3853">
        <v>1</v>
      </c>
    </row>
    <row r="3854" spans="1:4" x14ac:dyDescent="0.25">
      <c r="A3854" t="s">
        <v>1945</v>
      </c>
      <c r="B3854" t="s">
        <v>1331</v>
      </c>
      <c r="C3854" t="s">
        <v>1389</v>
      </c>
      <c r="D3854">
        <v>183</v>
      </c>
    </row>
    <row r="3855" spans="1:4" x14ac:dyDescent="0.25">
      <c r="A3855" t="s">
        <v>2022</v>
      </c>
      <c r="B3855" t="s">
        <v>1334</v>
      </c>
      <c r="C3855" t="s">
        <v>1389</v>
      </c>
      <c r="D3855">
        <v>65.45</v>
      </c>
    </row>
    <row r="3856" spans="1:4" x14ac:dyDescent="0.25">
      <c r="A3856" t="s">
        <v>1945</v>
      </c>
      <c r="B3856" t="s">
        <v>1333</v>
      </c>
      <c r="C3856" t="s">
        <v>1389</v>
      </c>
      <c r="D3856">
        <v>80.2</v>
      </c>
    </row>
    <row r="3857" spans="1:4" x14ac:dyDescent="0.25">
      <c r="A3857" t="s">
        <v>2019</v>
      </c>
      <c r="B3857" t="s">
        <v>1334</v>
      </c>
      <c r="C3857" t="s">
        <v>1444</v>
      </c>
      <c r="D3857">
        <v>85.4</v>
      </c>
    </row>
    <row r="3858" spans="1:4" x14ac:dyDescent="0.25">
      <c r="A3858" t="s">
        <v>2021</v>
      </c>
      <c r="B3858" t="s">
        <v>1334</v>
      </c>
      <c r="C3858" t="s">
        <v>1444</v>
      </c>
      <c r="D3858">
        <v>84.7</v>
      </c>
    </row>
    <row r="3859" spans="1:4" x14ac:dyDescent="0.25">
      <c r="A3859" t="s">
        <v>2073</v>
      </c>
      <c r="B3859" t="s">
        <v>1334</v>
      </c>
      <c r="C3859" t="s">
        <v>1444</v>
      </c>
      <c r="D3859">
        <v>10.8</v>
      </c>
    </row>
    <row r="3860" spans="1:4" x14ac:dyDescent="0.25">
      <c r="A3860" t="s">
        <v>1972</v>
      </c>
      <c r="B3860" t="s">
        <v>1334</v>
      </c>
      <c r="C3860" t="s">
        <v>1444</v>
      </c>
      <c r="D3860">
        <v>113.5</v>
      </c>
    </row>
    <row r="3861" spans="1:4" x14ac:dyDescent="0.25">
      <c r="A3861" t="s">
        <v>2024</v>
      </c>
      <c r="B3861" t="s">
        <v>1334</v>
      </c>
      <c r="C3861" t="s">
        <v>1444</v>
      </c>
      <c r="D3861">
        <v>4</v>
      </c>
    </row>
    <row r="3862" spans="1:4" x14ac:dyDescent="0.25">
      <c r="A3862" t="s">
        <v>1995</v>
      </c>
      <c r="B3862" t="s">
        <v>1330</v>
      </c>
      <c r="C3862" t="s">
        <v>1500</v>
      </c>
      <c r="D3862">
        <v>8.5</v>
      </c>
    </row>
    <row r="3863" spans="1:4" x14ac:dyDescent="0.25">
      <c r="A3863" t="s">
        <v>2034</v>
      </c>
      <c r="B3863" t="s">
        <v>1331</v>
      </c>
      <c r="C3863" t="s">
        <v>1500</v>
      </c>
      <c r="D3863">
        <v>15.4</v>
      </c>
    </row>
    <row r="3864" spans="1:4" x14ac:dyDescent="0.25">
      <c r="A3864" t="s">
        <v>1901</v>
      </c>
      <c r="B3864" t="s">
        <v>1331</v>
      </c>
      <c r="C3864" t="s">
        <v>1500</v>
      </c>
      <c r="D3864">
        <v>117.1</v>
      </c>
    </row>
    <row r="3865" spans="1:4" x14ac:dyDescent="0.25">
      <c r="A3865" t="s">
        <v>2025</v>
      </c>
      <c r="B3865" t="s">
        <v>1334</v>
      </c>
      <c r="C3865" t="s">
        <v>1569</v>
      </c>
      <c r="D3865">
        <v>7.7</v>
      </c>
    </row>
    <row r="3866" spans="1:4" x14ac:dyDescent="0.25">
      <c r="A3866" t="s">
        <v>2020</v>
      </c>
      <c r="B3866" t="s">
        <v>1334</v>
      </c>
      <c r="C3866" t="s">
        <v>1569</v>
      </c>
      <c r="D3866">
        <v>46.9</v>
      </c>
    </row>
    <row r="3867" spans="1:4" x14ac:dyDescent="0.25">
      <c r="A3867" t="s">
        <v>2023</v>
      </c>
      <c r="B3867" t="s">
        <v>1330</v>
      </c>
      <c r="C3867" t="s">
        <v>1569</v>
      </c>
      <c r="D3867">
        <v>15.4</v>
      </c>
    </row>
    <row r="3868" spans="1:4" x14ac:dyDescent="0.25">
      <c r="A3868" t="s">
        <v>1949</v>
      </c>
      <c r="B3868" t="s">
        <v>1331</v>
      </c>
      <c r="C3868" t="s">
        <v>1436</v>
      </c>
      <c r="D3868">
        <v>7.7</v>
      </c>
    </row>
    <row r="3869" spans="1:4" x14ac:dyDescent="0.25">
      <c r="A3869" t="s">
        <v>1913</v>
      </c>
      <c r="B3869" t="s">
        <v>1335</v>
      </c>
      <c r="C3869" t="s">
        <v>1436</v>
      </c>
      <c r="D3869">
        <v>3.85</v>
      </c>
    </row>
    <row r="3870" spans="1:4" x14ac:dyDescent="0.25">
      <c r="A3870" t="s">
        <v>1902</v>
      </c>
      <c r="B3870" t="s">
        <v>1335</v>
      </c>
      <c r="C3870" t="s">
        <v>1436</v>
      </c>
      <c r="D3870">
        <v>23.95</v>
      </c>
    </row>
    <row r="3871" spans="1:4" x14ac:dyDescent="0.25">
      <c r="A3871" t="s">
        <v>2016</v>
      </c>
      <c r="B3871" t="s">
        <v>1331</v>
      </c>
      <c r="C3871" t="s">
        <v>1436</v>
      </c>
      <c r="D3871">
        <v>1.25</v>
      </c>
    </row>
    <row r="3872" spans="1:4" x14ac:dyDescent="0.25">
      <c r="A3872" t="s">
        <v>1900</v>
      </c>
      <c r="B3872" t="s">
        <v>1330</v>
      </c>
      <c r="C3872" t="s">
        <v>1436</v>
      </c>
      <c r="D3872">
        <v>14.45</v>
      </c>
    </row>
    <row r="3873" spans="1:4" x14ac:dyDescent="0.25">
      <c r="A3873" t="s">
        <v>1945</v>
      </c>
      <c r="B3873" t="s">
        <v>1331</v>
      </c>
      <c r="C3873" t="s">
        <v>1436</v>
      </c>
      <c r="D3873">
        <v>14</v>
      </c>
    </row>
    <row r="3874" spans="1:4" x14ac:dyDescent="0.25">
      <c r="A3874" t="s">
        <v>1902</v>
      </c>
      <c r="B3874" t="s">
        <v>1331</v>
      </c>
      <c r="C3874" t="s">
        <v>1436</v>
      </c>
      <c r="D3874">
        <v>38.65</v>
      </c>
    </row>
    <row r="3875" spans="1:4" x14ac:dyDescent="0.25">
      <c r="A3875" t="s">
        <v>1927</v>
      </c>
      <c r="B3875" t="s">
        <v>1331</v>
      </c>
      <c r="C3875" t="s">
        <v>1436</v>
      </c>
      <c r="D3875">
        <v>18.25</v>
      </c>
    </row>
    <row r="3876" spans="1:4" x14ac:dyDescent="0.25">
      <c r="A3876" t="s">
        <v>2072</v>
      </c>
      <c r="B3876" t="s">
        <v>1331</v>
      </c>
      <c r="C3876" t="s">
        <v>1436</v>
      </c>
      <c r="D3876">
        <v>20.100000000000001</v>
      </c>
    </row>
    <row r="3877" spans="1:4" x14ac:dyDescent="0.25">
      <c r="A3877" t="s">
        <v>1931</v>
      </c>
      <c r="B3877" t="s">
        <v>1330</v>
      </c>
      <c r="C3877" t="s">
        <v>1436</v>
      </c>
      <c r="D3877">
        <v>3.85</v>
      </c>
    </row>
    <row r="3878" spans="1:4" x14ac:dyDescent="0.25">
      <c r="A3878" t="s">
        <v>1959</v>
      </c>
      <c r="B3878" t="s">
        <v>1331</v>
      </c>
      <c r="C3878" t="s">
        <v>1436</v>
      </c>
      <c r="D3878">
        <v>1</v>
      </c>
    </row>
    <row r="3879" spans="1:4" x14ac:dyDescent="0.25">
      <c r="A3879" t="s">
        <v>1913</v>
      </c>
      <c r="B3879" t="s">
        <v>1330</v>
      </c>
      <c r="C3879" t="s">
        <v>1436</v>
      </c>
      <c r="D3879">
        <v>7.85</v>
      </c>
    </row>
    <row r="3880" spans="1:4" x14ac:dyDescent="0.25">
      <c r="A3880" t="s">
        <v>1959</v>
      </c>
      <c r="B3880" t="s">
        <v>1330</v>
      </c>
      <c r="C3880" t="s">
        <v>1436</v>
      </c>
      <c r="D3880">
        <v>180.3</v>
      </c>
    </row>
    <row r="3881" spans="1:4" x14ac:dyDescent="0.25">
      <c r="A3881" t="s">
        <v>1907</v>
      </c>
      <c r="B3881" t="s">
        <v>1335</v>
      </c>
      <c r="C3881" t="s">
        <v>1401</v>
      </c>
      <c r="D3881">
        <v>24.95</v>
      </c>
    </row>
    <row r="3882" spans="1:4" x14ac:dyDescent="0.25">
      <c r="A3882" t="s">
        <v>1955</v>
      </c>
      <c r="B3882" t="s">
        <v>1335</v>
      </c>
      <c r="C3882" t="s">
        <v>1401</v>
      </c>
      <c r="D3882">
        <v>39.5</v>
      </c>
    </row>
    <row r="3883" spans="1:4" x14ac:dyDescent="0.25">
      <c r="A3883" t="s">
        <v>1954</v>
      </c>
      <c r="B3883" t="s">
        <v>1331</v>
      </c>
      <c r="C3883" t="s">
        <v>1401</v>
      </c>
      <c r="D3883">
        <v>7.7</v>
      </c>
    </row>
    <row r="3884" spans="1:4" x14ac:dyDescent="0.25">
      <c r="A3884" t="s">
        <v>1954</v>
      </c>
      <c r="B3884" t="s">
        <v>1335</v>
      </c>
      <c r="C3884" t="s">
        <v>1401</v>
      </c>
      <c r="D3884">
        <v>325.60000000000002</v>
      </c>
    </row>
    <row r="3885" spans="1:4" x14ac:dyDescent="0.25">
      <c r="A3885" t="s">
        <v>1953</v>
      </c>
      <c r="B3885" t="s">
        <v>1335</v>
      </c>
      <c r="C3885" t="s">
        <v>1401</v>
      </c>
      <c r="D3885">
        <v>284.14999999999998</v>
      </c>
    </row>
    <row r="3886" spans="1:4" x14ac:dyDescent="0.25">
      <c r="A3886" t="s">
        <v>1900</v>
      </c>
      <c r="B3886" t="s">
        <v>1335</v>
      </c>
      <c r="C3886" t="s">
        <v>1404</v>
      </c>
      <c r="D3886">
        <v>4.7</v>
      </c>
    </row>
    <row r="3887" spans="1:4" x14ac:dyDescent="0.25">
      <c r="A3887" t="s">
        <v>1900</v>
      </c>
      <c r="B3887" t="s">
        <v>1330</v>
      </c>
      <c r="C3887" t="s">
        <v>1404</v>
      </c>
      <c r="D3887">
        <v>12.55</v>
      </c>
    </row>
    <row r="3888" spans="1:4" x14ac:dyDescent="0.25">
      <c r="A3888" t="s">
        <v>2072</v>
      </c>
      <c r="B3888" t="s">
        <v>1331</v>
      </c>
      <c r="C3888" t="s">
        <v>1404</v>
      </c>
      <c r="D3888">
        <v>160.80000000000001</v>
      </c>
    </row>
    <row r="3889" spans="1:4" x14ac:dyDescent="0.25">
      <c r="A3889" t="s">
        <v>1902</v>
      </c>
      <c r="B3889" t="s">
        <v>1331</v>
      </c>
      <c r="C3889" t="s">
        <v>1404</v>
      </c>
      <c r="D3889">
        <v>13.7</v>
      </c>
    </row>
    <row r="3890" spans="1:4" x14ac:dyDescent="0.25">
      <c r="A3890" t="s">
        <v>1900</v>
      </c>
      <c r="B3890" t="s">
        <v>1331</v>
      </c>
      <c r="C3890" t="s">
        <v>1404</v>
      </c>
      <c r="D3890">
        <v>8.4</v>
      </c>
    </row>
    <row r="3891" spans="1:4" x14ac:dyDescent="0.25">
      <c r="A3891" t="s">
        <v>1913</v>
      </c>
      <c r="B3891" t="s">
        <v>1331</v>
      </c>
      <c r="C3891" t="s">
        <v>1404</v>
      </c>
      <c r="D3891">
        <v>51.05</v>
      </c>
    </row>
    <row r="3892" spans="1:4" x14ac:dyDescent="0.25">
      <c r="A3892" t="s">
        <v>1987</v>
      </c>
      <c r="B3892" t="s">
        <v>1331</v>
      </c>
      <c r="C3892" t="s">
        <v>1404</v>
      </c>
      <c r="D3892">
        <v>58.1</v>
      </c>
    </row>
    <row r="3893" spans="1:4" x14ac:dyDescent="0.25">
      <c r="A3893" t="s">
        <v>1913</v>
      </c>
      <c r="B3893" t="s">
        <v>1335</v>
      </c>
      <c r="C3893" t="s">
        <v>1404</v>
      </c>
      <c r="D3893">
        <v>199.3</v>
      </c>
    </row>
    <row r="3894" spans="1:4" x14ac:dyDescent="0.25">
      <c r="A3894" t="s">
        <v>1959</v>
      </c>
      <c r="B3894" t="s">
        <v>1330</v>
      </c>
      <c r="C3894" t="s">
        <v>1404</v>
      </c>
      <c r="D3894">
        <v>64.5</v>
      </c>
    </row>
    <row r="3895" spans="1:4" x14ac:dyDescent="0.25">
      <c r="A3895" t="s">
        <v>1902</v>
      </c>
      <c r="B3895" t="s">
        <v>1335</v>
      </c>
      <c r="C3895" t="s">
        <v>1404</v>
      </c>
      <c r="D3895">
        <v>36.950000000000003</v>
      </c>
    </row>
    <row r="3896" spans="1:4" x14ac:dyDescent="0.25">
      <c r="A3896" t="s">
        <v>1959</v>
      </c>
      <c r="B3896" t="s">
        <v>1330</v>
      </c>
      <c r="C3896" t="s">
        <v>1744</v>
      </c>
      <c r="D3896">
        <v>11</v>
      </c>
    </row>
    <row r="3897" spans="1:4" x14ac:dyDescent="0.25">
      <c r="A3897" t="s">
        <v>1945</v>
      </c>
      <c r="B3897" t="s">
        <v>1331</v>
      </c>
      <c r="C3897" t="s">
        <v>1478</v>
      </c>
      <c r="D3897">
        <v>158.4</v>
      </c>
    </row>
    <row r="3898" spans="1:4" x14ac:dyDescent="0.25">
      <c r="A3898" t="s">
        <v>1900</v>
      </c>
      <c r="B3898" t="s">
        <v>1330</v>
      </c>
      <c r="C3898" t="s">
        <v>1478</v>
      </c>
      <c r="D3898">
        <v>11.55</v>
      </c>
    </row>
    <row r="3899" spans="1:4" x14ac:dyDescent="0.25">
      <c r="A3899" t="s">
        <v>1900</v>
      </c>
      <c r="B3899" t="s">
        <v>1335</v>
      </c>
      <c r="C3899" t="s">
        <v>1478</v>
      </c>
      <c r="D3899">
        <v>5.7</v>
      </c>
    </row>
    <row r="3900" spans="1:4" x14ac:dyDescent="0.25">
      <c r="A3900" t="s">
        <v>1900</v>
      </c>
      <c r="B3900" t="s">
        <v>1331</v>
      </c>
      <c r="C3900" t="s">
        <v>1478</v>
      </c>
      <c r="D3900">
        <v>3.7</v>
      </c>
    </row>
    <row r="3901" spans="1:4" x14ac:dyDescent="0.25">
      <c r="A3901" t="s">
        <v>1987</v>
      </c>
      <c r="B3901" t="s">
        <v>1331</v>
      </c>
      <c r="C3901" t="s">
        <v>1485</v>
      </c>
      <c r="D3901">
        <v>37.799999999999997</v>
      </c>
    </row>
    <row r="3902" spans="1:4" x14ac:dyDescent="0.25">
      <c r="A3902" t="s">
        <v>2072</v>
      </c>
      <c r="B3902" t="s">
        <v>1331</v>
      </c>
      <c r="C3902" t="s">
        <v>1485</v>
      </c>
      <c r="D3902">
        <v>100.45</v>
      </c>
    </row>
    <row r="3903" spans="1:4" x14ac:dyDescent="0.25">
      <c r="A3903" t="s">
        <v>1959</v>
      </c>
      <c r="B3903" t="s">
        <v>1330</v>
      </c>
      <c r="C3903" t="s">
        <v>1485</v>
      </c>
      <c r="D3903">
        <v>24</v>
      </c>
    </row>
    <row r="3904" spans="1:4" x14ac:dyDescent="0.25">
      <c r="A3904" t="s">
        <v>1995</v>
      </c>
      <c r="B3904" t="s">
        <v>1330</v>
      </c>
      <c r="C3904" t="s">
        <v>1674</v>
      </c>
      <c r="D3904">
        <v>24.8</v>
      </c>
    </row>
    <row r="3905" spans="1:4" x14ac:dyDescent="0.25">
      <c r="A3905" t="s">
        <v>1959</v>
      </c>
      <c r="B3905" t="s">
        <v>1330</v>
      </c>
      <c r="C3905" t="s">
        <v>1550</v>
      </c>
      <c r="D3905">
        <v>29.4</v>
      </c>
    </row>
    <row r="3906" spans="1:4" x14ac:dyDescent="0.25">
      <c r="A3906" t="s">
        <v>2016</v>
      </c>
      <c r="B3906" t="s">
        <v>1331</v>
      </c>
      <c r="C3906" t="s">
        <v>1550</v>
      </c>
      <c r="D3906">
        <v>26.25</v>
      </c>
    </row>
    <row r="3907" spans="1:4" x14ac:dyDescent="0.25">
      <c r="A3907" t="s">
        <v>1902</v>
      </c>
      <c r="B3907" t="s">
        <v>1330</v>
      </c>
      <c r="C3907" t="s">
        <v>1550</v>
      </c>
      <c r="D3907">
        <v>3.85</v>
      </c>
    </row>
    <row r="3908" spans="1:4" x14ac:dyDescent="0.25">
      <c r="A3908" t="s">
        <v>1902</v>
      </c>
      <c r="B3908" t="s">
        <v>1331</v>
      </c>
      <c r="C3908" t="s">
        <v>1550</v>
      </c>
      <c r="D3908">
        <v>24.25</v>
      </c>
    </row>
    <row r="3909" spans="1:4" x14ac:dyDescent="0.25">
      <c r="A3909" t="s">
        <v>1995</v>
      </c>
      <c r="B3909" t="s">
        <v>1330</v>
      </c>
      <c r="C3909" t="s">
        <v>1678</v>
      </c>
      <c r="D3909">
        <v>23.4</v>
      </c>
    </row>
    <row r="3910" spans="1:4" x14ac:dyDescent="0.25">
      <c r="A3910" t="s">
        <v>2022</v>
      </c>
      <c r="B3910" t="s">
        <v>1331</v>
      </c>
      <c r="C3910" t="s">
        <v>1530</v>
      </c>
      <c r="D3910">
        <v>3.7</v>
      </c>
    </row>
    <row r="3911" spans="1:4" x14ac:dyDescent="0.25">
      <c r="A3911" t="s">
        <v>2029</v>
      </c>
      <c r="B3911" t="s">
        <v>1334</v>
      </c>
      <c r="C3911" t="s">
        <v>1530</v>
      </c>
      <c r="D3911">
        <v>45.2</v>
      </c>
    </row>
    <row r="3912" spans="1:4" x14ac:dyDescent="0.25">
      <c r="A3912" t="s">
        <v>2022</v>
      </c>
      <c r="B3912" t="s">
        <v>1334</v>
      </c>
      <c r="C3912" t="s">
        <v>1530</v>
      </c>
      <c r="D3912">
        <v>15.4</v>
      </c>
    </row>
    <row r="3913" spans="1:4" x14ac:dyDescent="0.25">
      <c r="A3913" t="s">
        <v>1972</v>
      </c>
      <c r="B3913" t="s">
        <v>1334</v>
      </c>
      <c r="C3913" t="s">
        <v>1530</v>
      </c>
      <c r="D3913">
        <v>36.200000000000003</v>
      </c>
    </row>
    <row r="3914" spans="1:4" x14ac:dyDescent="0.25">
      <c r="A3914" t="s">
        <v>1902</v>
      </c>
      <c r="B3914" t="s">
        <v>1335</v>
      </c>
      <c r="C3914" t="s">
        <v>1409</v>
      </c>
      <c r="D3914">
        <v>54.5</v>
      </c>
    </row>
    <row r="3915" spans="1:4" x14ac:dyDescent="0.25">
      <c r="A3915" t="s">
        <v>1902</v>
      </c>
      <c r="B3915" t="s">
        <v>1330</v>
      </c>
      <c r="C3915" t="s">
        <v>1409</v>
      </c>
      <c r="D3915">
        <v>5.7</v>
      </c>
    </row>
    <row r="3916" spans="1:4" x14ac:dyDescent="0.25">
      <c r="A3916" t="s">
        <v>1939</v>
      </c>
      <c r="B3916" t="s">
        <v>1331</v>
      </c>
      <c r="C3916" t="s">
        <v>1409</v>
      </c>
      <c r="D3916">
        <v>339.2</v>
      </c>
    </row>
    <row r="3917" spans="1:4" x14ac:dyDescent="0.25">
      <c r="A3917" t="s">
        <v>1931</v>
      </c>
      <c r="B3917" t="s">
        <v>1335</v>
      </c>
      <c r="C3917" t="s">
        <v>1409</v>
      </c>
      <c r="D3917">
        <v>138.6</v>
      </c>
    </row>
    <row r="3918" spans="1:4" x14ac:dyDescent="0.25">
      <c r="A3918" t="s">
        <v>1921</v>
      </c>
      <c r="B3918" t="s">
        <v>1330</v>
      </c>
      <c r="C3918" t="s">
        <v>1409</v>
      </c>
      <c r="D3918">
        <v>3</v>
      </c>
    </row>
    <row r="3919" spans="1:4" x14ac:dyDescent="0.25">
      <c r="A3919" t="s">
        <v>1939</v>
      </c>
      <c r="B3919" t="s">
        <v>1334</v>
      </c>
      <c r="C3919" t="s">
        <v>1409</v>
      </c>
      <c r="D3919">
        <v>13.4</v>
      </c>
    </row>
    <row r="3920" spans="1:4" x14ac:dyDescent="0.25">
      <c r="A3920" t="s">
        <v>1931</v>
      </c>
      <c r="B3920" t="s">
        <v>1330</v>
      </c>
      <c r="C3920" t="s">
        <v>1409</v>
      </c>
      <c r="D3920">
        <v>7.7</v>
      </c>
    </row>
    <row r="3921" spans="1:4" x14ac:dyDescent="0.25">
      <c r="A3921" t="s">
        <v>1902</v>
      </c>
      <c r="B3921" t="s">
        <v>1331</v>
      </c>
      <c r="C3921" t="s">
        <v>1409</v>
      </c>
      <c r="D3921">
        <v>3.85</v>
      </c>
    </row>
    <row r="3922" spans="1:4" x14ac:dyDescent="0.25">
      <c r="A3922" t="s">
        <v>1959</v>
      </c>
      <c r="B3922" t="s">
        <v>1330</v>
      </c>
      <c r="C3922" t="s">
        <v>1828</v>
      </c>
      <c r="D3922">
        <v>3</v>
      </c>
    </row>
    <row r="3923" spans="1:4" x14ac:dyDescent="0.25">
      <c r="A3923" t="s">
        <v>2016</v>
      </c>
      <c r="B3923" t="s">
        <v>1331</v>
      </c>
      <c r="C3923" t="s">
        <v>1828</v>
      </c>
      <c r="D3923">
        <v>0.75</v>
      </c>
    </row>
    <row r="3924" spans="1:4" x14ac:dyDescent="0.25">
      <c r="A3924" t="s">
        <v>1931</v>
      </c>
      <c r="B3924" t="s">
        <v>1335</v>
      </c>
      <c r="C3924" t="s">
        <v>1741</v>
      </c>
      <c r="D3924">
        <v>11.55</v>
      </c>
    </row>
    <row r="3925" spans="1:4" x14ac:dyDescent="0.25">
      <c r="A3925" t="s">
        <v>1987</v>
      </c>
      <c r="B3925" t="s">
        <v>1331</v>
      </c>
      <c r="C3925" t="s">
        <v>1819</v>
      </c>
      <c r="D3925">
        <v>4</v>
      </c>
    </row>
    <row r="3926" spans="1:4" x14ac:dyDescent="0.25">
      <c r="A3926" t="s">
        <v>2019</v>
      </c>
      <c r="B3926" t="s">
        <v>1334</v>
      </c>
      <c r="C3926" t="s">
        <v>1427</v>
      </c>
      <c r="D3926">
        <v>154.6</v>
      </c>
    </row>
    <row r="3927" spans="1:4" x14ac:dyDescent="0.25">
      <c r="A3927" t="s">
        <v>1972</v>
      </c>
      <c r="B3927" t="s">
        <v>1331</v>
      </c>
      <c r="C3927" t="s">
        <v>1427</v>
      </c>
      <c r="D3927">
        <v>11</v>
      </c>
    </row>
    <row r="3928" spans="1:4" x14ac:dyDescent="0.25">
      <c r="A3928" t="s">
        <v>2025</v>
      </c>
      <c r="B3928" t="s">
        <v>1334</v>
      </c>
      <c r="C3928" t="s">
        <v>1427</v>
      </c>
      <c r="D3928">
        <v>23.1</v>
      </c>
    </row>
    <row r="3929" spans="1:4" x14ac:dyDescent="0.25">
      <c r="A3929" t="s">
        <v>1972</v>
      </c>
      <c r="B3929" t="s">
        <v>1330</v>
      </c>
      <c r="C3929" t="s">
        <v>1427</v>
      </c>
      <c r="D3929">
        <v>6.4</v>
      </c>
    </row>
    <row r="3930" spans="1:4" x14ac:dyDescent="0.25">
      <c r="A3930" t="s">
        <v>2019</v>
      </c>
      <c r="B3930" t="s">
        <v>1331</v>
      </c>
      <c r="C3930" t="s">
        <v>1427</v>
      </c>
      <c r="D3930">
        <v>28.1</v>
      </c>
    </row>
    <row r="3931" spans="1:4" x14ac:dyDescent="0.25">
      <c r="A3931" t="s">
        <v>1972</v>
      </c>
      <c r="B3931" t="s">
        <v>1334</v>
      </c>
      <c r="C3931" t="s">
        <v>1427</v>
      </c>
      <c r="D3931">
        <v>165.6</v>
      </c>
    </row>
    <row r="3932" spans="1:4" x14ac:dyDescent="0.25">
      <c r="A3932" t="s">
        <v>1959</v>
      </c>
      <c r="B3932" t="s">
        <v>1330</v>
      </c>
      <c r="C3932" t="s">
        <v>1541</v>
      </c>
      <c r="D3932">
        <v>78.95</v>
      </c>
    </row>
    <row r="3933" spans="1:4" x14ac:dyDescent="0.25">
      <c r="A3933" t="s">
        <v>1959</v>
      </c>
      <c r="B3933" t="s">
        <v>1331</v>
      </c>
      <c r="C3933" t="s">
        <v>1541</v>
      </c>
      <c r="D3933">
        <v>6.7</v>
      </c>
    </row>
    <row r="3934" spans="1:4" x14ac:dyDescent="0.25">
      <c r="A3934" t="s">
        <v>1945</v>
      </c>
      <c r="B3934" t="s">
        <v>1331</v>
      </c>
      <c r="C3934" t="s">
        <v>1541</v>
      </c>
      <c r="D3934">
        <v>3.85</v>
      </c>
    </row>
    <row r="3935" spans="1:4" x14ac:dyDescent="0.25">
      <c r="A3935" t="s">
        <v>2029</v>
      </c>
      <c r="B3935" t="s">
        <v>1334</v>
      </c>
      <c r="C3935" t="s">
        <v>1603</v>
      </c>
      <c r="D3935">
        <v>19.25</v>
      </c>
    </row>
    <row r="3936" spans="1:4" x14ac:dyDescent="0.25">
      <c r="A3936" t="s">
        <v>1972</v>
      </c>
      <c r="B3936" t="s">
        <v>1334</v>
      </c>
      <c r="C3936" t="s">
        <v>1603</v>
      </c>
      <c r="D3936">
        <v>28.4</v>
      </c>
    </row>
    <row r="3937" spans="1:4" x14ac:dyDescent="0.25">
      <c r="A3937" t="s">
        <v>1920</v>
      </c>
      <c r="B3937" t="s">
        <v>1331</v>
      </c>
      <c r="C3937" t="s">
        <v>1806</v>
      </c>
      <c r="D3937">
        <v>5.5</v>
      </c>
    </row>
    <row r="3938" spans="1:4" x14ac:dyDescent="0.25">
      <c r="A3938" t="s">
        <v>1949</v>
      </c>
      <c r="B3938" t="s">
        <v>1331</v>
      </c>
      <c r="C3938" t="s">
        <v>1798</v>
      </c>
      <c r="D3938">
        <v>6</v>
      </c>
    </row>
    <row r="3939" spans="1:4" x14ac:dyDescent="0.25">
      <c r="A3939" t="s">
        <v>1959</v>
      </c>
      <c r="B3939" t="s">
        <v>1330</v>
      </c>
      <c r="C3939" t="s">
        <v>1735</v>
      </c>
      <c r="D3939">
        <v>12.7</v>
      </c>
    </row>
    <row r="3940" spans="1:4" x14ac:dyDescent="0.25">
      <c r="A3940" t="s">
        <v>1933</v>
      </c>
      <c r="B3940" t="s">
        <v>1330</v>
      </c>
      <c r="C3940" t="s">
        <v>1484</v>
      </c>
      <c r="D3940">
        <v>1</v>
      </c>
    </row>
    <row r="3941" spans="1:4" x14ac:dyDescent="0.25">
      <c r="A3941" t="s">
        <v>1959</v>
      </c>
      <c r="B3941" t="s">
        <v>1330</v>
      </c>
      <c r="C3941" t="s">
        <v>1484</v>
      </c>
      <c r="D3941">
        <v>102.3</v>
      </c>
    </row>
    <row r="3942" spans="1:4" x14ac:dyDescent="0.25">
      <c r="A3942" t="s">
        <v>1931</v>
      </c>
      <c r="B3942" t="s">
        <v>1335</v>
      </c>
      <c r="C3942" t="s">
        <v>1484</v>
      </c>
      <c r="D3942">
        <v>11.55</v>
      </c>
    </row>
    <row r="3943" spans="1:4" x14ac:dyDescent="0.25">
      <c r="A3943" t="s">
        <v>1900</v>
      </c>
      <c r="B3943" t="s">
        <v>1330</v>
      </c>
      <c r="C3943" t="s">
        <v>1484</v>
      </c>
      <c r="D3943">
        <v>5.55</v>
      </c>
    </row>
    <row r="3944" spans="1:4" x14ac:dyDescent="0.25">
      <c r="A3944" t="s">
        <v>1902</v>
      </c>
      <c r="B3944" t="s">
        <v>1335</v>
      </c>
      <c r="C3944" t="s">
        <v>1484</v>
      </c>
      <c r="D3944">
        <v>5.85</v>
      </c>
    </row>
    <row r="3945" spans="1:4" x14ac:dyDescent="0.25">
      <c r="A3945" t="s">
        <v>1900</v>
      </c>
      <c r="B3945" t="s">
        <v>1335</v>
      </c>
      <c r="C3945" t="s">
        <v>1484</v>
      </c>
      <c r="D3945">
        <v>27.45</v>
      </c>
    </row>
    <row r="3946" spans="1:4" x14ac:dyDescent="0.25">
      <c r="A3946" t="s">
        <v>2072</v>
      </c>
      <c r="B3946" t="s">
        <v>1331</v>
      </c>
      <c r="C3946" t="s">
        <v>1484</v>
      </c>
      <c r="D3946">
        <v>7.7</v>
      </c>
    </row>
    <row r="3947" spans="1:4" x14ac:dyDescent="0.25">
      <c r="A3947" t="s">
        <v>1913</v>
      </c>
      <c r="B3947" t="s">
        <v>1335</v>
      </c>
      <c r="C3947" t="s">
        <v>1484</v>
      </c>
      <c r="D3947">
        <v>5.7</v>
      </c>
    </row>
    <row r="3948" spans="1:4" x14ac:dyDescent="0.25">
      <c r="A3948" t="s">
        <v>1959</v>
      </c>
      <c r="B3948" t="s">
        <v>1330</v>
      </c>
      <c r="C3948" t="s">
        <v>1636</v>
      </c>
      <c r="D3948">
        <v>23.4</v>
      </c>
    </row>
    <row r="3949" spans="1:4" x14ac:dyDescent="0.25">
      <c r="A3949" t="s">
        <v>1902</v>
      </c>
      <c r="B3949" t="s">
        <v>1335</v>
      </c>
      <c r="C3949" t="s">
        <v>1636</v>
      </c>
      <c r="D3949">
        <v>9.6999999999999993</v>
      </c>
    </row>
    <row r="3950" spans="1:4" x14ac:dyDescent="0.25">
      <c r="A3950" t="s">
        <v>1959</v>
      </c>
      <c r="B3950" t="s">
        <v>1330</v>
      </c>
      <c r="C3950" t="s">
        <v>1468</v>
      </c>
      <c r="D3950">
        <v>42.85</v>
      </c>
    </row>
    <row r="3951" spans="1:4" x14ac:dyDescent="0.25">
      <c r="A3951" t="s">
        <v>1987</v>
      </c>
      <c r="B3951" t="s">
        <v>1331</v>
      </c>
      <c r="C3951" t="s">
        <v>1468</v>
      </c>
      <c r="D3951">
        <v>120.9</v>
      </c>
    </row>
    <row r="3952" spans="1:4" x14ac:dyDescent="0.25">
      <c r="A3952" t="s">
        <v>1900</v>
      </c>
      <c r="B3952" t="s">
        <v>1334</v>
      </c>
      <c r="C3952" t="s">
        <v>1468</v>
      </c>
      <c r="D3952">
        <v>2.5</v>
      </c>
    </row>
    <row r="3953" spans="1:4" x14ac:dyDescent="0.25">
      <c r="A3953" t="s">
        <v>1913</v>
      </c>
      <c r="B3953" t="s">
        <v>1335</v>
      </c>
      <c r="C3953" t="s">
        <v>1468</v>
      </c>
      <c r="D3953">
        <v>30.8</v>
      </c>
    </row>
    <row r="3954" spans="1:4" x14ac:dyDescent="0.25">
      <c r="A3954" t="s">
        <v>1902</v>
      </c>
      <c r="B3954" t="s">
        <v>1335</v>
      </c>
      <c r="C3954" t="s">
        <v>1468</v>
      </c>
      <c r="D3954">
        <v>12.4</v>
      </c>
    </row>
    <row r="3955" spans="1:4" x14ac:dyDescent="0.25">
      <c r="A3955" t="s">
        <v>1959</v>
      </c>
      <c r="B3955" t="s">
        <v>1330</v>
      </c>
      <c r="C3955" t="s">
        <v>1759</v>
      </c>
      <c r="D3955">
        <v>9.6999999999999993</v>
      </c>
    </row>
    <row r="3956" spans="1:4" x14ac:dyDescent="0.25">
      <c r="A3956" t="s">
        <v>1939</v>
      </c>
      <c r="B3956" t="s">
        <v>1331</v>
      </c>
      <c r="C3956" t="s">
        <v>1737</v>
      </c>
      <c r="D3956">
        <v>12.4</v>
      </c>
    </row>
    <row r="3957" spans="1:4" x14ac:dyDescent="0.25">
      <c r="A3957" t="s">
        <v>1959</v>
      </c>
      <c r="B3957" t="s">
        <v>1330</v>
      </c>
      <c r="C3957" t="s">
        <v>1457</v>
      </c>
      <c r="D3957">
        <v>158.4</v>
      </c>
    </row>
    <row r="3958" spans="1:4" x14ac:dyDescent="0.25">
      <c r="A3958" t="s">
        <v>1987</v>
      </c>
      <c r="B3958" t="s">
        <v>1331</v>
      </c>
      <c r="C3958" t="s">
        <v>1457</v>
      </c>
      <c r="D3958">
        <v>72.900000000000006</v>
      </c>
    </row>
    <row r="3959" spans="1:4" x14ac:dyDescent="0.25">
      <c r="A3959" t="s">
        <v>1959</v>
      </c>
      <c r="B3959" t="s">
        <v>1331</v>
      </c>
      <c r="C3959" t="s">
        <v>1457</v>
      </c>
      <c r="D3959">
        <v>6.7</v>
      </c>
    </row>
    <row r="3960" spans="1:4" x14ac:dyDescent="0.25">
      <c r="A3960" t="s">
        <v>1945</v>
      </c>
      <c r="B3960" t="s">
        <v>1331</v>
      </c>
      <c r="C3960" t="s">
        <v>1457</v>
      </c>
      <c r="D3960">
        <v>3</v>
      </c>
    </row>
    <row r="3961" spans="1:4" x14ac:dyDescent="0.25">
      <c r="A3961" t="s">
        <v>1961</v>
      </c>
      <c r="B3961" t="s">
        <v>1331</v>
      </c>
      <c r="C3961" t="s">
        <v>1722</v>
      </c>
      <c r="D3961">
        <v>14.2</v>
      </c>
    </row>
    <row r="3962" spans="1:4" x14ac:dyDescent="0.25">
      <c r="A3962" t="s">
        <v>1959</v>
      </c>
      <c r="B3962" t="s">
        <v>1330</v>
      </c>
      <c r="C3962" t="s">
        <v>1669</v>
      </c>
      <c r="D3962">
        <v>26</v>
      </c>
    </row>
    <row r="3963" spans="1:4" x14ac:dyDescent="0.25">
      <c r="A3963" t="s">
        <v>2020</v>
      </c>
      <c r="B3963" t="s">
        <v>1334</v>
      </c>
      <c r="C3963" t="s">
        <v>1791</v>
      </c>
      <c r="D3963">
        <v>6.7</v>
      </c>
    </row>
    <row r="3964" spans="1:4" x14ac:dyDescent="0.25">
      <c r="A3964" t="s">
        <v>1966</v>
      </c>
      <c r="B3964" t="s">
        <v>1331</v>
      </c>
      <c r="C3964" t="s">
        <v>1539</v>
      </c>
      <c r="D3964">
        <v>0</v>
      </c>
    </row>
    <row r="3965" spans="1:4" x14ac:dyDescent="0.25">
      <c r="A3965" t="s">
        <v>1927</v>
      </c>
      <c r="B3965" t="s">
        <v>1331</v>
      </c>
      <c r="C3965" t="s">
        <v>1539</v>
      </c>
      <c r="D3965">
        <v>0</v>
      </c>
    </row>
    <row r="3966" spans="1:4" x14ac:dyDescent="0.25">
      <c r="A3966" t="s">
        <v>1945</v>
      </c>
      <c r="B3966" t="s">
        <v>1331</v>
      </c>
      <c r="C3966" t="s">
        <v>1539</v>
      </c>
      <c r="D3966">
        <v>30.1</v>
      </c>
    </row>
    <row r="3967" spans="1:4" x14ac:dyDescent="0.25">
      <c r="A3967" t="s">
        <v>1959</v>
      </c>
      <c r="B3967" t="s">
        <v>1330</v>
      </c>
      <c r="C3967" t="s">
        <v>1539</v>
      </c>
      <c r="D3967">
        <v>59.35</v>
      </c>
    </row>
    <row r="3968" spans="1:4" x14ac:dyDescent="0.25">
      <c r="A3968" t="s">
        <v>1971</v>
      </c>
      <c r="B3968" t="s">
        <v>1330</v>
      </c>
      <c r="C3968" t="s">
        <v>1539</v>
      </c>
      <c r="D3968">
        <v>0</v>
      </c>
    </row>
    <row r="3969" spans="1:4" x14ac:dyDescent="0.25">
      <c r="A3969" t="s">
        <v>1995</v>
      </c>
      <c r="B3969" t="s">
        <v>1330</v>
      </c>
      <c r="C3969" t="s">
        <v>1539</v>
      </c>
      <c r="D3969">
        <v>1.5</v>
      </c>
    </row>
    <row r="3970" spans="1:4" x14ac:dyDescent="0.25">
      <c r="A3970" t="s">
        <v>1949</v>
      </c>
      <c r="B3970" t="s">
        <v>1331</v>
      </c>
      <c r="C3970" t="s">
        <v>1522</v>
      </c>
      <c r="D3970">
        <v>14</v>
      </c>
    </row>
    <row r="3971" spans="1:4" x14ac:dyDescent="0.25">
      <c r="A3971" t="s">
        <v>1939</v>
      </c>
      <c r="B3971" t="s">
        <v>1331</v>
      </c>
      <c r="C3971" t="s">
        <v>1522</v>
      </c>
      <c r="D3971">
        <v>40.1</v>
      </c>
    </row>
    <row r="3972" spans="1:4" x14ac:dyDescent="0.25">
      <c r="A3972" t="s">
        <v>1931</v>
      </c>
      <c r="B3972" t="s">
        <v>1335</v>
      </c>
      <c r="C3972" t="s">
        <v>1522</v>
      </c>
      <c r="D3972">
        <v>57.75</v>
      </c>
    </row>
    <row r="3973" spans="1:4" x14ac:dyDescent="0.25">
      <c r="A3973" t="s">
        <v>1959</v>
      </c>
      <c r="B3973" t="s">
        <v>1330</v>
      </c>
      <c r="C3973" t="s">
        <v>1545</v>
      </c>
      <c r="D3973">
        <v>16.399999999999999</v>
      </c>
    </row>
    <row r="3974" spans="1:4" x14ac:dyDescent="0.25">
      <c r="A3974" t="s">
        <v>1956</v>
      </c>
      <c r="B3974" t="s">
        <v>1335</v>
      </c>
      <c r="C3974" t="s">
        <v>1545</v>
      </c>
      <c r="D3974">
        <v>59.7</v>
      </c>
    </row>
    <row r="3975" spans="1:4" x14ac:dyDescent="0.25">
      <c r="A3975" t="s">
        <v>1956</v>
      </c>
      <c r="B3975" t="s">
        <v>1331</v>
      </c>
      <c r="C3975" t="s">
        <v>1545</v>
      </c>
      <c r="D3975">
        <v>9.25</v>
      </c>
    </row>
    <row r="3976" spans="1:4" x14ac:dyDescent="0.25">
      <c r="A3976" t="s">
        <v>2074</v>
      </c>
      <c r="B3976" t="s">
        <v>1334</v>
      </c>
      <c r="C3976" t="s">
        <v>1557</v>
      </c>
      <c r="D3976">
        <v>8.6999999999999993</v>
      </c>
    </row>
    <row r="3977" spans="1:4" x14ac:dyDescent="0.25">
      <c r="A3977" t="s">
        <v>2030</v>
      </c>
      <c r="B3977" t="s">
        <v>1334</v>
      </c>
      <c r="C3977" t="s">
        <v>1557</v>
      </c>
      <c r="D3977">
        <v>69.3</v>
      </c>
    </row>
    <row r="3978" spans="1:4" x14ac:dyDescent="0.25">
      <c r="A3978" t="s">
        <v>1931</v>
      </c>
      <c r="B3978" t="s">
        <v>1335</v>
      </c>
      <c r="C3978" t="s">
        <v>1742</v>
      </c>
      <c r="D3978">
        <v>11.55</v>
      </c>
    </row>
    <row r="3979" spans="1:4" x14ac:dyDescent="0.25">
      <c r="A3979" t="s">
        <v>1972</v>
      </c>
      <c r="B3979" t="s">
        <v>1334</v>
      </c>
      <c r="C3979" t="s">
        <v>1479</v>
      </c>
      <c r="D3979">
        <v>59.2</v>
      </c>
    </row>
    <row r="3980" spans="1:4" x14ac:dyDescent="0.25">
      <c r="A3980" t="s">
        <v>2019</v>
      </c>
      <c r="B3980" t="s">
        <v>1334</v>
      </c>
      <c r="C3980" t="s">
        <v>1479</v>
      </c>
      <c r="D3980">
        <v>119.6</v>
      </c>
    </row>
    <row r="3981" spans="1:4" x14ac:dyDescent="0.25">
      <c r="A3981" t="s">
        <v>1972</v>
      </c>
      <c r="B3981" t="s">
        <v>1334</v>
      </c>
      <c r="C3981" t="s">
        <v>1434</v>
      </c>
      <c r="D3981">
        <v>45.5</v>
      </c>
    </row>
    <row r="3982" spans="1:4" x14ac:dyDescent="0.25">
      <c r="A3982" t="s">
        <v>2026</v>
      </c>
      <c r="B3982" t="s">
        <v>1334</v>
      </c>
      <c r="C3982" t="s">
        <v>1434</v>
      </c>
      <c r="D3982">
        <v>25.1</v>
      </c>
    </row>
    <row r="3983" spans="1:4" x14ac:dyDescent="0.25">
      <c r="A3983" t="s">
        <v>2019</v>
      </c>
      <c r="B3983" t="s">
        <v>1334</v>
      </c>
      <c r="C3983" t="s">
        <v>1434</v>
      </c>
      <c r="D3983">
        <v>279.14999999999998</v>
      </c>
    </row>
    <row r="3984" spans="1:4" x14ac:dyDescent="0.25">
      <c r="A3984" t="s">
        <v>1935</v>
      </c>
      <c r="B3984" t="s">
        <v>1331</v>
      </c>
      <c r="C3984" t="s">
        <v>1833</v>
      </c>
      <c r="D3984">
        <v>3</v>
      </c>
    </row>
    <row r="3985" spans="1:4" x14ac:dyDescent="0.25">
      <c r="A3985" t="s">
        <v>1907</v>
      </c>
      <c r="B3985" t="s">
        <v>1335</v>
      </c>
      <c r="C3985" t="s">
        <v>1567</v>
      </c>
      <c r="D3985">
        <v>11</v>
      </c>
    </row>
    <row r="3986" spans="1:4" x14ac:dyDescent="0.25">
      <c r="A3986" t="s">
        <v>2045</v>
      </c>
      <c r="B3986" t="s">
        <v>1335</v>
      </c>
      <c r="C3986" t="s">
        <v>1567</v>
      </c>
      <c r="D3986">
        <v>61.6</v>
      </c>
    </row>
    <row r="3987" spans="1:4" x14ac:dyDescent="0.25">
      <c r="A3987" t="s">
        <v>2016</v>
      </c>
      <c r="B3987" t="s">
        <v>1331</v>
      </c>
      <c r="C3987" t="s">
        <v>1644</v>
      </c>
      <c r="D3987">
        <v>30.49</v>
      </c>
    </row>
    <row r="3988" spans="1:4" x14ac:dyDescent="0.25">
      <c r="A3988" t="s">
        <v>2025</v>
      </c>
      <c r="B3988" t="s">
        <v>1334</v>
      </c>
      <c r="C3988" t="s">
        <v>1641</v>
      </c>
      <c r="D3988">
        <v>7.7</v>
      </c>
    </row>
    <row r="3989" spans="1:4" x14ac:dyDescent="0.25">
      <c r="A3989" t="s">
        <v>2023</v>
      </c>
      <c r="B3989" t="s">
        <v>1331</v>
      </c>
      <c r="C3989" t="s">
        <v>1641</v>
      </c>
      <c r="D3989">
        <v>23.1</v>
      </c>
    </row>
    <row r="3990" spans="1:4" x14ac:dyDescent="0.25">
      <c r="A3990" t="s">
        <v>1959</v>
      </c>
      <c r="B3990" t="s">
        <v>1330</v>
      </c>
      <c r="C3990" t="s">
        <v>1732</v>
      </c>
      <c r="D3990">
        <v>13</v>
      </c>
    </row>
    <row r="3991" spans="1:4" x14ac:dyDescent="0.25">
      <c r="A3991" t="s">
        <v>1959</v>
      </c>
      <c r="B3991" t="s">
        <v>1330</v>
      </c>
      <c r="C3991" t="s">
        <v>1820</v>
      </c>
      <c r="D3991">
        <v>4</v>
      </c>
    </row>
    <row r="3992" spans="1:4" x14ac:dyDescent="0.25">
      <c r="A3992" t="s">
        <v>1929</v>
      </c>
      <c r="B3992" t="s">
        <v>1331</v>
      </c>
      <c r="C3992" t="s">
        <v>1572</v>
      </c>
      <c r="D3992">
        <v>5</v>
      </c>
    </row>
    <row r="3993" spans="1:4" x14ac:dyDescent="0.25">
      <c r="A3993" t="s">
        <v>1959</v>
      </c>
      <c r="B3993" t="s">
        <v>1330</v>
      </c>
      <c r="C3993" t="s">
        <v>1572</v>
      </c>
      <c r="D3993">
        <v>27.5</v>
      </c>
    </row>
    <row r="3994" spans="1:4" x14ac:dyDescent="0.25">
      <c r="A3994" t="s">
        <v>1945</v>
      </c>
      <c r="B3994" t="s">
        <v>1331</v>
      </c>
      <c r="C3994" t="s">
        <v>1572</v>
      </c>
      <c r="D3994">
        <v>6.9</v>
      </c>
    </row>
    <row r="3995" spans="1:4" x14ac:dyDescent="0.25">
      <c r="A3995" t="s">
        <v>1900</v>
      </c>
      <c r="B3995" t="s">
        <v>1330</v>
      </c>
      <c r="C3995" t="s">
        <v>1572</v>
      </c>
      <c r="D3995">
        <v>2</v>
      </c>
    </row>
    <row r="3996" spans="1:4" x14ac:dyDescent="0.25">
      <c r="A3996" t="s">
        <v>1907</v>
      </c>
      <c r="B3996" t="s">
        <v>1335</v>
      </c>
      <c r="C3996" t="s">
        <v>1572</v>
      </c>
      <c r="D3996">
        <v>3</v>
      </c>
    </row>
    <row r="3997" spans="1:4" x14ac:dyDescent="0.25">
      <c r="A3997" t="s">
        <v>1913</v>
      </c>
      <c r="B3997" t="s">
        <v>1335</v>
      </c>
      <c r="C3997" t="s">
        <v>1572</v>
      </c>
      <c r="D3997">
        <v>24.45</v>
      </c>
    </row>
    <row r="3998" spans="1:4" x14ac:dyDescent="0.25">
      <c r="A3998" t="s">
        <v>1945</v>
      </c>
      <c r="B3998" t="s">
        <v>1331</v>
      </c>
      <c r="C3998" t="s">
        <v>1762</v>
      </c>
      <c r="D3998">
        <v>9.3000000000000007</v>
      </c>
    </row>
    <row r="3999" spans="1:4" x14ac:dyDescent="0.25">
      <c r="A3999" t="s">
        <v>2020</v>
      </c>
      <c r="B3999" t="s">
        <v>1334</v>
      </c>
      <c r="C3999" t="s">
        <v>1620</v>
      </c>
      <c r="D3999">
        <v>38.5</v>
      </c>
    </row>
    <row r="4000" spans="1:4" x14ac:dyDescent="0.25">
      <c r="A4000" t="s">
        <v>1929</v>
      </c>
      <c r="B4000" t="s">
        <v>1331</v>
      </c>
      <c r="C4000" t="s">
        <v>1834</v>
      </c>
      <c r="D4000">
        <v>3</v>
      </c>
    </row>
    <row r="4001" spans="1:4" x14ac:dyDescent="0.25">
      <c r="A4001" t="s">
        <v>1959</v>
      </c>
      <c r="B4001" t="s">
        <v>1330</v>
      </c>
      <c r="C4001" t="s">
        <v>1787</v>
      </c>
      <c r="D4001">
        <v>4</v>
      </c>
    </row>
    <row r="4002" spans="1:4" x14ac:dyDescent="0.25">
      <c r="A4002" t="s">
        <v>2016</v>
      </c>
      <c r="B4002" t="s">
        <v>1331</v>
      </c>
      <c r="C4002" t="s">
        <v>1787</v>
      </c>
      <c r="D4002">
        <v>3</v>
      </c>
    </row>
    <row r="4003" spans="1:4" x14ac:dyDescent="0.25">
      <c r="A4003" t="s">
        <v>1959</v>
      </c>
      <c r="B4003" t="s">
        <v>1330</v>
      </c>
      <c r="C4003" t="s">
        <v>1713</v>
      </c>
      <c r="D4003">
        <v>16</v>
      </c>
    </row>
    <row r="4004" spans="1:4" x14ac:dyDescent="0.25">
      <c r="A4004" t="s">
        <v>1945</v>
      </c>
      <c r="B4004" t="s">
        <v>1331</v>
      </c>
      <c r="C4004" t="s">
        <v>1775</v>
      </c>
      <c r="D4004">
        <v>8</v>
      </c>
    </row>
    <row r="4005" spans="1:4" x14ac:dyDescent="0.25">
      <c r="A4005" t="s">
        <v>2022</v>
      </c>
      <c r="B4005" t="s">
        <v>1334</v>
      </c>
      <c r="C4005" t="s">
        <v>1421</v>
      </c>
      <c r="D4005">
        <v>30.8</v>
      </c>
    </row>
    <row r="4006" spans="1:4" x14ac:dyDescent="0.25">
      <c r="A4006" t="s">
        <v>2029</v>
      </c>
      <c r="B4006" t="s">
        <v>1334</v>
      </c>
      <c r="C4006" t="s">
        <v>1421</v>
      </c>
      <c r="D4006">
        <v>269.3</v>
      </c>
    </row>
    <row r="4007" spans="1:4" x14ac:dyDescent="0.25">
      <c r="A4007" t="s">
        <v>1965</v>
      </c>
      <c r="B4007" t="s">
        <v>1331</v>
      </c>
      <c r="C4007" t="s">
        <v>1421</v>
      </c>
      <c r="D4007">
        <v>1</v>
      </c>
    </row>
    <row r="4008" spans="1:4" x14ac:dyDescent="0.25">
      <c r="A4008" t="s">
        <v>1968</v>
      </c>
      <c r="B4008" t="s">
        <v>1334</v>
      </c>
      <c r="C4008" t="s">
        <v>1421</v>
      </c>
      <c r="D4008">
        <v>10</v>
      </c>
    </row>
    <row r="4009" spans="1:4" x14ac:dyDescent="0.25">
      <c r="A4009" t="s">
        <v>1950</v>
      </c>
      <c r="B4009" t="s">
        <v>1334</v>
      </c>
      <c r="C4009" t="s">
        <v>1421</v>
      </c>
      <c r="D4009">
        <v>43.2</v>
      </c>
    </row>
    <row r="4010" spans="1:4" x14ac:dyDescent="0.25">
      <c r="A4010" t="s">
        <v>2026</v>
      </c>
      <c r="B4010" t="s">
        <v>1334</v>
      </c>
      <c r="C4010" t="s">
        <v>1421</v>
      </c>
      <c r="D4010">
        <v>103.2</v>
      </c>
    </row>
    <row r="4011" spans="1:4" x14ac:dyDescent="0.25">
      <c r="A4011" t="s">
        <v>1959</v>
      </c>
      <c r="B4011" t="s">
        <v>1330</v>
      </c>
      <c r="C4011" t="s">
        <v>1682</v>
      </c>
      <c r="D4011">
        <v>23</v>
      </c>
    </row>
    <row r="4012" spans="1:4" x14ac:dyDescent="0.25">
      <c r="A4012" t="s">
        <v>1920</v>
      </c>
      <c r="B4012" t="s">
        <v>1331</v>
      </c>
      <c r="C4012" t="s">
        <v>1846</v>
      </c>
      <c r="D4012">
        <v>2</v>
      </c>
    </row>
    <row r="4013" spans="1:4" x14ac:dyDescent="0.25">
      <c r="A4013" t="s">
        <v>1945</v>
      </c>
      <c r="B4013" t="s">
        <v>1331</v>
      </c>
      <c r="C4013" t="s">
        <v>1549</v>
      </c>
      <c r="D4013">
        <v>84.35</v>
      </c>
    </row>
    <row r="4014" spans="1:4" x14ac:dyDescent="0.25">
      <c r="A4014" t="s">
        <v>1959</v>
      </c>
      <c r="B4014" t="s">
        <v>1330</v>
      </c>
      <c r="C4014" t="s">
        <v>1821</v>
      </c>
      <c r="D4014">
        <v>2</v>
      </c>
    </row>
    <row r="4015" spans="1:4" x14ac:dyDescent="0.25">
      <c r="A4015" t="s">
        <v>1959</v>
      </c>
      <c r="B4015" t="s">
        <v>1331</v>
      </c>
      <c r="C4015" t="s">
        <v>1821</v>
      </c>
      <c r="D4015">
        <v>2</v>
      </c>
    </row>
    <row r="4016" spans="1:4" x14ac:dyDescent="0.25">
      <c r="A4016" t="s">
        <v>1959</v>
      </c>
      <c r="B4016" t="s">
        <v>1330</v>
      </c>
      <c r="C4016" t="s">
        <v>1777</v>
      </c>
      <c r="D4016">
        <v>7.7</v>
      </c>
    </row>
    <row r="4017" spans="1:4" x14ac:dyDescent="0.25">
      <c r="A4017" t="s">
        <v>1945</v>
      </c>
      <c r="B4017" t="s">
        <v>1331</v>
      </c>
      <c r="C4017" t="s">
        <v>1606</v>
      </c>
      <c r="D4017">
        <v>15.7</v>
      </c>
    </row>
    <row r="4018" spans="1:4" x14ac:dyDescent="0.25">
      <c r="A4018" t="s">
        <v>1959</v>
      </c>
      <c r="B4018" t="s">
        <v>1330</v>
      </c>
      <c r="C4018" t="s">
        <v>1606</v>
      </c>
      <c r="D4018">
        <v>30.7</v>
      </c>
    </row>
    <row r="4019" spans="1:4" x14ac:dyDescent="0.25">
      <c r="A4019" t="s">
        <v>1995</v>
      </c>
      <c r="B4019" t="s">
        <v>1330</v>
      </c>
      <c r="C4019" t="s">
        <v>1381</v>
      </c>
      <c r="D4019">
        <v>8.4</v>
      </c>
    </row>
    <row r="4020" spans="1:4" x14ac:dyDescent="0.25">
      <c r="A4020" t="s">
        <v>2022</v>
      </c>
      <c r="B4020" t="s">
        <v>1334</v>
      </c>
      <c r="C4020" t="s">
        <v>1381</v>
      </c>
      <c r="D4020">
        <v>7.7</v>
      </c>
    </row>
    <row r="4021" spans="1:4" x14ac:dyDescent="0.25">
      <c r="A4021" t="s">
        <v>1962</v>
      </c>
      <c r="B4021" t="s">
        <v>1331</v>
      </c>
      <c r="C4021" t="s">
        <v>1381</v>
      </c>
      <c r="D4021">
        <v>7.7</v>
      </c>
    </row>
    <row r="4022" spans="1:4" x14ac:dyDescent="0.25">
      <c r="A4022" t="s">
        <v>1959</v>
      </c>
      <c r="B4022" t="s">
        <v>1330</v>
      </c>
      <c r="C4022" t="s">
        <v>1381</v>
      </c>
      <c r="D4022">
        <v>21.85</v>
      </c>
    </row>
    <row r="4023" spans="1:4" x14ac:dyDescent="0.25">
      <c r="A4023" t="s">
        <v>2029</v>
      </c>
      <c r="B4023" t="s">
        <v>1334</v>
      </c>
      <c r="C4023" t="s">
        <v>1381</v>
      </c>
      <c r="D4023">
        <v>817.72</v>
      </c>
    </row>
    <row r="4024" spans="1:4" x14ac:dyDescent="0.25">
      <c r="A4024" t="s">
        <v>2026</v>
      </c>
      <c r="B4024" t="s">
        <v>1334</v>
      </c>
      <c r="C4024" t="s">
        <v>1381</v>
      </c>
      <c r="D4024">
        <v>39.9</v>
      </c>
    </row>
    <row r="4025" spans="1:4" x14ac:dyDescent="0.25">
      <c r="A4025" t="s">
        <v>2019</v>
      </c>
      <c r="B4025" t="s">
        <v>1334</v>
      </c>
      <c r="C4025" t="s">
        <v>1381</v>
      </c>
      <c r="D4025">
        <v>32.1</v>
      </c>
    </row>
    <row r="4026" spans="1:4" x14ac:dyDescent="0.25">
      <c r="A4026" t="s">
        <v>2024</v>
      </c>
      <c r="B4026" t="s">
        <v>1334</v>
      </c>
      <c r="C4026" t="s">
        <v>1381</v>
      </c>
      <c r="D4026">
        <v>18</v>
      </c>
    </row>
    <row r="4027" spans="1:4" x14ac:dyDescent="0.25">
      <c r="A4027" t="s">
        <v>2026</v>
      </c>
      <c r="B4027" t="s">
        <v>1334</v>
      </c>
      <c r="C4027" t="s">
        <v>1486</v>
      </c>
      <c r="D4027">
        <v>44.4</v>
      </c>
    </row>
    <row r="4028" spans="1:4" x14ac:dyDescent="0.25">
      <c r="A4028" t="s">
        <v>2019</v>
      </c>
      <c r="B4028" t="s">
        <v>1334</v>
      </c>
      <c r="C4028" t="s">
        <v>1486</v>
      </c>
      <c r="D4028">
        <v>70.2</v>
      </c>
    </row>
    <row r="4029" spans="1:4" x14ac:dyDescent="0.25">
      <c r="A4029" t="s">
        <v>1972</v>
      </c>
      <c r="B4029" t="s">
        <v>1334</v>
      </c>
      <c r="C4029" t="s">
        <v>1486</v>
      </c>
      <c r="D4029">
        <v>45.9</v>
      </c>
    </row>
    <row r="4030" spans="1:4" x14ac:dyDescent="0.25">
      <c r="A4030" t="s">
        <v>2020</v>
      </c>
      <c r="B4030" t="s">
        <v>1334</v>
      </c>
      <c r="C4030" t="s">
        <v>1597</v>
      </c>
      <c r="D4030">
        <v>9.6999999999999993</v>
      </c>
    </row>
    <row r="4031" spans="1:4" x14ac:dyDescent="0.25">
      <c r="A4031" t="s">
        <v>2026</v>
      </c>
      <c r="B4031" t="s">
        <v>1334</v>
      </c>
      <c r="C4031" t="s">
        <v>1597</v>
      </c>
      <c r="D4031">
        <v>28.1</v>
      </c>
    </row>
    <row r="4032" spans="1:4" x14ac:dyDescent="0.25">
      <c r="A4032" t="s">
        <v>2022</v>
      </c>
      <c r="B4032" t="s">
        <v>1334</v>
      </c>
      <c r="C4032" t="s">
        <v>1597</v>
      </c>
      <c r="D4032">
        <v>15.4</v>
      </c>
    </row>
    <row r="4033" spans="1:4" x14ac:dyDescent="0.25">
      <c r="A4033" t="s">
        <v>2021</v>
      </c>
      <c r="B4033" t="s">
        <v>1334</v>
      </c>
      <c r="C4033" t="s">
        <v>1373</v>
      </c>
      <c r="D4033">
        <v>1300.18</v>
      </c>
    </row>
    <row r="4034" spans="1:4" x14ac:dyDescent="0.25">
      <c r="A4034" t="s">
        <v>1968</v>
      </c>
      <c r="B4034" t="s">
        <v>1331</v>
      </c>
      <c r="C4034" t="s">
        <v>1373</v>
      </c>
      <c r="D4034">
        <v>9.6999999999999993</v>
      </c>
    </row>
    <row r="4035" spans="1:4" x14ac:dyDescent="0.25">
      <c r="A4035" t="s">
        <v>1900</v>
      </c>
      <c r="B4035" t="s">
        <v>1335</v>
      </c>
      <c r="C4035" t="s">
        <v>1373</v>
      </c>
      <c r="D4035">
        <v>9.5500000000000007</v>
      </c>
    </row>
    <row r="4036" spans="1:4" x14ac:dyDescent="0.25">
      <c r="A4036" t="s">
        <v>1976</v>
      </c>
      <c r="B4036" t="s">
        <v>1331</v>
      </c>
      <c r="C4036" t="s">
        <v>1373</v>
      </c>
      <c r="D4036">
        <v>7</v>
      </c>
    </row>
    <row r="4037" spans="1:4" x14ac:dyDescent="0.25">
      <c r="A4037" t="s">
        <v>1913</v>
      </c>
      <c r="B4037" t="s">
        <v>1335</v>
      </c>
      <c r="C4037" t="s">
        <v>1373</v>
      </c>
      <c r="D4037">
        <v>51.9</v>
      </c>
    </row>
    <row r="4038" spans="1:4" x14ac:dyDescent="0.25">
      <c r="A4038" t="s">
        <v>1918</v>
      </c>
      <c r="B4038" t="s">
        <v>1335</v>
      </c>
      <c r="C4038" t="s">
        <v>1373</v>
      </c>
      <c r="D4038">
        <v>7.7</v>
      </c>
    </row>
    <row r="4039" spans="1:4" x14ac:dyDescent="0.25">
      <c r="A4039" t="s">
        <v>1990</v>
      </c>
      <c r="B4039" t="s">
        <v>1334</v>
      </c>
      <c r="C4039" t="s">
        <v>1373</v>
      </c>
      <c r="D4039">
        <v>77</v>
      </c>
    </row>
    <row r="4040" spans="1:4" x14ac:dyDescent="0.25">
      <c r="A4040" t="s">
        <v>2022</v>
      </c>
      <c r="B4040" t="s">
        <v>1334</v>
      </c>
      <c r="C4040" t="s">
        <v>1373</v>
      </c>
      <c r="D4040">
        <v>25.8</v>
      </c>
    </row>
    <row r="4041" spans="1:4" x14ac:dyDescent="0.25">
      <c r="A4041" t="s">
        <v>1902</v>
      </c>
      <c r="B4041" t="s">
        <v>1335</v>
      </c>
      <c r="C4041" t="s">
        <v>1373</v>
      </c>
      <c r="D4041">
        <v>5.7</v>
      </c>
    </row>
    <row r="4042" spans="1:4" x14ac:dyDescent="0.25">
      <c r="A4042" t="s">
        <v>1920</v>
      </c>
      <c r="B4042" t="s">
        <v>1334</v>
      </c>
      <c r="C4042" t="s">
        <v>1373</v>
      </c>
      <c r="D4042">
        <v>51</v>
      </c>
    </row>
    <row r="4043" spans="1:4" x14ac:dyDescent="0.25">
      <c r="A4043" t="s">
        <v>1959</v>
      </c>
      <c r="B4043" t="s">
        <v>1330</v>
      </c>
      <c r="C4043" t="s">
        <v>1670</v>
      </c>
      <c r="D4043">
        <v>26</v>
      </c>
    </row>
    <row r="4044" spans="1:4" x14ac:dyDescent="0.25">
      <c r="A4044" t="s">
        <v>1913</v>
      </c>
      <c r="B4044" t="s">
        <v>1335</v>
      </c>
      <c r="C4044" t="s">
        <v>1705</v>
      </c>
      <c r="D4044">
        <v>18.399999999999999</v>
      </c>
    </row>
    <row r="4045" spans="1:4" x14ac:dyDescent="0.25">
      <c r="A4045" t="s">
        <v>1987</v>
      </c>
      <c r="B4045" t="s">
        <v>1331</v>
      </c>
      <c r="C4045" t="s">
        <v>1516</v>
      </c>
      <c r="D4045">
        <v>25.7</v>
      </c>
    </row>
    <row r="4046" spans="1:4" x14ac:dyDescent="0.25">
      <c r="A4046" t="s">
        <v>1959</v>
      </c>
      <c r="B4046" t="s">
        <v>1330</v>
      </c>
      <c r="C4046" t="s">
        <v>1516</v>
      </c>
      <c r="D4046">
        <v>83.25</v>
      </c>
    </row>
    <row r="4047" spans="1:4" x14ac:dyDescent="0.25">
      <c r="A4047" t="s">
        <v>1902</v>
      </c>
      <c r="B4047" t="s">
        <v>1335</v>
      </c>
      <c r="C4047" t="s">
        <v>1516</v>
      </c>
      <c r="D4047">
        <v>7.7</v>
      </c>
    </row>
    <row r="4048" spans="1:4" x14ac:dyDescent="0.25">
      <c r="A4048" t="s">
        <v>1987</v>
      </c>
      <c r="B4048" t="s">
        <v>1331</v>
      </c>
      <c r="C4048" t="s">
        <v>1615</v>
      </c>
      <c r="D4048">
        <v>32.020000000000003</v>
      </c>
    </row>
    <row r="4049" spans="1:4" x14ac:dyDescent="0.25">
      <c r="A4049" t="s">
        <v>1959</v>
      </c>
      <c r="B4049" t="s">
        <v>1330</v>
      </c>
      <c r="C4049" t="s">
        <v>1615</v>
      </c>
      <c r="D4049">
        <v>9.4</v>
      </c>
    </row>
    <row r="4050" spans="1:4" x14ac:dyDescent="0.25">
      <c r="A4050" t="s">
        <v>1913</v>
      </c>
      <c r="B4050" t="s">
        <v>1335</v>
      </c>
      <c r="C4050" t="s">
        <v>1514</v>
      </c>
      <c r="D4050">
        <v>42.35</v>
      </c>
    </row>
    <row r="4051" spans="1:4" x14ac:dyDescent="0.25">
      <c r="A4051" t="s">
        <v>1945</v>
      </c>
      <c r="B4051" t="s">
        <v>1331</v>
      </c>
      <c r="C4051" t="s">
        <v>1514</v>
      </c>
      <c r="D4051">
        <v>9</v>
      </c>
    </row>
    <row r="4052" spans="1:4" x14ac:dyDescent="0.25">
      <c r="A4052" t="s">
        <v>2016</v>
      </c>
      <c r="B4052" t="s">
        <v>1331</v>
      </c>
      <c r="C4052" t="s">
        <v>1514</v>
      </c>
      <c r="D4052">
        <v>18.87</v>
      </c>
    </row>
    <row r="4053" spans="1:4" x14ac:dyDescent="0.25">
      <c r="A4053" t="s">
        <v>1902</v>
      </c>
      <c r="B4053" t="s">
        <v>1335</v>
      </c>
      <c r="C4053" t="s">
        <v>1514</v>
      </c>
      <c r="D4053">
        <v>3.7</v>
      </c>
    </row>
    <row r="4054" spans="1:4" x14ac:dyDescent="0.25">
      <c r="A4054" t="s">
        <v>1959</v>
      </c>
      <c r="B4054" t="s">
        <v>1330</v>
      </c>
      <c r="C4054" t="s">
        <v>1514</v>
      </c>
      <c r="D4054">
        <v>42.9</v>
      </c>
    </row>
    <row r="4055" spans="1:4" x14ac:dyDescent="0.25">
      <c r="A4055" t="s">
        <v>1933</v>
      </c>
      <c r="B4055" t="s">
        <v>1330</v>
      </c>
      <c r="C4055" t="s">
        <v>1708</v>
      </c>
      <c r="D4055">
        <v>17.05</v>
      </c>
    </row>
    <row r="4056" spans="1:4" x14ac:dyDescent="0.25">
      <c r="A4056" t="s">
        <v>1987</v>
      </c>
      <c r="B4056" t="s">
        <v>1331</v>
      </c>
      <c r="C4056" t="s">
        <v>1538</v>
      </c>
      <c r="D4056">
        <v>21.37</v>
      </c>
    </row>
    <row r="4057" spans="1:4" x14ac:dyDescent="0.25">
      <c r="A4057" t="s">
        <v>1959</v>
      </c>
      <c r="B4057" t="s">
        <v>1330</v>
      </c>
      <c r="C4057" t="s">
        <v>1538</v>
      </c>
      <c r="D4057">
        <v>71.099999999999994</v>
      </c>
    </row>
    <row r="4058" spans="1:4" x14ac:dyDescent="0.25">
      <c r="A4058" t="s">
        <v>2022</v>
      </c>
      <c r="B4058" t="s">
        <v>1334</v>
      </c>
      <c r="C4058" t="s">
        <v>1525</v>
      </c>
      <c r="D4058">
        <v>23.1</v>
      </c>
    </row>
    <row r="4059" spans="1:4" x14ac:dyDescent="0.25">
      <c r="A4059" t="s">
        <v>1904</v>
      </c>
      <c r="B4059" t="s">
        <v>1331</v>
      </c>
      <c r="C4059" t="s">
        <v>1525</v>
      </c>
      <c r="D4059">
        <v>6</v>
      </c>
    </row>
    <row r="4060" spans="1:4" x14ac:dyDescent="0.25">
      <c r="A4060" t="s">
        <v>1962</v>
      </c>
      <c r="B4060" t="s">
        <v>1331</v>
      </c>
      <c r="C4060" t="s">
        <v>1525</v>
      </c>
      <c r="D4060">
        <v>7.7</v>
      </c>
    </row>
    <row r="4061" spans="1:4" x14ac:dyDescent="0.25">
      <c r="A4061" t="s">
        <v>2020</v>
      </c>
      <c r="B4061" t="s">
        <v>1334</v>
      </c>
      <c r="C4061" t="s">
        <v>1525</v>
      </c>
      <c r="D4061">
        <v>28.1</v>
      </c>
    </row>
    <row r="4062" spans="1:4" x14ac:dyDescent="0.25">
      <c r="A4062" t="s">
        <v>2025</v>
      </c>
      <c r="B4062" t="s">
        <v>1334</v>
      </c>
      <c r="C4062" t="s">
        <v>1525</v>
      </c>
      <c r="D4062">
        <v>5</v>
      </c>
    </row>
    <row r="4063" spans="1:4" x14ac:dyDescent="0.25">
      <c r="A4063" t="s">
        <v>2029</v>
      </c>
      <c r="B4063" t="s">
        <v>1334</v>
      </c>
      <c r="C4063" t="s">
        <v>1525</v>
      </c>
      <c r="D4063">
        <v>38.5</v>
      </c>
    </row>
    <row r="4064" spans="1:4" x14ac:dyDescent="0.25">
      <c r="A4064" t="s">
        <v>2029</v>
      </c>
      <c r="B4064" t="s">
        <v>1334</v>
      </c>
      <c r="C4064" t="s">
        <v>1778</v>
      </c>
      <c r="D4064">
        <v>7.7</v>
      </c>
    </row>
    <row r="4065" spans="1:4" x14ac:dyDescent="0.25">
      <c r="A4065" t="s">
        <v>1904</v>
      </c>
      <c r="B4065" t="s">
        <v>1331</v>
      </c>
      <c r="C4065" t="s">
        <v>1847</v>
      </c>
      <c r="D4065">
        <v>2</v>
      </c>
    </row>
    <row r="4066" spans="1:4" x14ac:dyDescent="0.25">
      <c r="A4066" t="s">
        <v>1959</v>
      </c>
      <c r="B4066" t="s">
        <v>1330</v>
      </c>
      <c r="C4066" t="s">
        <v>1487</v>
      </c>
      <c r="D4066">
        <v>60.05</v>
      </c>
    </row>
    <row r="4067" spans="1:4" x14ac:dyDescent="0.25">
      <c r="A4067" t="s">
        <v>2022</v>
      </c>
      <c r="B4067" t="s">
        <v>1334</v>
      </c>
      <c r="C4067" t="s">
        <v>1487</v>
      </c>
      <c r="D4067">
        <v>100.1</v>
      </c>
    </row>
    <row r="4068" spans="1:4" x14ac:dyDescent="0.25">
      <c r="A4068" t="s">
        <v>2025</v>
      </c>
      <c r="B4068" t="s">
        <v>1334</v>
      </c>
      <c r="C4068" t="s">
        <v>1364</v>
      </c>
      <c r="D4068">
        <v>279.10000000000002</v>
      </c>
    </row>
    <row r="4069" spans="1:4" x14ac:dyDescent="0.25">
      <c r="A4069" t="s">
        <v>2023</v>
      </c>
      <c r="B4069" t="s">
        <v>1330</v>
      </c>
      <c r="C4069" t="s">
        <v>1364</v>
      </c>
      <c r="D4069">
        <v>594.9</v>
      </c>
    </row>
    <row r="4070" spans="1:4" x14ac:dyDescent="0.25">
      <c r="A4070" t="s">
        <v>1904</v>
      </c>
      <c r="B4070" t="s">
        <v>1331</v>
      </c>
      <c r="C4070" t="s">
        <v>1364</v>
      </c>
      <c r="D4070">
        <v>663.15</v>
      </c>
    </row>
    <row r="4071" spans="1:4" x14ac:dyDescent="0.25">
      <c r="A4071" t="s">
        <v>1963</v>
      </c>
      <c r="B4071" t="s">
        <v>1331</v>
      </c>
      <c r="C4071" t="s">
        <v>1364</v>
      </c>
      <c r="D4071">
        <v>67.3</v>
      </c>
    </row>
    <row r="4072" spans="1:4" x14ac:dyDescent="0.25">
      <c r="A4072" t="s">
        <v>2004</v>
      </c>
      <c r="B4072" t="s">
        <v>1331</v>
      </c>
      <c r="C4072" t="s">
        <v>1364</v>
      </c>
      <c r="D4072">
        <v>484.5</v>
      </c>
    </row>
    <row r="4073" spans="1:4" x14ac:dyDescent="0.25">
      <c r="A4073" t="s">
        <v>1962</v>
      </c>
      <c r="B4073" t="s">
        <v>1331</v>
      </c>
      <c r="C4073" t="s">
        <v>1364</v>
      </c>
      <c r="D4073">
        <v>5.7</v>
      </c>
    </row>
    <row r="4074" spans="1:4" x14ac:dyDescent="0.25">
      <c r="A4074" t="s">
        <v>1971</v>
      </c>
      <c r="B4074" t="s">
        <v>1330</v>
      </c>
      <c r="C4074" t="s">
        <v>1364</v>
      </c>
      <c r="D4074">
        <v>51.1</v>
      </c>
    </row>
    <row r="4075" spans="1:4" x14ac:dyDescent="0.25">
      <c r="A4075" t="s">
        <v>1921</v>
      </c>
      <c r="B4075" t="s">
        <v>1330</v>
      </c>
      <c r="C4075" t="s">
        <v>1605</v>
      </c>
      <c r="D4075">
        <v>46.2</v>
      </c>
    </row>
    <row r="4076" spans="1:4" x14ac:dyDescent="0.25">
      <c r="A4076" t="s">
        <v>1968</v>
      </c>
      <c r="B4076" t="s">
        <v>1331</v>
      </c>
      <c r="C4076" t="s">
        <v>1605</v>
      </c>
      <c r="D4076">
        <v>1</v>
      </c>
    </row>
    <row r="4077" spans="1:4" x14ac:dyDescent="0.25">
      <c r="A4077" t="s">
        <v>2021</v>
      </c>
      <c r="B4077" t="s">
        <v>1334</v>
      </c>
      <c r="C4077" t="s">
        <v>1872</v>
      </c>
      <c r="D4077">
        <v>1</v>
      </c>
    </row>
    <row r="4078" spans="1:4" x14ac:dyDescent="0.25">
      <c r="A4078" t="s">
        <v>1962</v>
      </c>
      <c r="B4078" t="s">
        <v>1331</v>
      </c>
      <c r="C4078" t="s">
        <v>1659</v>
      </c>
      <c r="D4078">
        <v>10.4</v>
      </c>
    </row>
    <row r="4079" spans="1:4" x14ac:dyDescent="0.25">
      <c r="A4079" t="s">
        <v>1959</v>
      </c>
      <c r="B4079" t="s">
        <v>1330</v>
      </c>
      <c r="C4079" t="s">
        <v>1659</v>
      </c>
      <c r="D4079">
        <v>13</v>
      </c>
    </row>
    <row r="4080" spans="1:4" x14ac:dyDescent="0.25">
      <c r="A4080" t="s">
        <v>1959</v>
      </c>
      <c r="B4080" t="s">
        <v>1331</v>
      </c>
      <c r="C4080" t="s">
        <v>1659</v>
      </c>
      <c r="D4080">
        <v>4.5</v>
      </c>
    </row>
    <row r="4081" spans="1:4" x14ac:dyDescent="0.25">
      <c r="A4081" t="s">
        <v>1945</v>
      </c>
      <c r="B4081" t="s">
        <v>1331</v>
      </c>
      <c r="C4081" t="s">
        <v>1563</v>
      </c>
      <c r="D4081">
        <v>65.7</v>
      </c>
    </row>
    <row r="4082" spans="1:4" x14ac:dyDescent="0.25">
      <c r="A4082" t="s">
        <v>1959</v>
      </c>
      <c r="B4082" t="s">
        <v>1330</v>
      </c>
      <c r="C4082" t="s">
        <v>1563</v>
      </c>
      <c r="D4082">
        <v>10</v>
      </c>
    </row>
    <row r="4083" spans="1:4" x14ac:dyDescent="0.25">
      <c r="A4083" t="s">
        <v>1959</v>
      </c>
      <c r="B4083" t="s">
        <v>1330</v>
      </c>
      <c r="C4083" t="s">
        <v>1558</v>
      </c>
      <c r="D4083">
        <v>10</v>
      </c>
    </row>
    <row r="4084" spans="1:4" x14ac:dyDescent="0.25">
      <c r="A4084" t="s">
        <v>1945</v>
      </c>
      <c r="B4084" t="s">
        <v>1331</v>
      </c>
      <c r="C4084" t="s">
        <v>1558</v>
      </c>
      <c r="D4084">
        <v>67.2</v>
      </c>
    </row>
    <row r="4085" spans="1:4" x14ac:dyDescent="0.25">
      <c r="A4085" t="s">
        <v>1959</v>
      </c>
      <c r="B4085" t="s">
        <v>1331</v>
      </c>
      <c r="C4085" t="s">
        <v>1690</v>
      </c>
      <c r="D4085">
        <v>6</v>
      </c>
    </row>
    <row r="4086" spans="1:4" x14ac:dyDescent="0.25">
      <c r="A4086" t="s">
        <v>1959</v>
      </c>
      <c r="B4086" t="s">
        <v>1330</v>
      </c>
      <c r="C4086" t="s">
        <v>1690</v>
      </c>
      <c r="D4086">
        <v>15.85</v>
      </c>
    </row>
    <row r="4087" spans="1:4" x14ac:dyDescent="0.25">
      <c r="A4087" t="s">
        <v>1921</v>
      </c>
      <c r="B4087" t="s">
        <v>1330</v>
      </c>
      <c r="C4087" t="s">
        <v>1616</v>
      </c>
      <c r="D4087">
        <v>41.2</v>
      </c>
    </row>
    <row r="4088" spans="1:4" x14ac:dyDescent="0.25">
      <c r="A4088" t="s">
        <v>2029</v>
      </c>
      <c r="B4088" t="s">
        <v>1334</v>
      </c>
      <c r="C4088" t="s">
        <v>1743</v>
      </c>
      <c r="D4088">
        <v>11.55</v>
      </c>
    </row>
    <row r="4089" spans="1:4" x14ac:dyDescent="0.25">
      <c r="A4089" t="s">
        <v>1959</v>
      </c>
      <c r="B4089" t="s">
        <v>1330</v>
      </c>
      <c r="C4089" t="s">
        <v>1643</v>
      </c>
      <c r="D4089">
        <v>6</v>
      </c>
    </row>
    <row r="4090" spans="1:4" x14ac:dyDescent="0.25">
      <c r="A4090" t="s">
        <v>1945</v>
      </c>
      <c r="B4090" t="s">
        <v>1331</v>
      </c>
      <c r="C4090" t="s">
        <v>1643</v>
      </c>
      <c r="D4090">
        <v>3</v>
      </c>
    </row>
    <row r="4091" spans="1:4" x14ac:dyDescent="0.25">
      <c r="A4091" t="s">
        <v>1959</v>
      </c>
      <c r="B4091" t="s">
        <v>1331</v>
      </c>
      <c r="C4091" t="s">
        <v>1643</v>
      </c>
      <c r="D4091">
        <v>21.7</v>
      </c>
    </row>
    <row r="4092" spans="1:4" x14ac:dyDescent="0.25">
      <c r="A4092" t="s">
        <v>2025</v>
      </c>
      <c r="B4092" t="s">
        <v>1334</v>
      </c>
      <c r="C4092" t="s">
        <v>1535</v>
      </c>
      <c r="D4092">
        <v>22.55</v>
      </c>
    </row>
    <row r="4093" spans="1:4" x14ac:dyDescent="0.25">
      <c r="A4093" t="s">
        <v>2026</v>
      </c>
      <c r="B4093" t="s">
        <v>1334</v>
      </c>
      <c r="C4093" t="s">
        <v>1535</v>
      </c>
      <c r="D4093">
        <v>74.2</v>
      </c>
    </row>
    <row r="4094" spans="1:4" x14ac:dyDescent="0.25">
      <c r="A4094" t="s">
        <v>1921</v>
      </c>
      <c r="B4094" t="s">
        <v>1330</v>
      </c>
      <c r="C4094" t="s">
        <v>1779</v>
      </c>
      <c r="D4094">
        <v>7.7</v>
      </c>
    </row>
    <row r="4095" spans="1:4" x14ac:dyDescent="0.25">
      <c r="A4095" t="s">
        <v>1959</v>
      </c>
      <c r="B4095" t="s">
        <v>1330</v>
      </c>
      <c r="C4095" t="s">
        <v>1691</v>
      </c>
      <c r="D4095">
        <v>7</v>
      </c>
    </row>
    <row r="4096" spans="1:4" x14ac:dyDescent="0.25">
      <c r="A4096" t="s">
        <v>1959</v>
      </c>
      <c r="B4096" t="s">
        <v>1331</v>
      </c>
      <c r="C4096" t="s">
        <v>1691</v>
      </c>
      <c r="D4096">
        <v>14.85</v>
      </c>
    </row>
    <row r="4097" spans="1:4" x14ac:dyDescent="0.25">
      <c r="A4097" t="s">
        <v>1959</v>
      </c>
      <c r="B4097" t="s">
        <v>1330</v>
      </c>
      <c r="C4097" t="s">
        <v>1765</v>
      </c>
      <c r="D4097">
        <v>9</v>
      </c>
    </row>
    <row r="4098" spans="1:4" x14ac:dyDescent="0.25">
      <c r="A4098" t="s">
        <v>1959</v>
      </c>
      <c r="B4098" t="s">
        <v>1330</v>
      </c>
      <c r="C4098" t="s">
        <v>1592</v>
      </c>
      <c r="D4098">
        <v>21</v>
      </c>
    </row>
    <row r="4099" spans="1:4" x14ac:dyDescent="0.25">
      <c r="A4099" t="s">
        <v>1929</v>
      </c>
      <c r="B4099" t="s">
        <v>1331</v>
      </c>
      <c r="C4099" t="s">
        <v>1592</v>
      </c>
      <c r="D4099">
        <v>9</v>
      </c>
    </row>
    <row r="4100" spans="1:4" x14ac:dyDescent="0.25">
      <c r="A4100" t="s">
        <v>1960</v>
      </c>
      <c r="B4100" t="s">
        <v>1331</v>
      </c>
      <c r="C4100" t="s">
        <v>1592</v>
      </c>
      <c r="D4100">
        <v>21.7</v>
      </c>
    </row>
    <row r="4101" spans="1:4" x14ac:dyDescent="0.25">
      <c r="A4101" t="s">
        <v>1929</v>
      </c>
      <c r="B4101" t="s">
        <v>1334</v>
      </c>
      <c r="C4101" t="s">
        <v>1592</v>
      </c>
      <c r="D4101">
        <v>4</v>
      </c>
    </row>
    <row r="4102" spans="1:4" x14ac:dyDescent="0.25">
      <c r="A4102" t="s">
        <v>1904</v>
      </c>
      <c r="B4102" t="s">
        <v>1331</v>
      </c>
      <c r="C4102" t="s">
        <v>1758</v>
      </c>
      <c r="D4102">
        <v>1</v>
      </c>
    </row>
    <row r="4103" spans="1:4" x14ac:dyDescent="0.25">
      <c r="A4103" t="s">
        <v>1902</v>
      </c>
      <c r="B4103" t="s">
        <v>1335</v>
      </c>
      <c r="C4103" t="s">
        <v>1758</v>
      </c>
      <c r="D4103">
        <v>3.85</v>
      </c>
    </row>
    <row r="4104" spans="1:4" x14ac:dyDescent="0.25">
      <c r="A4104" t="s">
        <v>1939</v>
      </c>
      <c r="B4104" t="s">
        <v>1331</v>
      </c>
      <c r="C4104" t="s">
        <v>1758</v>
      </c>
      <c r="D4104">
        <v>5</v>
      </c>
    </row>
    <row r="4105" spans="1:4" x14ac:dyDescent="0.25">
      <c r="A4105" t="s">
        <v>1959</v>
      </c>
      <c r="B4105" t="s">
        <v>1330</v>
      </c>
      <c r="C4105" t="s">
        <v>1441</v>
      </c>
      <c r="D4105">
        <v>37.6</v>
      </c>
    </row>
    <row r="4106" spans="1:4" x14ac:dyDescent="0.25">
      <c r="A4106" t="s">
        <v>2045</v>
      </c>
      <c r="B4106" t="s">
        <v>1335</v>
      </c>
      <c r="C4106" t="s">
        <v>1441</v>
      </c>
      <c r="D4106">
        <v>257.2</v>
      </c>
    </row>
    <row r="4107" spans="1:4" x14ac:dyDescent="0.25">
      <c r="A4107" t="s">
        <v>1945</v>
      </c>
      <c r="B4107" t="s">
        <v>1331</v>
      </c>
      <c r="C4107" t="s">
        <v>1441</v>
      </c>
      <c r="D4107">
        <v>11.7</v>
      </c>
    </row>
    <row r="4108" spans="1:4" x14ac:dyDescent="0.25">
      <c r="A4108" t="s">
        <v>1959</v>
      </c>
      <c r="B4108" t="s">
        <v>1330</v>
      </c>
      <c r="C4108" t="s">
        <v>1822</v>
      </c>
      <c r="D4108">
        <v>4</v>
      </c>
    </row>
    <row r="4109" spans="1:4" x14ac:dyDescent="0.25">
      <c r="A4109" t="s">
        <v>1959</v>
      </c>
      <c r="B4109" t="s">
        <v>1330</v>
      </c>
      <c r="C4109" t="s">
        <v>1671</v>
      </c>
      <c r="D4109">
        <v>25.7</v>
      </c>
    </row>
    <row r="4110" spans="1:4" x14ac:dyDescent="0.25">
      <c r="A4110" t="s">
        <v>1959</v>
      </c>
      <c r="B4110" t="s">
        <v>1330</v>
      </c>
      <c r="C4110" t="s">
        <v>1736</v>
      </c>
      <c r="D4110">
        <v>12.7</v>
      </c>
    </row>
    <row r="4111" spans="1:4" x14ac:dyDescent="0.25">
      <c r="A4111" t="s">
        <v>1904</v>
      </c>
      <c r="B4111" t="s">
        <v>1331</v>
      </c>
      <c r="C4111" t="s">
        <v>1508</v>
      </c>
      <c r="D4111">
        <v>74</v>
      </c>
    </row>
    <row r="4112" spans="1:4" x14ac:dyDescent="0.25">
      <c r="A4112" t="s">
        <v>2004</v>
      </c>
      <c r="B4112" t="s">
        <v>1331</v>
      </c>
      <c r="C4112" t="s">
        <v>1508</v>
      </c>
      <c r="D4112">
        <v>0</v>
      </c>
    </row>
    <row r="4113" spans="1:4" x14ac:dyDescent="0.25">
      <c r="A4113" t="s">
        <v>1959</v>
      </c>
      <c r="B4113" t="s">
        <v>1330</v>
      </c>
      <c r="C4113" t="s">
        <v>1508</v>
      </c>
      <c r="D4113">
        <v>14</v>
      </c>
    </row>
    <row r="4114" spans="1:4" x14ac:dyDescent="0.25">
      <c r="A4114" t="s">
        <v>1980</v>
      </c>
      <c r="B4114" t="s">
        <v>1331</v>
      </c>
      <c r="C4114" t="s">
        <v>1508</v>
      </c>
      <c r="D4114">
        <v>39.35</v>
      </c>
    </row>
    <row r="4115" spans="1:4" x14ac:dyDescent="0.25">
      <c r="A4115" t="s">
        <v>2026</v>
      </c>
      <c r="B4115" t="s">
        <v>1334</v>
      </c>
      <c r="C4115" t="s">
        <v>1553</v>
      </c>
      <c r="D4115">
        <v>3.85</v>
      </c>
    </row>
    <row r="4116" spans="1:4" x14ac:dyDescent="0.25">
      <c r="A4116" t="s">
        <v>2029</v>
      </c>
      <c r="B4116" t="s">
        <v>1334</v>
      </c>
      <c r="C4116" t="s">
        <v>1553</v>
      </c>
      <c r="D4116">
        <v>77</v>
      </c>
    </row>
    <row r="4117" spans="1:4" x14ac:dyDescent="0.25">
      <c r="A4117" t="s">
        <v>2019</v>
      </c>
      <c r="B4117" t="s">
        <v>1334</v>
      </c>
      <c r="C4117" t="s">
        <v>1578</v>
      </c>
      <c r="D4117">
        <v>48.1</v>
      </c>
    </row>
    <row r="4118" spans="1:4" x14ac:dyDescent="0.25">
      <c r="A4118" t="s">
        <v>1972</v>
      </c>
      <c r="B4118" t="s">
        <v>1334</v>
      </c>
      <c r="C4118" t="s">
        <v>1578</v>
      </c>
      <c r="D4118">
        <v>17.7</v>
      </c>
    </row>
    <row r="4119" spans="1:4" x14ac:dyDescent="0.25">
      <c r="A4119" t="s">
        <v>1945</v>
      </c>
      <c r="B4119" t="s">
        <v>1331</v>
      </c>
      <c r="C4119" t="s">
        <v>1452</v>
      </c>
      <c r="D4119">
        <v>2</v>
      </c>
    </row>
    <row r="4120" spans="1:4" x14ac:dyDescent="0.25">
      <c r="A4120" t="s">
        <v>1959</v>
      </c>
      <c r="B4120" t="s">
        <v>1330</v>
      </c>
      <c r="C4120" t="s">
        <v>1452</v>
      </c>
      <c r="D4120">
        <v>25.4</v>
      </c>
    </row>
    <row r="4121" spans="1:4" x14ac:dyDescent="0.25">
      <c r="A4121" t="s">
        <v>1931</v>
      </c>
      <c r="B4121" t="s">
        <v>1335</v>
      </c>
      <c r="C4121" t="s">
        <v>1452</v>
      </c>
      <c r="D4121">
        <v>192.35</v>
      </c>
    </row>
    <row r="4122" spans="1:4" x14ac:dyDescent="0.25">
      <c r="A4122" t="s">
        <v>1900</v>
      </c>
      <c r="B4122" t="s">
        <v>1335</v>
      </c>
      <c r="C4122" t="s">
        <v>1452</v>
      </c>
      <c r="D4122">
        <v>38.450000000000003</v>
      </c>
    </row>
    <row r="4123" spans="1:4" x14ac:dyDescent="0.25">
      <c r="A4123" t="s">
        <v>1904</v>
      </c>
      <c r="B4123" t="s">
        <v>1331</v>
      </c>
      <c r="C4123" t="s">
        <v>1733</v>
      </c>
      <c r="D4123">
        <v>7</v>
      </c>
    </row>
    <row r="4124" spans="1:4" x14ac:dyDescent="0.25">
      <c r="A4124" t="s">
        <v>2025</v>
      </c>
      <c r="B4124" t="s">
        <v>1334</v>
      </c>
      <c r="C4124" t="s">
        <v>1733</v>
      </c>
      <c r="D4124">
        <v>6</v>
      </c>
    </row>
    <row r="4125" spans="1:4" x14ac:dyDescent="0.25">
      <c r="A4125" t="s">
        <v>1931</v>
      </c>
      <c r="B4125" t="s">
        <v>1335</v>
      </c>
      <c r="C4125" t="s">
        <v>1466</v>
      </c>
      <c r="D4125">
        <v>50.05</v>
      </c>
    </row>
    <row r="4126" spans="1:4" x14ac:dyDescent="0.25">
      <c r="A4126" t="s">
        <v>2075</v>
      </c>
      <c r="B4126" t="s">
        <v>1330</v>
      </c>
      <c r="C4126" t="s">
        <v>1466</v>
      </c>
      <c r="D4126">
        <v>2</v>
      </c>
    </row>
    <row r="4127" spans="1:4" x14ac:dyDescent="0.25">
      <c r="A4127" t="s">
        <v>1921</v>
      </c>
      <c r="B4127" t="s">
        <v>1330</v>
      </c>
      <c r="C4127" t="s">
        <v>1466</v>
      </c>
      <c r="D4127">
        <v>13.4</v>
      </c>
    </row>
    <row r="4128" spans="1:4" x14ac:dyDescent="0.25">
      <c r="A4128" t="s">
        <v>1950</v>
      </c>
      <c r="B4128" t="s">
        <v>1334</v>
      </c>
      <c r="C4128" t="s">
        <v>1466</v>
      </c>
      <c r="D4128">
        <v>9.4</v>
      </c>
    </row>
    <row r="4129" spans="1:4" x14ac:dyDescent="0.25">
      <c r="A4129" t="s">
        <v>1966</v>
      </c>
      <c r="B4129" t="s">
        <v>1331</v>
      </c>
      <c r="C4129" t="s">
        <v>1466</v>
      </c>
      <c r="D4129">
        <v>10.85</v>
      </c>
    </row>
    <row r="4130" spans="1:4" x14ac:dyDescent="0.25">
      <c r="A4130" t="s">
        <v>1965</v>
      </c>
      <c r="B4130" t="s">
        <v>1331</v>
      </c>
      <c r="C4130" t="s">
        <v>1466</v>
      </c>
      <c r="D4130">
        <v>131.19999999999999</v>
      </c>
    </row>
    <row r="4131" spans="1:4" x14ac:dyDescent="0.25">
      <c r="A4131" t="s">
        <v>1959</v>
      </c>
      <c r="B4131" t="s">
        <v>1330</v>
      </c>
      <c r="C4131" t="s">
        <v>1466</v>
      </c>
      <c r="D4131">
        <v>2</v>
      </c>
    </row>
    <row r="4132" spans="1:4" x14ac:dyDescent="0.25">
      <c r="A4132" t="s">
        <v>2026</v>
      </c>
      <c r="B4132" t="s">
        <v>1334</v>
      </c>
      <c r="C4132" t="s">
        <v>1665</v>
      </c>
      <c r="D4132">
        <v>11.55</v>
      </c>
    </row>
    <row r="4133" spans="1:4" x14ac:dyDescent="0.25">
      <c r="A4133" t="s">
        <v>2029</v>
      </c>
      <c r="B4133" t="s">
        <v>1334</v>
      </c>
      <c r="C4133" t="s">
        <v>1665</v>
      </c>
      <c r="D4133">
        <v>15.4</v>
      </c>
    </row>
    <row r="4134" spans="1:4" x14ac:dyDescent="0.25">
      <c r="A4134" t="s">
        <v>1945</v>
      </c>
      <c r="B4134" t="s">
        <v>1331</v>
      </c>
      <c r="C4134" t="s">
        <v>1594</v>
      </c>
      <c r="D4134">
        <v>55.1</v>
      </c>
    </row>
    <row r="4135" spans="1:4" x14ac:dyDescent="0.25">
      <c r="A4135" t="s">
        <v>1959</v>
      </c>
      <c r="B4135" t="s">
        <v>1330</v>
      </c>
      <c r="C4135" t="s">
        <v>1745</v>
      </c>
      <c r="D4135">
        <v>11</v>
      </c>
    </row>
    <row r="4136" spans="1:4" x14ac:dyDescent="0.25">
      <c r="A4136" t="s">
        <v>2021</v>
      </c>
      <c r="B4136" t="s">
        <v>1334</v>
      </c>
      <c r="C4136" t="s">
        <v>1489</v>
      </c>
      <c r="D4136">
        <v>156.6</v>
      </c>
    </row>
    <row r="4137" spans="1:4" x14ac:dyDescent="0.25">
      <c r="A4137" t="s">
        <v>2021</v>
      </c>
      <c r="B4137" t="s">
        <v>1334</v>
      </c>
      <c r="C4137" t="s">
        <v>1891</v>
      </c>
      <c r="D4137">
        <v>0</v>
      </c>
    </row>
    <row r="4138" spans="1:4" x14ac:dyDescent="0.25">
      <c r="A4138" t="s">
        <v>1959</v>
      </c>
      <c r="B4138" t="s">
        <v>1330</v>
      </c>
      <c r="C4138" t="s">
        <v>1583</v>
      </c>
      <c r="D4138">
        <v>63.1</v>
      </c>
    </row>
    <row r="4139" spans="1:4" x14ac:dyDescent="0.25">
      <c r="A4139" t="s">
        <v>1945</v>
      </c>
      <c r="B4139" t="s">
        <v>1331</v>
      </c>
      <c r="C4139" t="s">
        <v>1692</v>
      </c>
      <c r="D4139">
        <v>21.85</v>
      </c>
    </row>
    <row r="4140" spans="1:4" x14ac:dyDescent="0.25">
      <c r="A4140" t="s">
        <v>1959</v>
      </c>
      <c r="B4140" t="s">
        <v>1330</v>
      </c>
      <c r="C4140" t="s">
        <v>1823</v>
      </c>
      <c r="D4140">
        <v>4</v>
      </c>
    </row>
    <row r="4141" spans="1:4" x14ac:dyDescent="0.25">
      <c r="A4141" t="s">
        <v>1959</v>
      </c>
      <c r="B4141" t="s">
        <v>1330</v>
      </c>
      <c r="C4141" t="s">
        <v>1687</v>
      </c>
      <c r="D4141">
        <v>21.7</v>
      </c>
    </row>
    <row r="4142" spans="1:4" x14ac:dyDescent="0.25">
      <c r="A4142" t="s">
        <v>1945</v>
      </c>
      <c r="B4142" t="s">
        <v>1331</v>
      </c>
      <c r="C4142" t="s">
        <v>1687</v>
      </c>
      <c r="D4142">
        <v>1</v>
      </c>
    </row>
    <row r="4143" spans="1:4" x14ac:dyDescent="0.25">
      <c r="A4143" t="s">
        <v>1959</v>
      </c>
      <c r="B4143" t="s">
        <v>1330</v>
      </c>
      <c r="C4143" t="s">
        <v>1456</v>
      </c>
      <c r="D4143">
        <v>41</v>
      </c>
    </row>
    <row r="4144" spans="1:4" x14ac:dyDescent="0.25">
      <c r="A4144" t="s">
        <v>1959</v>
      </c>
      <c r="B4144" t="s">
        <v>1335</v>
      </c>
      <c r="C4144" t="s">
        <v>1456</v>
      </c>
      <c r="D4144">
        <v>2</v>
      </c>
    </row>
    <row r="4145" spans="1:4" x14ac:dyDescent="0.25">
      <c r="A4145" t="s">
        <v>1945</v>
      </c>
      <c r="B4145" t="s">
        <v>1331</v>
      </c>
      <c r="C4145" t="s">
        <v>1456</v>
      </c>
      <c r="D4145">
        <v>97.8</v>
      </c>
    </row>
    <row r="4146" spans="1:4" x14ac:dyDescent="0.25">
      <c r="A4146" t="s">
        <v>1959</v>
      </c>
      <c r="B4146" t="s">
        <v>1331</v>
      </c>
      <c r="C4146" t="s">
        <v>1456</v>
      </c>
      <c r="D4146">
        <v>8</v>
      </c>
    </row>
    <row r="4147" spans="1:4" x14ac:dyDescent="0.25">
      <c r="A4147" t="s">
        <v>1969</v>
      </c>
      <c r="B4147" t="s">
        <v>1331</v>
      </c>
      <c r="C4147" t="s">
        <v>1456</v>
      </c>
      <c r="D4147">
        <v>9</v>
      </c>
    </row>
    <row r="4148" spans="1:4" x14ac:dyDescent="0.25">
      <c r="A4148" t="s">
        <v>1902</v>
      </c>
      <c r="B4148" t="s">
        <v>1335</v>
      </c>
      <c r="C4148" t="s">
        <v>1456</v>
      </c>
      <c r="D4148">
        <v>86.55</v>
      </c>
    </row>
    <row r="4149" spans="1:4" x14ac:dyDescent="0.25">
      <c r="A4149" t="s">
        <v>1959</v>
      </c>
      <c r="B4149" t="s">
        <v>1330</v>
      </c>
      <c r="C4149" t="s">
        <v>1544</v>
      </c>
      <c r="D4149">
        <v>36.700000000000003</v>
      </c>
    </row>
    <row r="4150" spans="1:4" x14ac:dyDescent="0.25">
      <c r="A4150" t="s">
        <v>1902</v>
      </c>
      <c r="B4150" t="s">
        <v>1335</v>
      </c>
      <c r="C4150" t="s">
        <v>1544</v>
      </c>
      <c r="D4150">
        <v>2</v>
      </c>
    </row>
    <row r="4151" spans="1:4" x14ac:dyDescent="0.25">
      <c r="A4151" t="s">
        <v>1959</v>
      </c>
      <c r="B4151" t="s">
        <v>1335</v>
      </c>
      <c r="C4151" t="s">
        <v>1544</v>
      </c>
      <c r="D4151">
        <v>48.7</v>
      </c>
    </row>
    <row r="4152" spans="1:4" x14ac:dyDescent="0.25">
      <c r="A4152" t="s">
        <v>1959</v>
      </c>
      <c r="B4152" t="s">
        <v>1330</v>
      </c>
      <c r="C4152" t="s">
        <v>1780</v>
      </c>
      <c r="D4152">
        <v>7.7</v>
      </c>
    </row>
    <row r="4153" spans="1:4" x14ac:dyDescent="0.25">
      <c r="A4153" t="s">
        <v>1945</v>
      </c>
      <c r="B4153" t="s">
        <v>1331</v>
      </c>
      <c r="C4153" t="s">
        <v>1621</v>
      </c>
      <c r="D4153">
        <v>38.5</v>
      </c>
    </row>
    <row r="4154" spans="1:4" x14ac:dyDescent="0.25">
      <c r="A4154" t="s">
        <v>1959</v>
      </c>
      <c r="B4154" t="s">
        <v>1330</v>
      </c>
      <c r="C4154" t="s">
        <v>1696</v>
      </c>
      <c r="D4154">
        <v>20.55</v>
      </c>
    </row>
    <row r="4155" spans="1:4" x14ac:dyDescent="0.25">
      <c r="A4155" t="s">
        <v>1959</v>
      </c>
      <c r="B4155" t="s">
        <v>1330</v>
      </c>
      <c r="C4155" t="s">
        <v>1521</v>
      </c>
      <c r="D4155">
        <v>52.85</v>
      </c>
    </row>
    <row r="4156" spans="1:4" x14ac:dyDescent="0.25">
      <c r="A4156" t="s">
        <v>1931</v>
      </c>
      <c r="B4156" t="s">
        <v>1335</v>
      </c>
      <c r="C4156" t="s">
        <v>1521</v>
      </c>
      <c r="D4156">
        <v>3.85</v>
      </c>
    </row>
    <row r="4157" spans="1:4" x14ac:dyDescent="0.25">
      <c r="A4157" t="s">
        <v>1959</v>
      </c>
      <c r="B4157" t="s">
        <v>1335</v>
      </c>
      <c r="C4157" t="s">
        <v>1521</v>
      </c>
      <c r="D4157">
        <v>32.549999999999997</v>
      </c>
    </row>
    <row r="4158" spans="1:4" x14ac:dyDescent="0.25">
      <c r="A4158" t="s">
        <v>1913</v>
      </c>
      <c r="B4158" t="s">
        <v>1335</v>
      </c>
      <c r="C4158" t="s">
        <v>1521</v>
      </c>
      <c r="D4158">
        <v>23.1</v>
      </c>
    </row>
    <row r="4159" spans="1:4" x14ac:dyDescent="0.25">
      <c r="A4159" t="s">
        <v>1959</v>
      </c>
      <c r="B4159" t="s">
        <v>1330</v>
      </c>
      <c r="C4159" t="s">
        <v>1700</v>
      </c>
      <c r="D4159">
        <v>19.399999999999999</v>
      </c>
    </row>
    <row r="4160" spans="1:4" x14ac:dyDescent="0.25">
      <c r="A4160" t="s">
        <v>1939</v>
      </c>
      <c r="B4160" t="s">
        <v>1331</v>
      </c>
      <c r="C4160" t="s">
        <v>1848</v>
      </c>
      <c r="D4160">
        <v>2</v>
      </c>
    </row>
    <row r="4161" spans="1:4" x14ac:dyDescent="0.25">
      <c r="A4161" t="s">
        <v>1959</v>
      </c>
      <c r="B4161" t="s">
        <v>1330</v>
      </c>
      <c r="C4161" t="s">
        <v>1849</v>
      </c>
      <c r="D4161">
        <v>2</v>
      </c>
    </row>
    <row r="4162" spans="1:4" x14ac:dyDescent="0.25">
      <c r="A4162" t="s">
        <v>1968</v>
      </c>
      <c r="B4162" t="s">
        <v>1331</v>
      </c>
      <c r="C4162" t="s">
        <v>1394</v>
      </c>
      <c r="D4162">
        <v>16.399999999999999</v>
      </c>
    </row>
    <row r="4163" spans="1:4" x14ac:dyDescent="0.25">
      <c r="A4163" t="s">
        <v>1962</v>
      </c>
      <c r="B4163" t="s">
        <v>1331</v>
      </c>
      <c r="C4163" t="s">
        <v>1394</v>
      </c>
      <c r="D4163">
        <v>500.9</v>
      </c>
    </row>
    <row r="4164" spans="1:4" x14ac:dyDescent="0.25">
      <c r="A4164" t="s">
        <v>1959</v>
      </c>
      <c r="B4164" t="s">
        <v>1330</v>
      </c>
      <c r="C4164" t="s">
        <v>1394</v>
      </c>
      <c r="D4164">
        <v>131.15</v>
      </c>
    </row>
    <row r="4165" spans="1:4" x14ac:dyDescent="0.25">
      <c r="A4165" t="s">
        <v>1913</v>
      </c>
      <c r="B4165" t="s">
        <v>1335</v>
      </c>
      <c r="C4165" t="s">
        <v>1394</v>
      </c>
      <c r="D4165">
        <v>3.85</v>
      </c>
    </row>
    <row r="4166" spans="1:4" x14ac:dyDescent="0.25">
      <c r="A4166" t="s">
        <v>1927</v>
      </c>
      <c r="B4166" t="s">
        <v>1331</v>
      </c>
      <c r="C4166" t="s">
        <v>1394</v>
      </c>
      <c r="D4166">
        <v>127.9</v>
      </c>
    </row>
    <row r="4167" spans="1:4" x14ac:dyDescent="0.25">
      <c r="A4167" t="s">
        <v>1959</v>
      </c>
      <c r="B4167" t="s">
        <v>1335</v>
      </c>
      <c r="C4167" t="s">
        <v>1394</v>
      </c>
      <c r="D4167">
        <v>7</v>
      </c>
    </row>
    <row r="4168" spans="1:4" x14ac:dyDescent="0.25">
      <c r="A4168" t="s">
        <v>1945</v>
      </c>
      <c r="B4168" t="s">
        <v>1331</v>
      </c>
      <c r="C4168" t="s">
        <v>1873</v>
      </c>
      <c r="D4168">
        <v>1</v>
      </c>
    </row>
    <row r="4169" spans="1:4" x14ac:dyDescent="0.25">
      <c r="A4169" t="s">
        <v>1945</v>
      </c>
      <c r="B4169" t="s">
        <v>1331</v>
      </c>
      <c r="C4169" t="s">
        <v>1518</v>
      </c>
      <c r="D4169">
        <v>56</v>
      </c>
    </row>
    <row r="4170" spans="1:4" x14ac:dyDescent="0.25">
      <c r="A4170" t="s">
        <v>1959</v>
      </c>
      <c r="B4170" t="s">
        <v>1330</v>
      </c>
      <c r="C4170" t="s">
        <v>1518</v>
      </c>
      <c r="D4170">
        <v>58.5</v>
      </c>
    </row>
    <row r="4171" spans="1:4" x14ac:dyDescent="0.25">
      <c r="A4171" t="s">
        <v>1920</v>
      </c>
      <c r="B4171" t="s">
        <v>1334</v>
      </c>
      <c r="C4171" t="s">
        <v>1788</v>
      </c>
      <c r="D4171">
        <v>7</v>
      </c>
    </row>
    <row r="4172" spans="1:4" x14ac:dyDescent="0.25">
      <c r="A4172" t="s">
        <v>1959</v>
      </c>
      <c r="B4172" t="s">
        <v>1330</v>
      </c>
      <c r="C4172" t="s">
        <v>1815</v>
      </c>
      <c r="D4172">
        <v>4.7</v>
      </c>
    </row>
    <row r="4173" spans="1:4" x14ac:dyDescent="0.25">
      <c r="A4173" t="s">
        <v>1959</v>
      </c>
      <c r="B4173" t="s">
        <v>1330</v>
      </c>
      <c r="C4173" t="s">
        <v>1842</v>
      </c>
      <c r="D4173">
        <v>2.7</v>
      </c>
    </row>
    <row r="4174" spans="1:4" x14ac:dyDescent="0.25">
      <c r="A4174" t="s">
        <v>1959</v>
      </c>
      <c r="B4174" t="s">
        <v>1330</v>
      </c>
      <c r="C4174" t="s">
        <v>1719</v>
      </c>
      <c r="D4174">
        <v>11.85</v>
      </c>
    </row>
    <row r="4175" spans="1:4" x14ac:dyDescent="0.25">
      <c r="A4175" t="s">
        <v>2016</v>
      </c>
      <c r="B4175" t="s">
        <v>1331</v>
      </c>
      <c r="C4175" t="s">
        <v>1719</v>
      </c>
      <c r="D4175">
        <v>3.25</v>
      </c>
    </row>
    <row r="4176" spans="1:4" x14ac:dyDescent="0.25">
      <c r="A4176" t="s">
        <v>1959</v>
      </c>
      <c r="B4176" t="s">
        <v>1335</v>
      </c>
      <c r="C4176" t="s">
        <v>1536</v>
      </c>
      <c r="D4176">
        <v>42.7</v>
      </c>
    </row>
    <row r="4177" spans="1:4" x14ac:dyDescent="0.25">
      <c r="A4177" t="s">
        <v>2021</v>
      </c>
      <c r="B4177" t="s">
        <v>1334</v>
      </c>
      <c r="C4177" t="s">
        <v>1536</v>
      </c>
      <c r="D4177">
        <v>52.6</v>
      </c>
    </row>
    <row r="4178" spans="1:4" x14ac:dyDescent="0.25">
      <c r="A4178" t="s">
        <v>1945</v>
      </c>
      <c r="B4178" t="s">
        <v>1331</v>
      </c>
      <c r="C4178" t="s">
        <v>1610</v>
      </c>
      <c r="D4178">
        <v>5</v>
      </c>
    </row>
    <row r="4179" spans="1:4" x14ac:dyDescent="0.25">
      <c r="A4179" t="s">
        <v>1959</v>
      </c>
      <c r="B4179" t="s">
        <v>1330</v>
      </c>
      <c r="C4179" t="s">
        <v>1610</v>
      </c>
      <c r="D4179">
        <v>38.85</v>
      </c>
    </row>
    <row r="4180" spans="1:4" x14ac:dyDescent="0.25">
      <c r="A4180" t="s">
        <v>1945</v>
      </c>
      <c r="B4180" t="s">
        <v>1331</v>
      </c>
      <c r="C4180" t="s">
        <v>1519</v>
      </c>
      <c r="D4180">
        <v>107.45</v>
      </c>
    </row>
    <row r="4181" spans="1:4" x14ac:dyDescent="0.25">
      <c r="A4181" t="s">
        <v>1959</v>
      </c>
      <c r="B4181" t="s">
        <v>1330</v>
      </c>
      <c r="C4181" t="s">
        <v>1519</v>
      </c>
      <c r="D4181">
        <v>7</v>
      </c>
    </row>
    <row r="4182" spans="1:4" x14ac:dyDescent="0.25">
      <c r="A4182" t="s">
        <v>1902</v>
      </c>
      <c r="B4182" t="s">
        <v>1335</v>
      </c>
      <c r="C4182" t="s">
        <v>1376</v>
      </c>
      <c r="D4182">
        <v>85.85</v>
      </c>
    </row>
    <row r="4183" spans="1:4" x14ac:dyDescent="0.25">
      <c r="A4183" t="s">
        <v>1909</v>
      </c>
      <c r="B4183" t="s">
        <v>1335</v>
      </c>
      <c r="C4183" t="s">
        <v>1376</v>
      </c>
      <c r="D4183">
        <v>50</v>
      </c>
    </row>
    <row r="4184" spans="1:4" x14ac:dyDescent="0.25">
      <c r="A4184" t="s">
        <v>1913</v>
      </c>
      <c r="B4184" t="s">
        <v>1335</v>
      </c>
      <c r="C4184" t="s">
        <v>1376</v>
      </c>
      <c r="D4184">
        <v>7.7</v>
      </c>
    </row>
    <row r="4185" spans="1:4" x14ac:dyDescent="0.25">
      <c r="A4185" t="s">
        <v>1931</v>
      </c>
      <c r="B4185" t="s">
        <v>1335</v>
      </c>
      <c r="C4185" t="s">
        <v>1376</v>
      </c>
      <c r="D4185">
        <v>354.2</v>
      </c>
    </row>
    <row r="4186" spans="1:4" x14ac:dyDescent="0.25">
      <c r="A4186" t="s">
        <v>1966</v>
      </c>
      <c r="B4186" t="s">
        <v>1331</v>
      </c>
      <c r="C4186" t="s">
        <v>1376</v>
      </c>
      <c r="D4186">
        <v>3.85</v>
      </c>
    </row>
    <row r="4187" spans="1:4" x14ac:dyDescent="0.25">
      <c r="A4187" t="s">
        <v>1923</v>
      </c>
      <c r="B4187" t="s">
        <v>1331</v>
      </c>
      <c r="C4187" t="s">
        <v>1376</v>
      </c>
      <c r="D4187">
        <v>1.3</v>
      </c>
    </row>
    <row r="4188" spans="1:4" x14ac:dyDescent="0.25">
      <c r="A4188" t="s">
        <v>1984</v>
      </c>
      <c r="B4188" t="s">
        <v>1331</v>
      </c>
      <c r="C4188" t="s">
        <v>1376</v>
      </c>
      <c r="D4188">
        <v>3</v>
      </c>
    </row>
    <row r="4189" spans="1:4" x14ac:dyDescent="0.25">
      <c r="A4189" t="s">
        <v>1979</v>
      </c>
      <c r="B4189" t="s">
        <v>1331</v>
      </c>
      <c r="C4189" t="s">
        <v>1376</v>
      </c>
      <c r="D4189">
        <v>7</v>
      </c>
    </row>
    <row r="4190" spans="1:4" x14ac:dyDescent="0.25">
      <c r="A4190" t="s">
        <v>1921</v>
      </c>
      <c r="B4190" t="s">
        <v>1330</v>
      </c>
      <c r="C4190" t="s">
        <v>1376</v>
      </c>
      <c r="D4190">
        <v>65.3</v>
      </c>
    </row>
    <row r="4191" spans="1:4" x14ac:dyDescent="0.25">
      <c r="A4191" t="s">
        <v>1907</v>
      </c>
      <c r="B4191" t="s">
        <v>1335</v>
      </c>
      <c r="C4191" t="s">
        <v>1376</v>
      </c>
      <c r="D4191">
        <v>6.7</v>
      </c>
    </row>
    <row r="4192" spans="1:4" x14ac:dyDescent="0.25">
      <c r="A4192" t="s">
        <v>1959</v>
      </c>
      <c r="B4192" t="s">
        <v>1335</v>
      </c>
      <c r="C4192" t="s">
        <v>1376</v>
      </c>
      <c r="D4192">
        <v>29</v>
      </c>
    </row>
    <row r="4193" spans="1:4" x14ac:dyDescent="0.25">
      <c r="A4193" t="s">
        <v>1939</v>
      </c>
      <c r="B4193" t="s">
        <v>1331</v>
      </c>
      <c r="C4193" t="s">
        <v>1376</v>
      </c>
      <c r="D4193">
        <v>576.45000000000005</v>
      </c>
    </row>
    <row r="4194" spans="1:4" x14ac:dyDescent="0.25">
      <c r="A4194" t="s">
        <v>1933</v>
      </c>
      <c r="B4194" t="s">
        <v>1330</v>
      </c>
      <c r="C4194" t="s">
        <v>1376</v>
      </c>
      <c r="D4194">
        <v>0.5</v>
      </c>
    </row>
    <row r="4195" spans="1:4" x14ac:dyDescent="0.25">
      <c r="A4195" t="s">
        <v>2029</v>
      </c>
      <c r="B4195" t="s">
        <v>1334</v>
      </c>
      <c r="C4195" t="s">
        <v>1622</v>
      </c>
      <c r="D4195">
        <v>38.5</v>
      </c>
    </row>
    <row r="4196" spans="1:4" x14ac:dyDescent="0.25">
      <c r="A4196" t="s">
        <v>1933</v>
      </c>
      <c r="B4196" t="s">
        <v>1330</v>
      </c>
      <c r="C4196" t="s">
        <v>1277</v>
      </c>
      <c r="D4196">
        <v>2.5</v>
      </c>
    </row>
    <row r="4197" spans="1:4" x14ac:dyDescent="0.25">
      <c r="A4197" t="s">
        <v>1983</v>
      </c>
      <c r="B4197" t="s">
        <v>1330</v>
      </c>
      <c r="C4197" t="s">
        <v>1277</v>
      </c>
      <c r="D4197">
        <v>2</v>
      </c>
    </row>
    <row r="4198" spans="1:4" x14ac:dyDescent="0.25">
      <c r="A4198" t="s">
        <v>1950</v>
      </c>
      <c r="B4198" t="s">
        <v>1334</v>
      </c>
      <c r="C4198" t="s">
        <v>1527</v>
      </c>
      <c r="D4198">
        <v>5.7</v>
      </c>
    </row>
    <row r="4199" spans="1:4" x14ac:dyDescent="0.25">
      <c r="A4199" t="s">
        <v>2021</v>
      </c>
      <c r="B4199" t="s">
        <v>1334</v>
      </c>
      <c r="C4199" t="s">
        <v>1527</v>
      </c>
      <c r="D4199">
        <v>100.1</v>
      </c>
    </row>
    <row r="4200" spans="1:4" x14ac:dyDescent="0.25">
      <c r="A4200" t="s">
        <v>1959</v>
      </c>
      <c r="B4200" t="s">
        <v>1335</v>
      </c>
      <c r="C4200" t="s">
        <v>1655</v>
      </c>
      <c r="D4200">
        <v>13</v>
      </c>
    </row>
    <row r="4201" spans="1:4" x14ac:dyDescent="0.25">
      <c r="A4201" t="s">
        <v>1945</v>
      </c>
      <c r="B4201" t="s">
        <v>1331</v>
      </c>
      <c r="C4201" t="s">
        <v>1655</v>
      </c>
      <c r="D4201">
        <v>1</v>
      </c>
    </row>
    <row r="4202" spans="1:4" x14ac:dyDescent="0.25">
      <c r="A4202" t="s">
        <v>1959</v>
      </c>
      <c r="B4202" t="s">
        <v>1330</v>
      </c>
      <c r="C4202" t="s">
        <v>1655</v>
      </c>
      <c r="D4202">
        <v>11</v>
      </c>
    </row>
    <row r="4203" spans="1:4" x14ac:dyDescent="0.25">
      <c r="A4203" t="s">
        <v>1913</v>
      </c>
      <c r="B4203" t="s">
        <v>1335</v>
      </c>
      <c r="C4203" t="s">
        <v>1655</v>
      </c>
      <c r="D4203">
        <v>3.85</v>
      </c>
    </row>
    <row r="4204" spans="1:4" x14ac:dyDescent="0.25">
      <c r="A4204" t="s">
        <v>2023</v>
      </c>
      <c r="B4204" t="s">
        <v>1330</v>
      </c>
      <c r="C4204" t="s">
        <v>1366</v>
      </c>
      <c r="D4204">
        <v>145.55000000000001</v>
      </c>
    </row>
    <row r="4205" spans="1:4" x14ac:dyDescent="0.25">
      <c r="A4205" t="s">
        <v>1961</v>
      </c>
      <c r="B4205" t="s">
        <v>1331</v>
      </c>
      <c r="C4205" t="s">
        <v>1366</v>
      </c>
      <c r="D4205">
        <v>386.25</v>
      </c>
    </row>
    <row r="4206" spans="1:4" x14ac:dyDescent="0.25">
      <c r="A4206" t="s">
        <v>1980</v>
      </c>
      <c r="B4206" t="s">
        <v>1331</v>
      </c>
      <c r="C4206" t="s">
        <v>1366</v>
      </c>
      <c r="D4206">
        <v>44.2</v>
      </c>
    </row>
    <row r="4207" spans="1:4" x14ac:dyDescent="0.25">
      <c r="A4207" t="s">
        <v>1921</v>
      </c>
      <c r="B4207" t="s">
        <v>1330</v>
      </c>
      <c r="C4207" t="s">
        <v>1366</v>
      </c>
      <c r="D4207">
        <v>56.6</v>
      </c>
    </row>
    <row r="4208" spans="1:4" x14ac:dyDescent="0.25">
      <c r="A4208" t="s">
        <v>1962</v>
      </c>
      <c r="B4208" t="s">
        <v>1331</v>
      </c>
      <c r="C4208" t="s">
        <v>1366</v>
      </c>
      <c r="D4208">
        <v>322</v>
      </c>
    </row>
    <row r="4209" spans="1:4" x14ac:dyDescent="0.25">
      <c r="A4209" t="s">
        <v>1927</v>
      </c>
      <c r="B4209" t="s">
        <v>1331</v>
      </c>
      <c r="C4209" t="s">
        <v>1366</v>
      </c>
      <c r="D4209">
        <v>142.44999999999999</v>
      </c>
    </row>
    <row r="4210" spans="1:4" x14ac:dyDescent="0.25">
      <c r="A4210" t="s">
        <v>1963</v>
      </c>
      <c r="B4210" t="s">
        <v>1331</v>
      </c>
      <c r="C4210" t="s">
        <v>1366</v>
      </c>
      <c r="D4210">
        <v>23.1</v>
      </c>
    </row>
    <row r="4211" spans="1:4" x14ac:dyDescent="0.25">
      <c r="A4211" t="s">
        <v>2025</v>
      </c>
      <c r="B4211" t="s">
        <v>1334</v>
      </c>
      <c r="C4211" t="s">
        <v>1366</v>
      </c>
      <c r="D4211">
        <v>126</v>
      </c>
    </row>
    <row r="4212" spans="1:4" x14ac:dyDescent="0.25">
      <c r="A4212" t="s">
        <v>1904</v>
      </c>
      <c r="B4212" t="s">
        <v>1331</v>
      </c>
      <c r="C4212" t="s">
        <v>1366</v>
      </c>
      <c r="D4212">
        <v>588.70000000000005</v>
      </c>
    </row>
    <row r="4213" spans="1:4" x14ac:dyDescent="0.25">
      <c r="A4213" t="s">
        <v>2021</v>
      </c>
      <c r="B4213" t="s">
        <v>1334</v>
      </c>
      <c r="C4213" t="s">
        <v>1366</v>
      </c>
      <c r="D4213">
        <v>3</v>
      </c>
    </row>
    <row r="4214" spans="1:4" x14ac:dyDescent="0.25">
      <c r="A4214" t="s">
        <v>1987</v>
      </c>
      <c r="B4214" t="s">
        <v>1331</v>
      </c>
      <c r="C4214" t="s">
        <v>1581</v>
      </c>
      <c r="D4214">
        <v>64.72</v>
      </c>
    </row>
    <row r="4215" spans="1:4" x14ac:dyDescent="0.25">
      <c r="A4215" t="s">
        <v>1921</v>
      </c>
      <c r="B4215" t="s">
        <v>1330</v>
      </c>
      <c r="C4215" t="s">
        <v>1566</v>
      </c>
      <c r="D4215">
        <v>72.7</v>
      </c>
    </row>
    <row r="4216" spans="1:4" x14ac:dyDescent="0.25">
      <c r="A4216" t="s">
        <v>1939</v>
      </c>
      <c r="B4216" t="s">
        <v>1331</v>
      </c>
      <c r="C4216" t="s">
        <v>1866</v>
      </c>
      <c r="D4216">
        <v>1.5</v>
      </c>
    </row>
    <row r="4217" spans="1:4" x14ac:dyDescent="0.25">
      <c r="A4217" t="s">
        <v>1945</v>
      </c>
      <c r="B4217" t="s">
        <v>1331</v>
      </c>
      <c r="C4217" t="s">
        <v>1689</v>
      </c>
      <c r="D4217">
        <v>2</v>
      </c>
    </row>
    <row r="4218" spans="1:4" x14ac:dyDescent="0.25">
      <c r="A4218" t="s">
        <v>1959</v>
      </c>
      <c r="B4218" t="s">
        <v>1330</v>
      </c>
      <c r="C4218" t="s">
        <v>1689</v>
      </c>
      <c r="D4218">
        <v>20</v>
      </c>
    </row>
    <row r="4219" spans="1:4" x14ac:dyDescent="0.25">
      <c r="A4219" t="s">
        <v>1959</v>
      </c>
      <c r="B4219" t="s">
        <v>1330</v>
      </c>
      <c r="C4219" t="s">
        <v>1714</v>
      </c>
      <c r="D4219">
        <v>16</v>
      </c>
    </row>
    <row r="4220" spans="1:4" x14ac:dyDescent="0.25">
      <c r="A4220" t="s">
        <v>2021</v>
      </c>
      <c r="B4220" t="s">
        <v>1334</v>
      </c>
      <c r="C4220" t="s">
        <v>1438</v>
      </c>
      <c r="D4220">
        <v>227.45</v>
      </c>
    </row>
    <row r="4221" spans="1:4" x14ac:dyDescent="0.25">
      <c r="A4221" t="s">
        <v>1923</v>
      </c>
      <c r="B4221" t="s">
        <v>1331</v>
      </c>
      <c r="C4221" t="s">
        <v>1438</v>
      </c>
      <c r="D4221">
        <v>92.7</v>
      </c>
    </row>
    <row r="4222" spans="1:4" x14ac:dyDescent="0.25">
      <c r="A4222" t="s">
        <v>1929</v>
      </c>
      <c r="B4222" t="s">
        <v>1331</v>
      </c>
      <c r="C4222" t="s">
        <v>1537</v>
      </c>
      <c r="D4222">
        <v>95</v>
      </c>
    </row>
    <row r="4223" spans="1:4" x14ac:dyDescent="0.25">
      <c r="A4223" t="s">
        <v>1959</v>
      </c>
      <c r="B4223" t="s">
        <v>1330</v>
      </c>
      <c r="C4223" t="s">
        <v>1799</v>
      </c>
      <c r="D4223">
        <v>6</v>
      </c>
    </row>
    <row r="4224" spans="1:4" x14ac:dyDescent="0.25">
      <c r="A4224" t="s">
        <v>1923</v>
      </c>
      <c r="B4224" t="s">
        <v>1331</v>
      </c>
      <c r="C4224" t="s">
        <v>1349</v>
      </c>
      <c r="D4224">
        <v>1856.97</v>
      </c>
    </row>
    <row r="4225" spans="1:4" x14ac:dyDescent="0.25">
      <c r="A4225" t="s">
        <v>1929</v>
      </c>
      <c r="B4225" t="s">
        <v>1331</v>
      </c>
      <c r="C4225" t="s">
        <v>1349</v>
      </c>
      <c r="D4225">
        <v>613.1</v>
      </c>
    </row>
    <row r="4226" spans="1:4" x14ac:dyDescent="0.25">
      <c r="A4226" t="s">
        <v>1960</v>
      </c>
      <c r="B4226" t="s">
        <v>1331</v>
      </c>
      <c r="C4226" t="s">
        <v>1349</v>
      </c>
      <c r="D4226">
        <v>1605.9</v>
      </c>
    </row>
    <row r="4227" spans="1:4" x14ac:dyDescent="0.25">
      <c r="A4227" t="s">
        <v>1959</v>
      </c>
      <c r="B4227" t="s">
        <v>1335</v>
      </c>
      <c r="C4227" t="s">
        <v>1349</v>
      </c>
      <c r="D4227">
        <v>31</v>
      </c>
    </row>
    <row r="4228" spans="1:4" x14ac:dyDescent="0.25">
      <c r="A4228" t="s">
        <v>1959</v>
      </c>
      <c r="B4228" t="s">
        <v>1330</v>
      </c>
      <c r="C4228" t="s">
        <v>1850</v>
      </c>
      <c r="D4228">
        <v>2</v>
      </c>
    </row>
    <row r="4229" spans="1:4" x14ac:dyDescent="0.25">
      <c r="A4229" t="s">
        <v>1920</v>
      </c>
      <c r="B4229" t="s">
        <v>1331</v>
      </c>
      <c r="C4229" t="s">
        <v>1776</v>
      </c>
      <c r="D4229">
        <v>8</v>
      </c>
    </row>
    <row r="4230" spans="1:4" x14ac:dyDescent="0.25">
      <c r="A4230" t="s">
        <v>1927</v>
      </c>
      <c r="B4230" t="s">
        <v>1331</v>
      </c>
      <c r="C4230" t="s">
        <v>1464</v>
      </c>
      <c r="D4230">
        <v>15.4</v>
      </c>
    </row>
    <row r="4231" spans="1:4" x14ac:dyDescent="0.25">
      <c r="A4231" t="s">
        <v>1959</v>
      </c>
      <c r="B4231" t="s">
        <v>1335</v>
      </c>
      <c r="C4231" t="s">
        <v>1464</v>
      </c>
      <c r="D4231">
        <v>163.4</v>
      </c>
    </row>
    <row r="4232" spans="1:4" x14ac:dyDescent="0.25">
      <c r="A4232" t="s">
        <v>1902</v>
      </c>
      <c r="B4232" t="s">
        <v>1335</v>
      </c>
      <c r="C4232" t="s">
        <v>1464</v>
      </c>
      <c r="D4232">
        <v>11.25</v>
      </c>
    </row>
    <row r="4233" spans="1:4" x14ac:dyDescent="0.25">
      <c r="A4233" t="s">
        <v>1945</v>
      </c>
      <c r="B4233" t="s">
        <v>1331</v>
      </c>
      <c r="C4233" t="s">
        <v>1464</v>
      </c>
      <c r="D4233">
        <v>3</v>
      </c>
    </row>
    <row r="4234" spans="1:4" x14ac:dyDescent="0.25">
      <c r="A4234" t="s">
        <v>1959</v>
      </c>
      <c r="B4234" t="s">
        <v>1330</v>
      </c>
      <c r="C4234" t="s">
        <v>1464</v>
      </c>
      <c r="D4234">
        <v>32.700000000000003</v>
      </c>
    </row>
    <row r="4235" spans="1:4" x14ac:dyDescent="0.25">
      <c r="A4235" t="s">
        <v>1945</v>
      </c>
      <c r="B4235" t="s">
        <v>1331</v>
      </c>
      <c r="C4235" t="s">
        <v>1769</v>
      </c>
      <c r="D4235">
        <v>8.6999999999999993</v>
      </c>
    </row>
    <row r="4236" spans="1:4" x14ac:dyDescent="0.25">
      <c r="A4236" t="s">
        <v>1971</v>
      </c>
      <c r="B4236" t="s">
        <v>1330</v>
      </c>
      <c r="C4236" t="s">
        <v>1546</v>
      </c>
      <c r="D4236">
        <v>14.2</v>
      </c>
    </row>
    <row r="4237" spans="1:4" x14ac:dyDescent="0.25">
      <c r="A4237" t="s">
        <v>1921</v>
      </c>
      <c r="B4237" t="s">
        <v>1330</v>
      </c>
      <c r="C4237" t="s">
        <v>1546</v>
      </c>
      <c r="D4237">
        <v>71</v>
      </c>
    </row>
    <row r="4238" spans="1:4" x14ac:dyDescent="0.25">
      <c r="A4238" t="s">
        <v>1981</v>
      </c>
      <c r="B4238" t="s">
        <v>1331</v>
      </c>
      <c r="C4238" t="s">
        <v>1280</v>
      </c>
      <c r="D4238">
        <v>275.75</v>
      </c>
    </row>
    <row r="4239" spans="1:4" x14ac:dyDescent="0.25">
      <c r="A4239" t="s">
        <v>1933</v>
      </c>
      <c r="B4239" t="s">
        <v>1331</v>
      </c>
      <c r="C4239" t="s">
        <v>1280</v>
      </c>
      <c r="D4239">
        <v>1</v>
      </c>
    </row>
    <row r="4240" spans="1:4" x14ac:dyDescent="0.25">
      <c r="A4240" t="s">
        <v>1907</v>
      </c>
      <c r="B4240" t="s">
        <v>1335</v>
      </c>
      <c r="C4240" t="s">
        <v>1280</v>
      </c>
      <c r="D4240">
        <v>5.4</v>
      </c>
    </row>
    <row r="4241" spans="1:4" x14ac:dyDescent="0.25">
      <c r="A4241" t="s">
        <v>1981</v>
      </c>
      <c r="B4241" t="s">
        <v>1334</v>
      </c>
      <c r="C4241" t="s">
        <v>1280</v>
      </c>
      <c r="D4241">
        <v>53.75</v>
      </c>
    </row>
    <row r="4242" spans="1:4" x14ac:dyDescent="0.25">
      <c r="A4242" t="s">
        <v>1981</v>
      </c>
      <c r="B4242" t="s">
        <v>1330</v>
      </c>
      <c r="C4242" t="s">
        <v>1280</v>
      </c>
      <c r="D4242">
        <v>6.7</v>
      </c>
    </row>
    <row r="4243" spans="1:4" x14ac:dyDescent="0.25">
      <c r="A4243" t="s">
        <v>1933</v>
      </c>
      <c r="B4243" t="s">
        <v>1330</v>
      </c>
      <c r="C4243" t="s">
        <v>1280</v>
      </c>
      <c r="D4243">
        <v>77.849999999999994</v>
      </c>
    </row>
    <row r="4244" spans="1:4" x14ac:dyDescent="0.25">
      <c r="A4244" t="s">
        <v>1904</v>
      </c>
      <c r="B4244" t="s">
        <v>1331</v>
      </c>
      <c r="C4244" t="s">
        <v>1280</v>
      </c>
      <c r="D4244">
        <v>23</v>
      </c>
    </row>
    <row r="4245" spans="1:4" x14ac:dyDescent="0.25">
      <c r="A4245" t="s">
        <v>1974</v>
      </c>
      <c r="B4245" t="s">
        <v>1330</v>
      </c>
      <c r="C4245" t="s">
        <v>1280</v>
      </c>
      <c r="D4245">
        <v>3</v>
      </c>
    </row>
    <row r="4246" spans="1:4" x14ac:dyDescent="0.25">
      <c r="A4246" t="s">
        <v>1983</v>
      </c>
      <c r="B4246" t="s">
        <v>1335</v>
      </c>
      <c r="C4246" t="s">
        <v>1280</v>
      </c>
      <c r="D4246">
        <v>35.049999999999997</v>
      </c>
    </row>
    <row r="4247" spans="1:4" x14ac:dyDescent="0.25">
      <c r="A4247" t="s">
        <v>1958</v>
      </c>
      <c r="B4247" t="s">
        <v>1335</v>
      </c>
      <c r="C4247" t="s">
        <v>1280</v>
      </c>
      <c r="D4247">
        <v>17.7</v>
      </c>
    </row>
    <row r="4248" spans="1:4" x14ac:dyDescent="0.25">
      <c r="A4248" t="s">
        <v>1965</v>
      </c>
      <c r="B4248" t="s">
        <v>1331</v>
      </c>
      <c r="C4248" t="s">
        <v>1280</v>
      </c>
      <c r="D4248">
        <v>431.7</v>
      </c>
    </row>
    <row r="4249" spans="1:4" x14ac:dyDescent="0.25">
      <c r="A4249" t="s">
        <v>1950</v>
      </c>
      <c r="B4249" t="s">
        <v>1334</v>
      </c>
      <c r="C4249" t="s">
        <v>1280</v>
      </c>
      <c r="D4249">
        <v>20.7</v>
      </c>
    </row>
    <row r="4250" spans="1:4" x14ac:dyDescent="0.25">
      <c r="A4250" t="s">
        <v>1968</v>
      </c>
      <c r="B4250" t="s">
        <v>1331</v>
      </c>
      <c r="C4250" t="s">
        <v>1280</v>
      </c>
      <c r="D4250">
        <v>41.7</v>
      </c>
    </row>
    <row r="4251" spans="1:4" x14ac:dyDescent="0.25">
      <c r="A4251" t="s">
        <v>1927</v>
      </c>
      <c r="B4251" t="s">
        <v>1331</v>
      </c>
      <c r="C4251" t="s">
        <v>1280</v>
      </c>
      <c r="D4251">
        <v>361.9</v>
      </c>
    </row>
    <row r="4252" spans="1:4" x14ac:dyDescent="0.25">
      <c r="A4252" t="s">
        <v>1929</v>
      </c>
      <c r="B4252" t="s">
        <v>1331</v>
      </c>
      <c r="C4252" t="s">
        <v>1676</v>
      </c>
      <c r="D4252">
        <v>9</v>
      </c>
    </row>
    <row r="4253" spans="1:4" x14ac:dyDescent="0.25">
      <c r="A4253" t="s">
        <v>1969</v>
      </c>
      <c r="B4253" t="s">
        <v>1331</v>
      </c>
      <c r="C4253" t="s">
        <v>1676</v>
      </c>
      <c r="D4253">
        <v>15.4</v>
      </c>
    </row>
    <row r="4254" spans="1:4" x14ac:dyDescent="0.25">
      <c r="A4254" t="s">
        <v>2019</v>
      </c>
      <c r="B4254" t="s">
        <v>1334</v>
      </c>
      <c r="C4254" t="s">
        <v>1453</v>
      </c>
      <c r="D4254">
        <v>3.7</v>
      </c>
    </row>
    <row r="4255" spans="1:4" x14ac:dyDescent="0.25">
      <c r="A4255" t="s">
        <v>2021</v>
      </c>
      <c r="B4255" t="s">
        <v>1334</v>
      </c>
      <c r="C4255" t="s">
        <v>1453</v>
      </c>
      <c r="D4255">
        <v>247.2</v>
      </c>
    </row>
    <row r="4256" spans="1:4" x14ac:dyDescent="0.25">
      <c r="A4256" t="s">
        <v>1972</v>
      </c>
      <c r="B4256" t="s">
        <v>1334</v>
      </c>
      <c r="C4256" t="s">
        <v>1474</v>
      </c>
      <c r="D4256">
        <v>16.100000000000001</v>
      </c>
    </row>
    <row r="4257" spans="1:4" x14ac:dyDescent="0.25">
      <c r="A4257" t="s">
        <v>2019</v>
      </c>
      <c r="B4257" t="s">
        <v>1334</v>
      </c>
      <c r="C4257" t="s">
        <v>1474</v>
      </c>
      <c r="D4257">
        <v>13.7</v>
      </c>
    </row>
    <row r="4258" spans="1:4" x14ac:dyDescent="0.25">
      <c r="A4258" t="s">
        <v>2021</v>
      </c>
      <c r="B4258" t="s">
        <v>1334</v>
      </c>
      <c r="C4258" t="s">
        <v>1474</v>
      </c>
      <c r="D4258">
        <v>161.16999999999999</v>
      </c>
    </row>
    <row r="4259" spans="1:4" x14ac:dyDescent="0.25">
      <c r="A4259" t="s">
        <v>1981</v>
      </c>
      <c r="B4259" t="s">
        <v>1331</v>
      </c>
      <c r="C4259" t="s">
        <v>1781</v>
      </c>
      <c r="D4259">
        <v>7.7</v>
      </c>
    </row>
    <row r="4260" spans="1:4" x14ac:dyDescent="0.25">
      <c r="A4260" t="s">
        <v>1913</v>
      </c>
      <c r="B4260" t="s">
        <v>1335</v>
      </c>
      <c r="C4260" t="s">
        <v>1528</v>
      </c>
      <c r="D4260">
        <v>5.5</v>
      </c>
    </row>
    <row r="4261" spans="1:4" x14ac:dyDescent="0.25">
      <c r="A4261" t="s">
        <v>2020</v>
      </c>
      <c r="B4261" t="s">
        <v>1334</v>
      </c>
      <c r="C4261" t="s">
        <v>1528</v>
      </c>
      <c r="D4261">
        <v>13</v>
      </c>
    </row>
    <row r="4262" spans="1:4" x14ac:dyDescent="0.25">
      <c r="A4262" t="s">
        <v>1963</v>
      </c>
      <c r="B4262" t="s">
        <v>1331</v>
      </c>
      <c r="C4262" t="s">
        <v>1528</v>
      </c>
      <c r="D4262">
        <v>84.7</v>
      </c>
    </row>
    <row r="4263" spans="1:4" x14ac:dyDescent="0.25">
      <c r="A4263" t="s">
        <v>1959</v>
      </c>
      <c r="B4263" t="s">
        <v>1335</v>
      </c>
      <c r="C4263" t="s">
        <v>1699</v>
      </c>
      <c r="D4263">
        <v>16</v>
      </c>
    </row>
    <row r="4264" spans="1:4" x14ac:dyDescent="0.25">
      <c r="A4264" t="s">
        <v>1902</v>
      </c>
      <c r="B4264" t="s">
        <v>1335</v>
      </c>
      <c r="C4264" t="s">
        <v>1699</v>
      </c>
      <c r="D4264">
        <v>3.85</v>
      </c>
    </row>
    <row r="4265" spans="1:4" x14ac:dyDescent="0.25">
      <c r="A4265" t="s">
        <v>1959</v>
      </c>
      <c r="B4265" t="s">
        <v>1330</v>
      </c>
      <c r="C4265" t="s">
        <v>1565</v>
      </c>
      <c r="D4265">
        <v>2</v>
      </c>
    </row>
    <row r="4266" spans="1:4" x14ac:dyDescent="0.25">
      <c r="A4266" t="s">
        <v>1959</v>
      </c>
      <c r="B4266" t="s">
        <v>1335</v>
      </c>
      <c r="C4266" t="s">
        <v>1565</v>
      </c>
      <c r="D4266">
        <v>73</v>
      </c>
    </row>
    <row r="4267" spans="1:4" x14ac:dyDescent="0.25">
      <c r="A4267" t="s">
        <v>1945</v>
      </c>
      <c r="B4267" t="s">
        <v>1331</v>
      </c>
      <c r="C4267" t="s">
        <v>1766</v>
      </c>
      <c r="D4267">
        <v>9</v>
      </c>
    </row>
    <row r="4268" spans="1:4" x14ac:dyDescent="0.25">
      <c r="A4268" t="s">
        <v>1981</v>
      </c>
      <c r="B4268" t="s">
        <v>1331</v>
      </c>
      <c r="C4268" t="s">
        <v>1286</v>
      </c>
      <c r="D4268">
        <v>62.95</v>
      </c>
    </row>
    <row r="4269" spans="1:4" x14ac:dyDescent="0.25">
      <c r="A4269" t="s">
        <v>1973</v>
      </c>
      <c r="B4269" t="s">
        <v>1331</v>
      </c>
      <c r="C4269" t="s">
        <v>1286</v>
      </c>
      <c r="D4269">
        <v>14.1</v>
      </c>
    </row>
    <row r="4270" spans="1:4" x14ac:dyDescent="0.25">
      <c r="A4270" t="s">
        <v>1933</v>
      </c>
      <c r="B4270" t="s">
        <v>1330</v>
      </c>
      <c r="C4270" t="s">
        <v>1286</v>
      </c>
      <c r="D4270">
        <v>4.55</v>
      </c>
    </row>
    <row r="4271" spans="1:4" x14ac:dyDescent="0.25">
      <c r="A4271" t="s">
        <v>1927</v>
      </c>
      <c r="B4271" t="s">
        <v>1331</v>
      </c>
      <c r="C4271" t="s">
        <v>1286</v>
      </c>
      <c r="D4271">
        <v>50.05</v>
      </c>
    </row>
    <row r="4272" spans="1:4" x14ac:dyDescent="0.25">
      <c r="A4272" t="s">
        <v>1962</v>
      </c>
      <c r="B4272" t="s">
        <v>1331</v>
      </c>
      <c r="C4272" t="s">
        <v>1286</v>
      </c>
      <c r="D4272">
        <v>34.799999999999997</v>
      </c>
    </row>
    <row r="4273" spans="1:4" x14ac:dyDescent="0.25">
      <c r="A4273" t="s">
        <v>1935</v>
      </c>
      <c r="B4273" t="s">
        <v>1331</v>
      </c>
      <c r="C4273" t="s">
        <v>1286</v>
      </c>
      <c r="D4273">
        <v>45</v>
      </c>
    </row>
    <row r="4274" spans="1:4" x14ac:dyDescent="0.25">
      <c r="A4274" t="s">
        <v>1935</v>
      </c>
      <c r="B4274" t="s">
        <v>1331</v>
      </c>
      <c r="C4274" t="s">
        <v>1289</v>
      </c>
      <c r="D4274">
        <v>39.5</v>
      </c>
    </row>
    <row r="4275" spans="1:4" x14ac:dyDescent="0.25">
      <c r="A4275" t="s">
        <v>1933</v>
      </c>
      <c r="B4275" t="s">
        <v>1330</v>
      </c>
      <c r="C4275" t="s">
        <v>1289</v>
      </c>
      <c r="D4275">
        <v>21.4</v>
      </c>
    </row>
    <row r="4276" spans="1:4" x14ac:dyDescent="0.25">
      <c r="A4276" t="s">
        <v>1962</v>
      </c>
      <c r="B4276" t="s">
        <v>1331</v>
      </c>
      <c r="C4276" t="s">
        <v>1289</v>
      </c>
      <c r="D4276">
        <v>21.1</v>
      </c>
    </row>
    <row r="4277" spans="1:4" x14ac:dyDescent="0.25">
      <c r="A4277" t="s">
        <v>1960</v>
      </c>
      <c r="B4277" t="s">
        <v>1331</v>
      </c>
      <c r="C4277" t="s">
        <v>1289</v>
      </c>
      <c r="D4277">
        <v>18.899999999999999</v>
      </c>
    </row>
    <row r="4278" spans="1:4" x14ac:dyDescent="0.25">
      <c r="A4278" t="s">
        <v>1981</v>
      </c>
      <c r="B4278" t="s">
        <v>1331</v>
      </c>
      <c r="C4278" t="s">
        <v>1289</v>
      </c>
      <c r="D4278">
        <v>143.30000000000001</v>
      </c>
    </row>
    <row r="4279" spans="1:4" x14ac:dyDescent="0.25">
      <c r="A4279" t="s">
        <v>1927</v>
      </c>
      <c r="B4279" t="s">
        <v>1331</v>
      </c>
      <c r="C4279" t="s">
        <v>1289</v>
      </c>
      <c r="D4279">
        <v>92.4</v>
      </c>
    </row>
    <row r="4280" spans="1:4" x14ac:dyDescent="0.25">
      <c r="A4280" t="s">
        <v>1973</v>
      </c>
      <c r="B4280" t="s">
        <v>1331</v>
      </c>
      <c r="C4280" t="s">
        <v>1289</v>
      </c>
      <c r="D4280">
        <v>15</v>
      </c>
    </row>
    <row r="4281" spans="1:4" x14ac:dyDescent="0.25">
      <c r="A4281" t="s">
        <v>1959</v>
      </c>
      <c r="B4281" t="s">
        <v>1330</v>
      </c>
      <c r="C4281" t="s">
        <v>1707</v>
      </c>
      <c r="D4281">
        <v>6.5</v>
      </c>
    </row>
    <row r="4282" spans="1:4" x14ac:dyDescent="0.25">
      <c r="A4282" t="s">
        <v>1959</v>
      </c>
      <c r="B4282" t="s">
        <v>1335</v>
      </c>
      <c r="C4282" t="s">
        <v>1707</v>
      </c>
      <c r="D4282">
        <v>11</v>
      </c>
    </row>
    <row r="4283" spans="1:4" x14ac:dyDescent="0.25">
      <c r="A4283" t="s">
        <v>1972</v>
      </c>
      <c r="B4283" t="s">
        <v>1334</v>
      </c>
      <c r="C4283" t="s">
        <v>1447</v>
      </c>
      <c r="D4283">
        <v>28.1</v>
      </c>
    </row>
    <row r="4284" spans="1:4" x14ac:dyDescent="0.25">
      <c r="A4284" t="s">
        <v>2019</v>
      </c>
      <c r="B4284" t="s">
        <v>1334</v>
      </c>
      <c r="C4284" t="s">
        <v>1447</v>
      </c>
      <c r="D4284">
        <v>245.8</v>
      </c>
    </row>
    <row r="4285" spans="1:4" x14ac:dyDescent="0.25">
      <c r="A4285" t="s">
        <v>1921</v>
      </c>
      <c r="B4285" t="s">
        <v>1330</v>
      </c>
      <c r="C4285" t="s">
        <v>1611</v>
      </c>
      <c r="D4285">
        <v>35.5</v>
      </c>
    </row>
    <row r="4286" spans="1:4" x14ac:dyDescent="0.25">
      <c r="A4286" t="s">
        <v>1959</v>
      </c>
      <c r="B4286" t="s">
        <v>1330</v>
      </c>
      <c r="C4286" t="s">
        <v>1611</v>
      </c>
      <c r="D4286">
        <v>8</v>
      </c>
    </row>
    <row r="4287" spans="1:4" x14ac:dyDescent="0.25">
      <c r="A4287" t="s">
        <v>1935</v>
      </c>
      <c r="B4287" t="s">
        <v>1331</v>
      </c>
      <c r="C4287" t="s">
        <v>1293</v>
      </c>
      <c r="D4287">
        <v>45</v>
      </c>
    </row>
    <row r="4288" spans="1:4" x14ac:dyDescent="0.25">
      <c r="A4288" t="s">
        <v>1904</v>
      </c>
      <c r="B4288" t="s">
        <v>1331</v>
      </c>
      <c r="C4288" t="s">
        <v>1293</v>
      </c>
      <c r="D4288">
        <v>65</v>
      </c>
    </row>
    <row r="4289" spans="1:4" x14ac:dyDescent="0.25">
      <c r="A4289" t="s">
        <v>1923</v>
      </c>
      <c r="B4289" t="s">
        <v>1331</v>
      </c>
      <c r="C4289" t="s">
        <v>1293</v>
      </c>
      <c r="D4289">
        <v>2</v>
      </c>
    </row>
    <row r="4290" spans="1:4" x14ac:dyDescent="0.25">
      <c r="A4290" t="s">
        <v>1927</v>
      </c>
      <c r="B4290" t="s">
        <v>1331</v>
      </c>
      <c r="C4290" t="s">
        <v>1293</v>
      </c>
      <c r="D4290">
        <v>104.8</v>
      </c>
    </row>
    <row r="4291" spans="1:4" x14ac:dyDescent="0.25">
      <c r="A4291" t="s">
        <v>1973</v>
      </c>
      <c r="B4291" t="s">
        <v>1331</v>
      </c>
      <c r="C4291" t="s">
        <v>1293</v>
      </c>
      <c r="D4291">
        <v>14.1</v>
      </c>
    </row>
    <row r="4292" spans="1:4" x14ac:dyDescent="0.25">
      <c r="A4292" t="s">
        <v>2010</v>
      </c>
      <c r="B4292" t="s">
        <v>1331</v>
      </c>
      <c r="C4292" t="s">
        <v>1293</v>
      </c>
      <c r="D4292">
        <v>12</v>
      </c>
    </row>
    <row r="4293" spans="1:4" x14ac:dyDescent="0.25">
      <c r="A4293" t="s">
        <v>1962</v>
      </c>
      <c r="B4293" t="s">
        <v>1331</v>
      </c>
      <c r="C4293" t="s">
        <v>1293</v>
      </c>
      <c r="D4293">
        <v>21.1</v>
      </c>
    </row>
    <row r="4294" spans="1:4" x14ac:dyDescent="0.25">
      <c r="A4294" t="s">
        <v>1933</v>
      </c>
      <c r="B4294" t="s">
        <v>1330</v>
      </c>
      <c r="C4294" t="s">
        <v>1293</v>
      </c>
      <c r="D4294">
        <v>20.95</v>
      </c>
    </row>
    <row r="4295" spans="1:4" x14ac:dyDescent="0.25">
      <c r="A4295" t="s">
        <v>1960</v>
      </c>
      <c r="B4295" t="s">
        <v>1331</v>
      </c>
      <c r="C4295" t="s">
        <v>1293</v>
      </c>
      <c r="D4295">
        <v>7.3</v>
      </c>
    </row>
    <row r="4296" spans="1:4" x14ac:dyDescent="0.25">
      <c r="A4296" t="s">
        <v>1981</v>
      </c>
      <c r="B4296" t="s">
        <v>1331</v>
      </c>
      <c r="C4296" t="s">
        <v>1293</v>
      </c>
      <c r="D4296">
        <v>185.65</v>
      </c>
    </row>
    <row r="4297" spans="1:4" x14ac:dyDescent="0.25">
      <c r="A4297" t="s">
        <v>1921</v>
      </c>
      <c r="B4297" t="s">
        <v>1330</v>
      </c>
      <c r="C4297" t="s">
        <v>1570</v>
      </c>
      <c r="D4297">
        <v>70</v>
      </c>
    </row>
    <row r="4298" spans="1:4" x14ac:dyDescent="0.25">
      <c r="A4298" t="s">
        <v>2020</v>
      </c>
      <c r="B4298" t="s">
        <v>1334</v>
      </c>
      <c r="C4298" t="s">
        <v>1701</v>
      </c>
      <c r="D4298">
        <v>19.399999999999999</v>
      </c>
    </row>
    <row r="4299" spans="1:4" x14ac:dyDescent="0.25">
      <c r="A4299" t="s">
        <v>1921</v>
      </c>
      <c r="B4299" t="s">
        <v>1330</v>
      </c>
      <c r="C4299" t="s">
        <v>1465</v>
      </c>
      <c r="D4299">
        <v>35.5</v>
      </c>
    </row>
    <row r="4300" spans="1:4" x14ac:dyDescent="0.25">
      <c r="A4300" t="s">
        <v>1973</v>
      </c>
      <c r="B4300" t="s">
        <v>1331</v>
      </c>
      <c r="C4300" t="s">
        <v>1465</v>
      </c>
      <c r="D4300">
        <v>13.25</v>
      </c>
    </row>
    <row r="4301" spans="1:4" x14ac:dyDescent="0.25">
      <c r="A4301" t="s">
        <v>1911</v>
      </c>
      <c r="B4301" t="s">
        <v>1335</v>
      </c>
      <c r="C4301" t="s">
        <v>1465</v>
      </c>
      <c r="D4301">
        <v>21.1</v>
      </c>
    </row>
    <row r="4302" spans="1:4" x14ac:dyDescent="0.25">
      <c r="A4302" t="s">
        <v>1902</v>
      </c>
      <c r="B4302" t="s">
        <v>1335</v>
      </c>
      <c r="C4302" t="s">
        <v>1465</v>
      </c>
      <c r="D4302">
        <v>6</v>
      </c>
    </row>
    <row r="4303" spans="1:4" x14ac:dyDescent="0.25">
      <c r="A4303" t="s">
        <v>1939</v>
      </c>
      <c r="B4303" t="s">
        <v>1331</v>
      </c>
      <c r="C4303" t="s">
        <v>1465</v>
      </c>
      <c r="D4303">
        <v>147</v>
      </c>
    </row>
    <row r="4304" spans="1:4" x14ac:dyDescent="0.25">
      <c r="A4304" t="s">
        <v>2026</v>
      </c>
      <c r="B4304" t="s">
        <v>1334</v>
      </c>
      <c r="C4304" t="s">
        <v>1403</v>
      </c>
      <c r="D4304">
        <v>60</v>
      </c>
    </row>
    <row r="4305" spans="1:4" x14ac:dyDescent="0.25">
      <c r="A4305" t="s">
        <v>2027</v>
      </c>
      <c r="B4305" t="s">
        <v>1331</v>
      </c>
      <c r="C4305" t="s">
        <v>1403</v>
      </c>
      <c r="D4305">
        <v>42.35</v>
      </c>
    </row>
    <row r="4306" spans="1:4" x14ac:dyDescent="0.25">
      <c r="A4306" t="s">
        <v>2024</v>
      </c>
      <c r="B4306" t="s">
        <v>1334</v>
      </c>
      <c r="C4306" t="s">
        <v>1403</v>
      </c>
      <c r="D4306">
        <v>467.75</v>
      </c>
    </row>
    <row r="4307" spans="1:4" x14ac:dyDescent="0.25">
      <c r="A4307" t="s">
        <v>2029</v>
      </c>
      <c r="B4307" t="s">
        <v>1334</v>
      </c>
      <c r="C4307" t="s">
        <v>1403</v>
      </c>
      <c r="D4307">
        <v>95.4</v>
      </c>
    </row>
    <row r="4308" spans="1:4" x14ac:dyDescent="0.25">
      <c r="A4308" t="s">
        <v>1959</v>
      </c>
      <c r="B4308" t="s">
        <v>1330</v>
      </c>
      <c r="C4308" t="s">
        <v>1646</v>
      </c>
      <c r="D4308">
        <v>3</v>
      </c>
    </row>
    <row r="4309" spans="1:4" x14ac:dyDescent="0.25">
      <c r="A4309" t="s">
        <v>1945</v>
      </c>
      <c r="B4309" t="s">
        <v>1331</v>
      </c>
      <c r="C4309" t="s">
        <v>1646</v>
      </c>
      <c r="D4309">
        <v>1</v>
      </c>
    </row>
    <row r="4310" spans="1:4" x14ac:dyDescent="0.25">
      <c r="A4310" t="s">
        <v>1959</v>
      </c>
      <c r="B4310" t="s">
        <v>1335</v>
      </c>
      <c r="C4310" t="s">
        <v>1646</v>
      </c>
      <c r="D4310">
        <v>26</v>
      </c>
    </row>
    <row r="4311" spans="1:4" x14ac:dyDescent="0.25">
      <c r="A4311" t="s">
        <v>1945</v>
      </c>
      <c r="B4311" t="s">
        <v>1331</v>
      </c>
      <c r="C4311" t="s">
        <v>1851</v>
      </c>
      <c r="D4311">
        <v>2</v>
      </c>
    </row>
    <row r="4312" spans="1:4" x14ac:dyDescent="0.25">
      <c r="A4312" t="s">
        <v>1913</v>
      </c>
      <c r="B4312" t="s">
        <v>1335</v>
      </c>
      <c r="C4312" t="s">
        <v>1511</v>
      </c>
      <c r="D4312">
        <v>24.95</v>
      </c>
    </row>
    <row r="4313" spans="1:4" x14ac:dyDescent="0.25">
      <c r="A4313" t="s">
        <v>1902</v>
      </c>
      <c r="B4313" t="s">
        <v>1335</v>
      </c>
      <c r="C4313" t="s">
        <v>1511</v>
      </c>
      <c r="D4313">
        <v>12.7</v>
      </c>
    </row>
    <row r="4314" spans="1:4" x14ac:dyDescent="0.25">
      <c r="A4314" t="s">
        <v>1911</v>
      </c>
      <c r="B4314" t="s">
        <v>1335</v>
      </c>
      <c r="C4314" t="s">
        <v>1511</v>
      </c>
      <c r="D4314">
        <v>5.5</v>
      </c>
    </row>
    <row r="4315" spans="1:4" x14ac:dyDescent="0.25">
      <c r="A4315" t="s">
        <v>1945</v>
      </c>
      <c r="B4315" t="s">
        <v>1331</v>
      </c>
      <c r="C4315" t="s">
        <v>1511</v>
      </c>
      <c r="D4315">
        <v>41</v>
      </c>
    </row>
    <row r="4316" spans="1:4" x14ac:dyDescent="0.25">
      <c r="A4316" t="s">
        <v>1959</v>
      </c>
      <c r="B4316" t="s">
        <v>1335</v>
      </c>
      <c r="C4316" t="s">
        <v>1511</v>
      </c>
      <c r="D4316">
        <v>37.700000000000003</v>
      </c>
    </row>
    <row r="4317" spans="1:4" x14ac:dyDescent="0.25">
      <c r="A4317" t="s">
        <v>1945</v>
      </c>
      <c r="B4317" t="s">
        <v>1331</v>
      </c>
      <c r="C4317" t="s">
        <v>1810</v>
      </c>
      <c r="D4317">
        <v>5</v>
      </c>
    </row>
    <row r="4318" spans="1:4" x14ac:dyDescent="0.25">
      <c r="A4318" t="s">
        <v>1960</v>
      </c>
      <c r="B4318" t="s">
        <v>1331</v>
      </c>
      <c r="C4318" t="s">
        <v>1455</v>
      </c>
      <c r="D4318">
        <v>131.9</v>
      </c>
    </row>
    <row r="4319" spans="1:4" x14ac:dyDescent="0.25">
      <c r="A4319" t="s">
        <v>1921</v>
      </c>
      <c r="B4319" t="s">
        <v>1330</v>
      </c>
      <c r="C4319" t="s">
        <v>1455</v>
      </c>
      <c r="D4319">
        <v>90.1</v>
      </c>
    </row>
    <row r="4320" spans="1:4" x14ac:dyDescent="0.25">
      <c r="A4320" t="s">
        <v>1950</v>
      </c>
      <c r="B4320" t="s">
        <v>1334</v>
      </c>
      <c r="C4320" t="s">
        <v>1455</v>
      </c>
      <c r="D4320">
        <v>1</v>
      </c>
    </row>
    <row r="4321" spans="1:4" x14ac:dyDescent="0.25">
      <c r="A4321" t="s">
        <v>1945</v>
      </c>
      <c r="B4321" t="s">
        <v>1331</v>
      </c>
      <c r="C4321" t="s">
        <v>1455</v>
      </c>
      <c r="D4321">
        <v>18.7</v>
      </c>
    </row>
    <row r="4322" spans="1:4" x14ac:dyDescent="0.25">
      <c r="A4322" t="s">
        <v>1929</v>
      </c>
      <c r="B4322" t="s">
        <v>1331</v>
      </c>
      <c r="C4322" t="s">
        <v>1455</v>
      </c>
      <c r="D4322">
        <v>5</v>
      </c>
    </row>
    <row r="4323" spans="1:4" x14ac:dyDescent="0.25">
      <c r="A4323" t="s">
        <v>1959</v>
      </c>
      <c r="B4323" t="s">
        <v>1335</v>
      </c>
      <c r="C4323" t="s">
        <v>1688</v>
      </c>
      <c r="D4323">
        <v>22.7</v>
      </c>
    </row>
    <row r="4324" spans="1:4" x14ac:dyDescent="0.25">
      <c r="A4324" t="s">
        <v>1961</v>
      </c>
      <c r="B4324" t="s">
        <v>1331</v>
      </c>
      <c r="C4324" t="s">
        <v>1792</v>
      </c>
      <c r="D4324">
        <v>6.7</v>
      </c>
    </row>
    <row r="4325" spans="1:4" x14ac:dyDescent="0.25">
      <c r="A4325" t="s">
        <v>1959</v>
      </c>
      <c r="B4325" t="s">
        <v>1335</v>
      </c>
      <c r="C4325" t="s">
        <v>1683</v>
      </c>
      <c r="D4325">
        <v>23</v>
      </c>
    </row>
    <row r="4326" spans="1:4" x14ac:dyDescent="0.25">
      <c r="A4326" t="s">
        <v>1959</v>
      </c>
      <c r="B4326" t="s">
        <v>1335</v>
      </c>
      <c r="C4326" t="s">
        <v>1767</v>
      </c>
      <c r="D4326">
        <v>9</v>
      </c>
    </row>
    <row r="4327" spans="1:4" x14ac:dyDescent="0.25">
      <c r="A4327" t="s">
        <v>2029</v>
      </c>
      <c r="B4327" t="s">
        <v>1334</v>
      </c>
      <c r="C4327" t="s">
        <v>1503</v>
      </c>
      <c r="D4327">
        <v>107.8</v>
      </c>
    </row>
    <row r="4328" spans="1:4" x14ac:dyDescent="0.25">
      <c r="A4328" t="s">
        <v>1961</v>
      </c>
      <c r="B4328" t="s">
        <v>1331</v>
      </c>
      <c r="C4328" t="s">
        <v>1503</v>
      </c>
      <c r="D4328">
        <v>27.8</v>
      </c>
    </row>
    <row r="4329" spans="1:4" x14ac:dyDescent="0.25">
      <c r="A4329" t="s">
        <v>1939</v>
      </c>
      <c r="B4329" t="s">
        <v>1331</v>
      </c>
      <c r="C4329" t="s">
        <v>1704</v>
      </c>
      <c r="D4329">
        <v>18.600000000000001</v>
      </c>
    </row>
    <row r="4330" spans="1:4" x14ac:dyDescent="0.25">
      <c r="A4330" t="s">
        <v>1939</v>
      </c>
      <c r="B4330" t="s">
        <v>1331</v>
      </c>
      <c r="C4330" t="s">
        <v>1867</v>
      </c>
      <c r="D4330">
        <v>1.5</v>
      </c>
    </row>
    <row r="4331" spans="1:4" x14ac:dyDescent="0.25">
      <c r="A4331" t="s">
        <v>1945</v>
      </c>
      <c r="B4331" t="s">
        <v>1331</v>
      </c>
      <c r="C4331" t="s">
        <v>1874</v>
      </c>
      <c r="D4331">
        <v>1</v>
      </c>
    </row>
    <row r="4332" spans="1:4" x14ac:dyDescent="0.25">
      <c r="A4332" t="s">
        <v>1959</v>
      </c>
      <c r="B4332" t="s">
        <v>1335</v>
      </c>
      <c r="C4332" t="s">
        <v>1768</v>
      </c>
      <c r="D4332">
        <v>9</v>
      </c>
    </row>
    <row r="4333" spans="1:4" x14ac:dyDescent="0.25">
      <c r="A4333" t="s">
        <v>1945</v>
      </c>
      <c r="B4333" t="s">
        <v>1331</v>
      </c>
      <c r="C4333" t="s">
        <v>1662</v>
      </c>
      <c r="D4333">
        <v>6</v>
      </c>
    </row>
    <row r="4334" spans="1:4" x14ac:dyDescent="0.25">
      <c r="A4334" t="s">
        <v>1959</v>
      </c>
      <c r="B4334" t="s">
        <v>1335</v>
      </c>
      <c r="C4334" t="s">
        <v>1662</v>
      </c>
      <c r="D4334">
        <v>21</v>
      </c>
    </row>
    <row r="4335" spans="1:4" x14ac:dyDescent="0.25">
      <c r="A4335" t="s">
        <v>2020</v>
      </c>
      <c r="B4335" t="s">
        <v>1334</v>
      </c>
      <c r="C4335" t="s">
        <v>1852</v>
      </c>
      <c r="D4335">
        <v>2</v>
      </c>
    </row>
    <row r="4336" spans="1:4" x14ac:dyDescent="0.25">
      <c r="A4336" t="s">
        <v>1929</v>
      </c>
      <c r="B4336" t="s">
        <v>1331</v>
      </c>
      <c r="C4336" t="s">
        <v>1491</v>
      </c>
      <c r="D4336">
        <v>140.69999999999999</v>
      </c>
    </row>
    <row r="4337" spans="1:4" x14ac:dyDescent="0.25">
      <c r="A4337" t="s">
        <v>1945</v>
      </c>
      <c r="B4337" t="s">
        <v>1331</v>
      </c>
      <c r="C4337" t="s">
        <v>1491</v>
      </c>
      <c r="D4337">
        <v>14.7</v>
      </c>
    </row>
    <row r="4338" spans="1:4" x14ac:dyDescent="0.25">
      <c r="A4338" t="s">
        <v>1945</v>
      </c>
      <c r="B4338" t="s">
        <v>1331</v>
      </c>
      <c r="C4338" t="s">
        <v>1547</v>
      </c>
      <c r="D4338">
        <v>10.7</v>
      </c>
    </row>
    <row r="4339" spans="1:4" x14ac:dyDescent="0.25">
      <c r="A4339" t="s">
        <v>1960</v>
      </c>
      <c r="B4339" t="s">
        <v>1331</v>
      </c>
      <c r="C4339" t="s">
        <v>1547</v>
      </c>
      <c r="D4339">
        <v>69.400000000000006</v>
      </c>
    </row>
    <row r="4340" spans="1:4" x14ac:dyDescent="0.25">
      <c r="A4340" t="s">
        <v>1929</v>
      </c>
      <c r="B4340" t="s">
        <v>1331</v>
      </c>
      <c r="C4340" t="s">
        <v>1547</v>
      </c>
      <c r="D4340">
        <v>5</v>
      </c>
    </row>
    <row r="4341" spans="1:4" x14ac:dyDescent="0.25">
      <c r="A4341" t="s">
        <v>1945</v>
      </c>
      <c r="B4341" t="s">
        <v>1331</v>
      </c>
      <c r="C4341" t="s">
        <v>1595</v>
      </c>
      <c r="D4341">
        <v>46.7</v>
      </c>
    </row>
    <row r="4342" spans="1:4" x14ac:dyDescent="0.25">
      <c r="A4342" t="s">
        <v>1918</v>
      </c>
      <c r="B4342" t="s">
        <v>1335</v>
      </c>
      <c r="C4342" t="s">
        <v>1595</v>
      </c>
      <c r="D4342">
        <v>7.7</v>
      </c>
    </row>
    <row r="4343" spans="1:4" x14ac:dyDescent="0.25">
      <c r="A4343" t="s">
        <v>1972</v>
      </c>
      <c r="B4343" t="s">
        <v>1334</v>
      </c>
      <c r="C4343" t="s">
        <v>1422</v>
      </c>
      <c r="D4343">
        <v>40.1</v>
      </c>
    </row>
    <row r="4344" spans="1:4" x14ac:dyDescent="0.25">
      <c r="A4344" t="s">
        <v>1990</v>
      </c>
      <c r="B4344" t="s">
        <v>1334</v>
      </c>
      <c r="C4344" t="s">
        <v>1422</v>
      </c>
      <c r="D4344">
        <v>42.5</v>
      </c>
    </row>
    <row r="4345" spans="1:4" x14ac:dyDescent="0.25">
      <c r="A4345" t="s">
        <v>2021</v>
      </c>
      <c r="B4345" t="s">
        <v>1334</v>
      </c>
      <c r="C4345" t="s">
        <v>1422</v>
      </c>
      <c r="D4345">
        <v>204.2</v>
      </c>
    </row>
    <row r="4346" spans="1:4" x14ac:dyDescent="0.25">
      <c r="A4346" t="s">
        <v>2019</v>
      </c>
      <c r="B4346" t="s">
        <v>1334</v>
      </c>
      <c r="C4346" t="s">
        <v>1422</v>
      </c>
      <c r="D4346">
        <v>130.69999999999999</v>
      </c>
    </row>
    <row r="4347" spans="1:4" x14ac:dyDescent="0.25">
      <c r="A4347" t="s">
        <v>2016</v>
      </c>
      <c r="B4347" t="s">
        <v>1331</v>
      </c>
      <c r="C4347" t="s">
        <v>1890</v>
      </c>
      <c r="D4347">
        <v>0.37</v>
      </c>
    </row>
    <row r="4348" spans="1:4" x14ac:dyDescent="0.25">
      <c r="A4348" t="s">
        <v>2021</v>
      </c>
      <c r="B4348" t="s">
        <v>1334</v>
      </c>
      <c r="C4348" t="s">
        <v>1651</v>
      </c>
      <c r="D4348">
        <v>15.4</v>
      </c>
    </row>
    <row r="4349" spans="1:4" x14ac:dyDescent="0.25">
      <c r="A4349" t="s">
        <v>1959</v>
      </c>
      <c r="B4349" t="s">
        <v>1335</v>
      </c>
      <c r="C4349" t="s">
        <v>1651</v>
      </c>
      <c r="D4349">
        <v>14</v>
      </c>
    </row>
    <row r="4350" spans="1:4" x14ac:dyDescent="0.25">
      <c r="A4350" t="s">
        <v>1945</v>
      </c>
      <c r="B4350" t="s">
        <v>1331</v>
      </c>
      <c r="C4350" t="s">
        <v>1593</v>
      </c>
      <c r="D4350">
        <v>55.7</v>
      </c>
    </row>
    <row r="4351" spans="1:4" x14ac:dyDescent="0.25">
      <c r="A4351" t="s">
        <v>1959</v>
      </c>
      <c r="B4351" t="s">
        <v>1330</v>
      </c>
      <c r="C4351" t="s">
        <v>1853</v>
      </c>
      <c r="D4351">
        <v>2</v>
      </c>
    </row>
    <row r="4352" spans="1:4" x14ac:dyDescent="0.25">
      <c r="A4352" t="s">
        <v>1911</v>
      </c>
      <c r="B4352" t="s">
        <v>1335</v>
      </c>
      <c r="C4352" t="s">
        <v>1435</v>
      </c>
      <c r="D4352">
        <v>64.2</v>
      </c>
    </row>
    <row r="4353" spans="1:4" x14ac:dyDescent="0.25">
      <c r="A4353" t="s">
        <v>1959</v>
      </c>
      <c r="B4353" t="s">
        <v>1335</v>
      </c>
      <c r="C4353" t="s">
        <v>1435</v>
      </c>
      <c r="D4353">
        <v>11</v>
      </c>
    </row>
    <row r="4354" spans="1:4" x14ac:dyDescent="0.25">
      <c r="A4354" t="s">
        <v>1981</v>
      </c>
      <c r="B4354" t="s">
        <v>1331</v>
      </c>
      <c r="C4354" t="s">
        <v>1435</v>
      </c>
      <c r="D4354">
        <v>72.150000000000006</v>
      </c>
    </row>
    <row r="4355" spans="1:4" x14ac:dyDescent="0.25">
      <c r="A4355" t="s">
        <v>1902</v>
      </c>
      <c r="B4355" t="s">
        <v>1335</v>
      </c>
      <c r="C4355" t="s">
        <v>1435</v>
      </c>
      <c r="D4355">
        <v>49.05</v>
      </c>
    </row>
    <row r="4356" spans="1:4" x14ac:dyDescent="0.25">
      <c r="A4356" t="s">
        <v>2032</v>
      </c>
      <c r="B4356" t="s">
        <v>1335</v>
      </c>
      <c r="C4356" t="s">
        <v>1435</v>
      </c>
      <c r="D4356">
        <v>7.7</v>
      </c>
    </row>
    <row r="4357" spans="1:4" x14ac:dyDescent="0.25">
      <c r="A4357" t="s">
        <v>1945</v>
      </c>
      <c r="B4357" t="s">
        <v>1331</v>
      </c>
      <c r="C4357" t="s">
        <v>1435</v>
      </c>
      <c r="D4357">
        <v>64.25</v>
      </c>
    </row>
    <row r="4358" spans="1:4" x14ac:dyDescent="0.25">
      <c r="A4358" t="s">
        <v>1913</v>
      </c>
      <c r="B4358" t="s">
        <v>1335</v>
      </c>
      <c r="C4358" t="s">
        <v>1435</v>
      </c>
      <c r="D4358">
        <v>75.3</v>
      </c>
    </row>
    <row r="4359" spans="1:4" x14ac:dyDescent="0.25">
      <c r="A4359" t="s">
        <v>1959</v>
      </c>
      <c r="B4359" t="s">
        <v>1335</v>
      </c>
      <c r="C4359" t="s">
        <v>1639</v>
      </c>
      <c r="D4359">
        <v>15.7</v>
      </c>
    </row>
    <row r="4360" spans="1:4" x14ac:dyDescent="0.25">
      <c r="A4360" t="s">
        <v>1927</v>
      </c>
      <c r="B4360" t="s">
        <v>1331</v>
      </c>
      <c r="C4360" t="s">
        <v>1639</v>
      </c>
      <c r="D4360">
        <v>15.4</v>
      </c>
    </row>
    <row r="4361" spans="1:4" x14ac:dyDescent="0.25">
      <c r="A4361" t="s">
        <v>1987</v>
      </c>
      <c r="B4361" t="s">
        <v>1331</v>
      </c>
      <c r="C4361" t="s">
        <v>1497</v>
      </c>
      <c r="D4361">
        <v>80.61</v>
      </c>
    </row>
    <row r="4362" spans="1:4" x14ac:dyDescent="0.25">
      <c r="A4362" t="s">
        <v>2032</v>
      </c>
      <c r="B4362" t="s">
        <v>1335</v>
      </c>
      <c r="C4362" t="s">
        <v>1497</v>
      </c>
      <c r="D4362">
        <v>7.7</v>
      </c>
    </row>
    <row r="4363" spans="1:4" x14ac:dyDescent="0.25">
      <c r="A4363" t="s">
        <v>1902</v>
      </c>
      <c r="B4363" t="s">
        <v>1335</v>
      </c>
      <c r="C4363" t="s">
        <v>1497</v>
      </c>
      <c r="D4363">
        <v>11.4</v>
      </c>
    </row>
    <row r="4364" spans="1:4" x14ac:dyDescent="0.25">
      <c r="A4364" t="s">
        <v>1959</v>
      </c>
      <c r="B4364" t="s">
        <v>1335</v>
      </c>
      <c r="C4364" t="s">
        <v>1497</v>
      </c>
      <c r="D4364">
        <v>47.7</v>
      </c>
    </row>
    <row r="4365" spans="1:4" x14ac:dyDescent="0.25">
      <c r="A4365" t="s">
        <v>2043</v>
      </c>
      <c r="B4365" t="s">
        <v>1334</v>
      </c>
      <c r="C4365" t="s">
        <v>1695</v>
      </c>
      <c r="D4365">
        <v>15.7</v>
      </c>
    </row>
    <row r="4366" spans="1:4" x14ac:dyDescent="0.25">
      <c r="A4366" t="s">
        <v>2019</v>
      </c>
      <c r="B4366" t="s">
        <v>1334</v>
      </c>
      <c r="C4366" t="s">
        <v>1695</v>
      </c>
      <c r="D4366">
        <v>5</v>
      </c>
    </row>
    <row r="4367" spans="1:4" x14ac:dyDescent="0.25">
      <c r="A4367" t="s">
        <v>1959</v>
      </c>
      <c r="B4367" t="s">
        <v>1335</v>
      </c>
      <c r="C4367" t="s">
        <v>1723</v>
      </c>
      <c r="D4367">
        <v>14</v>
      </c>
    </row>
    <row r="4368" spans="1:4" x14ac:dyDescent="0.25">
      <c r="A4368" t="s">
        <v>2021</v>
      </c>
      <c r="B4368" t="s">
        <v>1334</v>
      </c>
      <c r="C4368" t="s">
        <v>1386</v>
      </c>
      <c r="D4368">
        <v>170.5</v>
      </c>
    </row>
    <row r="4369" spans="1:4" x14ac:dyDescent="0.25">
      <c r="A4369" t="s">
        <v>1980</v>
      </c>
      <c r="B4369" t="s">
        <v>1331</v>
      </c>
      <c r="C4369" t="s">
        <v>1386</v>
      </c>
      <c r="D4369">
        <v>1</v>
      </c>
    </row>
    <row r="4370" spans="1:4" x14ac:dyDescent="0.25">
      <c r="A4370" t="s">
        <v>1923</v>
      </c>
      <c r="B4370" t="s">
        <v>1331</v>
      </c>
      <c r="C4370" t="s">
        <v>1386</v>
      </c>
      <c r="D4370">
        <v>7.7</v>
      </c>
    </row>
    <row r="4371" spans="1:4" x14ac:dyDescent="0.25">
      <c r="A4371" t="s">
        <v>1913</v>
      </c>
      <c r="B4371" t="s">
        <v>1335</v>
      </c>
      <c r="C4371" t="s">
        <v>1386</v>
      </c>
      <c r="D4371">
        <v>22.4</v>
      </c>
    </row>
    <row r="4372" spans="1:4" x14ac:dyDescent="0.25">
      <c r="A4372" t="s">
        <v>1902</v>
      </c>
      <c r="B4372" t="s">
        <v>1335</v>
      </c>
      <c r="C4372" t="s">
        <v>1386</v>
      </c>
      <c r="D4372">
        <v>30.1</v>
      </c>
    </row>
    <row r="4373" spans="1:4" x14ac:dyDescent="0.25">
      <c r="A4373" t="s">
        <v>1939</v>
      </c>
      <c r="B4373" t="s">
        <v>1331</v>
      </c>
      <c r="C4373" t="s">
        <v>1386</v>
      </c>
      <c r="D4373">
        <v>390.4</v>
      </c>
    </row>
    <row r="4374" spans="1:4" x14ac:dyDescent="0.25">
      <c r="A4374" t="s">
        <v>1960</v>
      </c>
      <c r="B4374" t="s">
        <v>1331</v>
      </c>
      <c r="C4374" t="s">
        <v>1386</v>
      </c>
      <c r="D4374">
        <v>22.3</v>
      </c>
    </row>
    <row r="4375" spans="1:4" x14ac:dyDescent="0.25">
      <c r="A4375" t="s">
        <v>1929</v>
      </c>
      <c r="B4375" t="s">
        <v>1331</v>
      </c>
      <c r="C4375" t="s">
        <v>1386</v>
      </c>
      <c r="D4375">
        <v>253</v>
      </c>
    </row>
    <row r="4376" spans="1:4" x14ac:dyDescent="0.25">
      <c r="A4376" t="s">
        <v>1931</v>
      </c>
      <c r="B4376" t="s">
        <v>1335</v>
      </c>
      <c r="C4376" t="s">
        <v>1533</v>
      </c>
      <c r="D4376">
        <v>55.9</v>
      </c>
    </row>
    <row r="4377" spans="1:4" x14ac:dyDescent="0.25">
      <c r="A4377" t="s">
        <v>1945</v>
      </c>
      <c r="B4377" t="s">
        <v>1331</v>
      </c>
      <c r="C4377" t="s">
        <v>1533</v>
      </c>
      <c r="D4377">
        <v>9</v>
      </c>
    </row>
    <row r="4378" spans="1:4" x14ac:dyDescent="0.25">
      <c r="A4378" t="s">
        <v>1921</v>
      </c>
      <c r="B4378" t="s">
        <v>1330</v>
      </c>
      <c r="C4378" t="s">
        <v>1533</v>
      </c>
      <c r="D4378">
        <v>13.4</v>
      </c>
    </row>
    <row r="4379" spans="1:4" x14ac:dyDescent="0.25">
      <c r="A4379" t="s">
        <v>1918</v>
      </c>
      <c r="B4379" t="s">
        <v>1335</v>
      </c>
      <c r="C4379" t="s">
        <v>1533</v>
      </c>
      <c r="D4379">
        <v>17.899999999999999</v>
      </c>
    </row>
    <row r="4380" spans="1:4" x14ac:dyDescent="0.25">
      <c r="A4380" t="s">
        <v>1904</v>
      </c>
      <c r="B4380" t="s">
        <v>1331</v>
      </c>
      <c r="C4380" t="s">
        <v>1533</v>
      </c>
      <c r="D4380">
        <v>2</v>
      </c>
    </row>
    <row r="4381" spans="1:4" x14ac:dyDescent="0.25">
      <c r="A4381" t="s">
        <v>2027</v>
      </c>
      <c r="B4381" t="s">
        <v>1334</v>
      </c>
      <c r="C4381" t="s">
        <v>1509</v>
      </c>
      <c r="D4381">
        <v>14.85</v>
      </c>
    </row>
    <row r="4382" spans="1:4" x14ac:dyDescent="0.25">
      <c r="A4382" t="s">
        <v>2019</v>
      </c>
      <c r="B4382" t="s">
        <v>1334</v>
      </c>
      <c r="C4382" t="s">
        <v>1509</v>
      </c>
      <c r="D4382">
        <v>75.599999999999994</v>
      </c>
    </row>
    <row r="4383" spans="1:4" x14ac:dyDescent="0.25">
      <c r="A4383" t="s">
        <v>2043</v>
      </c>
      <c r="B4383" t="s">
        <v>1334</v>
      </c>
      <c r="C4383" t="s">
        <v>1509</v>
      </c>
      <c r="D4383">
        <v>4.7</v>
      </c>
    </row>
    <row r="4384" spans="1:4" x14ac:dyDescent="0.25">
      <c r="A4384" t="s">
        <v>2021</v>
      </c>
      <c r="B4384" t="s">
        <v>1334</v>
      </c>
      <c r="C4384" t="s">
        <v>1509</v>
      </c>
      <c r="D4384">
        <v>32.1</v>
      </c>
    </row>
    <row r="4385" spans="1:4" x14ac:dyDescent="0.25">
      <c r="A4385" t="s">
        <v>2032</v>
      </c>
      <c r="B4385" t="s">
        <v>1335</v>
      </c>
      <c r="C4385" t="s">
        <v>1618</v>
      </c>
      <c r="D4385">
        <v>7.7</v>
      </c>
    </row>
    <row r="4386" spans="1:4" x14ac:dyDescent="0.25">
      <c r="A4386" t="s">
        <v>1945</v>
      </c>
      <c r="B4386" t="s">
        <v>1331</v>
      </c>
      <c r="C4386" t="s">
        <v>1618</v>
      </c>
      <c r="D4386">
        <v>20.7</v>
      </c>
    </row>
    <row r="4387" spans="1:4" x14ac:dyDescent="0.25">
      <c r="A4387" t="s">
        <v>1921</v>
      </c>
      <c r="B4387" t="s">
        <v>1330</v>
      </c>
      <c r="C4387" t="s">
        <v>1618</v>
      </c>
      <c r="D4387">
        <v>10.55</v>
      </c>
    </row>
    <row r="4388" spans="1:4" x14ac:dyDescent="0.25">
      <c r="A4388" t="s">
        <v>1959</v>
      </c>
      <c r="B4388" t="s">
        <v>1335</v>
      </c>
      <c r="C4388" t="s">
        <v>1618</v>
      </c>
      <c r="D4388">
        <v>2</v>
      </c>
    </row>
    <row r="4389" spans="1:4" x14ac:dyDescent="0.25">
      <c r="A4389" t="s">
        <v>1945</v>
      </c>
      <c r="B4389" t="s">
        <v>1331</v>
      </c>
      <c r="C4389" t="s">
        <v>1576</v>
      </c>
      <c r="D4389">
        <v>50.15</v>
      </c>
    </row>
    <row r="4390" spans="1:4" x14ac:dyDescent="0.25">
      <c r="A4390" t="s">
        <v>1986</v>
      </c>
      <c r="B4390" t="s">
        <v>1331</v>
      </c>
      <c r="C4390" t="s">
        <v>1576</v>
      </c>
      <c r="D4390">
        <v>9</v>
      </c>
    </row>
    <row r="4391" spans="1:4" x14ac:dyDescent="0.25">
      <c r="A4391" t="s">
        <v>1913</v>
      </c>
      <c r="B4391" t="s">
        <v>1335</v>
      </c>
      <c r="C4391" t="s">
        <v>1576</v>
      </c>
      <c r="D4391">
        <v>7</v>
      </c>
    </row>
    <row r="4392" spans="1:4" x14ac:dyDescent="0.25">
      <c r="A4392" t="s">
        <v>1939</v>
      </c>
      <c r="B4392" t="s">
        <v>1331</v>
      </c>
      <c r="C4392" t="s">
        <v>1816</v>
      </c>
      <c r="D4392">
        <v>4.5</v>
      </c>
    </row>
    <row r="4393" spans="1:4" x14ac:dyDescent="0.25">
      <c r="A4393" t="s">
        <v>2029</v>
      </c>
      <c r="B4393" t="s">
        <v>1334</v>
      </c>
      <c r="C4393" t="s">
        <v>1463</v>
      </c>
      <c r="D4393">
        <v>178.1</v>
      </c>
    </row>
    <row r="4394" spans="1:4" x14ac:dyDescent="0.25">
      <c r="A4394" t="s">
        <v>2024</v>
      </c>
      <c r="B4394" t="s">
        <v>1334</v>
      </c>
      <c r="C4394" t="s">
        <v>1463</v>
      </c>
      <c r="D4394">
        <v>6.7</v>
      </c>
    </row>
    <row r="4395" spans="1:4" x14ac:dyDescent="0.25">
      <c r="A4395" t="s">
        <v>1963</v>
      </c>
      <c r="B4395" t="s">
        <v>1331</v>
      </c>
      <c r="C4395" t="s">
        <v>1463</v>
      </c>
      <c r="D4395">
        <v>13.4</v>
      </c>
    </row>
    <row r="4396" spans="1:4" x14ac:dyDescent="0.25">
      <c r="A4396" t="s">
        <v>2020</v>
      </c>
      <c r="B4396" t="s">
        <v>1334</v>
      </c>
      <c r="C4396" t="s">
        <v>1463</v>
      </c>
      <c r="D4396">
        <v>2</v>
      </c>
    </row>
    <row r="4397" spans="1:4" x14ac:dyDescent="0.25">
      <c r="A4397" t="s">
        <v>1904</v>
      </c>
      <c r="B4397" t="s">
        <v>1331</v>
      </c>
      <c r="C4397" t="s">
        <v>1463</v>
      </c>
      <c r="D4397">
        <v>0.5</v>
      </c>
    </row>
    <row r="4398" spans="1:4" x14ac:dyDescent="0.25">
      <c r="A4398" t="s">
        <v>1968</v>
      </c>
      <c r="B4398" t="s">
        <v>1331</v>
      </c>
      <c r="C4398" t="s">
        <v>1463</v>
      </c>
      <c r="D4398">
        <v>16.399999999999999</v>
      </c>
    </row>
    <row r="4399" spans="1:4" x14ac:dyDescent="0.25">
      <c r="A4399" t="s">
        <v>2041</v>
      </c>
      <c r="B4399" t="s">
        <v>1334</v>
      </c>
      <c r="C4399" t="s">
        <v>1463</v>
      </c>
      <c r="D4399">
        <v>7.7</v>
      </c>
    </row>
    <row r="4400" spans="1:4" x14ac:dyDescent="0.25">
      <c r="A4400" t="s">
        <v>1961</v>
      </c>
      <c r="B4400" t="s">
        <v>1331</v>
      </c>
      <c r="C4400" t="s">
        <v>1463</v>
      </c>
      <c r="D4400">
        <v>6</v>
      </c>
    </row>
    <row r="4401" spans="1:4" x14ac:dyDescent="0.25">
      <c r="A4401" t="s">
        <v>1945</v>
      </c>
      <c r="B4401" t="s">
        <v>1331</v>
      </c>
      <c r="C4401" t="s">
        <v>1752</v>
      </c>
      <c r="D4401">
        <v>1</v>
      </c>
    </row>
    <row r="4402" spans="1:4" x14ac:dyDescent="0.25">
      <c r="A4402" t="s">
        <v>1959</v>
      </c>
      <c r="B4402" t="s">
        <v>1335</v>
      </c>
      <c r="C4402" t="s">
        <v>1752</v>
      </c>
      <c r="D4402">
        <v>9</v>
      </c>
    </row>
    <row r="4403" spans="1:4" x14ac:dyDescent="0.25">
      <c r="A4403" t="s">
        <v>1921</v>
      </c>
      <c r="B4403" t="s">
        <v>1330</v>
      </c>
      <c r="C4403" t="s">
        <v>1748</v>
      </c>
      <c r="D4403">
        <v>10.55</v>
      </c>
    </row>
    <row r="4404" spans="1:4" x14ac:dyDescent="0.25">
      <c r="A4404" t="s">
        <v>1961</v>
      </c>
      <c r="B4404" t="s">
        <v>1331</v>
      </c>
      <c r="C4404" t="s">
        <v>1430</v>
      </c>
      <c r="D4404">
        <v>134.6</v>
      </c>
    </row>
    <row r="4405" spans="1:4" x14ac:dyDescent="0.25">
      <c r="A4405" t="s">
        <v>2025</v>
      </c>
      <c r="B4405" t="s">
        <v>1334</v>
      </c>
      <c r="C4405" t="s">
        <v>1430</v>
      </c>
      <c r="D4405">
        <v>74.2</v>
      </c>
    </row>
    <row r="4406" spans="1:4" x14ac:dyDescent="0.25">
      <c r="A4406" t="s">
        <v>2023</v>
      </c>
      <c r="B4406" t="s">
        <v>1330</v>
      </c>
      <c r="C4406" t="s">
        <v>1430</v>
      </c>
      <c r="D4406">
        <v>161.69999999999999</v>
      </c>
    </row>
    <row r="4407" spans="1:4" x14ac:dyDescent="0.25">
      <c r="A4407" t="s">
        <v>1971</v>
      </c>
      <c r="B4407" t="s">
        <v>1330</v>
      </c>
      <c r="C4407" t="s">
        <v>1430</v>
      </c>
      <c r="D4407">
        <v>4.0999999999999996</v>
      </c>
    </row>
    <row r="4408" spans="1:4" x14ac:dyDescent="0.25">
      <c r="A4408" t="s">
        <v>1945</v>
      </c>
      <c r="B4408" t="s">
        <v>1331</v>
      </c>
      <c r="C4408" t="s">
        <v>1712</v>
      </c>
      <c r="D4408">
        <v>16.399999999999999</v>
      </c>
    </row>
    <row r="4409" spans="1:4" x14ac:dyDescent="0.25">
      <c r="A4409" t="s">
        <v>2032</v>
      </c>
      <c r="B4409" t="s">
        <v>1335</v>
      </c>
      <c r="C4409" t="s">
        <v>1387</v>
      </c>
      <c r="D4409">
        <v>893.2</v>
      </c>
    </row>
    <row r="4410" spans="1:4" x14ac:dyDescent="0.25">
      <c r="A4410" t="s">
        <v>2019</v>
      </c>
      <c r="B4410" t="s">
        <v>1334</v>
      </c>
      <c r="C4410" t="s">
        <v>1449</v>
      </c>
      <c r="D4410">
        <v>105.5</v>
      </c>
    </row>
    <row r="4411" spans="1:4" x14ac:dyDescent="0.25">
      <c r="A4411" t="s">
        <v>2029</v>
      </c>
      <c r="B4411" t="s">
        <v>1334</v>
      </c>
      <c r="C4411" t="s">
        <v>1449</v>
      </c>
      <c r="D4411">
        <v>26.95</v>
      </c>
    </row>
    <row r="4412" spans="1:4" x14ac:dyDescent="0.25">
      <c r="A4412" t="s">
        <v>1972</v>
      </c>
      <c r="B4412" t="s">
        <v>1334</v>
      </c>
      <c r="C4412" t="s">
        <v>1449</v>
      </c>
      <c r="D4412">
        <v>125.3</v>
      </c>
    </row>
    <row r="4413" spans="1:4" x14ac:dyDescent="0.25">
      <c r="A4413" t="s">
        <v>2026</v>
      </c>
      <c r="B4413" t="s">
        <v>1334</v>
      </c>
      <c r="C4413" t="s">
        <v>1449</v>
      </c>
      <c r="D4413">
        <v>6.7</v>
      </c>
    </row>
    <row r="4414" spans="1:4" x14ac:dyDescent="0.25">
      <c r="A4414" t="s">
        <v>1959</v>
      </c>
      <c r="B4414" t="s">
        <v>1335</v>
      </c>
      <c r="C4414" t="s">
        <v>1875</v>
      </c>
      <c r="D4414">
        <v>1</v>
      </c>
    </row>
    <row r="4415" spans="1:4" x14ac:dyDescent="0.25">
      <c r="A4415" t="s">
        <v>2016</v>
      </c>
      <c r="B4415" t="s">
        <v>1331</v>
      </c>
      <c r="C4415" t="s">
        <v>1588</v>
      </c>
      <c r="D4415">
        <v>53.58</v>
      </c>
    </row>
    <row r="4416" spans="1:4" x14ac:dyDescent="0.25">
      <c r="A4416" t="s">
        <v>1945</v>
      </c>
      <c r="B4416" t="s">
        <v>1331</v>
      </c>
      <c r="C4416" t="s">
        <v>1588</v>
      </c>
      <c r="D4416">
        <v>4.7</v>
      </c>
    </row>
    <row r="4417" spans="1:4" x14ac:dyDescent="0.25">
      <c r="A4417" t="s">
        <v>1913</v>
      </c>
      <c r="B4417" t="s">
        <v>1335</v>
      </c>
      <c r="C4417" t="s">
        <v>1613</v>
      </c>
      <c r="D4417">
        <v>8</v>
      </c>
    </row>
    <row r="4418" spans="1:4" x14ac:dyDescent="0.25">
      <c r="A4418" t="s">
        <v>1945</v>
      </c>
      <c r="B4418" t="s">
        <v>1331</v>
      </c>
      <c r="C4418" t="s">
        <v>1613</v>
      </c>
      <c r="D4418">
        <v>26.7</v>
      </c>
    </row>
    <row r="4419" spans="1:4" x14ac:dyDescent="0.25">
      <c r="A4419" t="s">
        <v>1931</v>
      </c>
      <c r="B4419" t="s">
        <v>1335</v>
      </c>
      <c r="C4419" t="s">
        <v>1613</v>
      </c>
      <c r="D4419">
        <v>7.7</v>
      </c>
    </row>
    <row r="4420" spans="1:4" x14ac:dyDescent="0.25">
      <c r="A4420" t="s">
        <v>1945</v>
      </c>
      <c r="B4420" t="s">
        <v>1331</v>
      </c>
      <c r="C4420" t="s">
        <v>1587</v>
      </c>
      <c r="D4420">
        <v>24</v>
      </c>
    </row>
    <row r="4421" spans="1:4" x14ac:dyDescent="0.25">
      <c r="A4421" t="s">
        <v>1921</v>
      </c>
      <c r="B4421" t="s">
        <v>1330</v>
      </c>
      <c r="C4421" t="s">
        <v>1587</v>
      </c>
      <c r="D4421">
        <v>34.5</v>
      </c>
    </row>
    <row r="4422" spans="1:4" x14ac:dyDescent="0.25">
      <c r="A4422" t="s">
        <v>1959</v>
      </c>
      <c r="B4422" t="s">
        <v>1335</v>
      </c>
      <c r="C4422" t="s">
        <v>1635</v>
      </c>
      <c r="D4422">
        <v>17</v>
      </c>
    </row>
    <row r="4423" spans="1:4" x14ac:dyDescent="0.25">
      <c r="A4423" t="s">
        <v>1971</v>
      </c>
      <c r="B4423" t="s">
        <v>1330</v>
      </c>
      <c r="C4423" t="s">
        <v>1635</v>
      </c>
      <c r="D4423">
        <v>14.2</v>
      </c>
    </row>
    <row r="4424" spans="1:4" x14ac:dyDescent="0.25">
      <c r="A4424" t="s">
        <v>1995</v>
      </c>
      <c r="B4424" t="s">
        <v>1330</v>
      </c>
      <c r="C4424" t="s">
        <v>1635</v>
      </c>
      <c r="D4424">
        <v>2</v>
      </c>
    </row>
    <row r="4425" spans="1:4" x14ac:dyDescent="0.25">
      <c r="A4425" t="s">
        <v>1945</v>
      </c>
      <c r="B4425" t="s">
        <v>1331</v>
      </c>
      <c r="C4425" t="s">
        <v>1635</v>
      </c>
      <c r="D4425">
        <v>1</v>
      </c>
    </row>
    <row r="4426" spans="1:4" x14ac:dyDescent="0.25">
      <c r="A4426" t="s">
        <v>1925</v>
      </c>
      <c r="B4426" t="s">
        <v>1331</v>
      </c>
      <c r="C4426" t="s">
        <v>1782</v>
      </c>
      <c r="D4426">
        <v>7.7</v>
      </c>
    </row>
    <row r="4427" spans="1:4" x14ac:dyDescent="0.25">
      <c r="A4427" t="s">
        <v>1972</v>
      </c>
      <c r="B4427" t="s">
        <v>1331</v>
      </c>
      <c r="C4427" t="s">
        <v>1295</v>
      </c>
      <c r="D4427">
        <v>4.7</v>
      </c>
    </row>
    <row r="4428" spans="1:4" x14ac:dyDescent="0.25">
      <c r="A4428" t="s">
        <v>1968</v>
      </c>
      <c r="B4428" t="s">
        <v>1330</v>
      </c>
      <c r="C4428" t="s">
        <v>1295</v>
      </c>
      <c r="D4428">
        <v>60.05</v>
      </c>
    </row>
    <row r="4429" spans="1:4" x14ac:dyDescent="0.25">
      <c r="A4429" t="s">
        <v>1972</v>
      </c>
      <c r="B4429" t="s">
        <v>1334</v>
      </c>
      <c r="C4429" t="s">
        <v>1295</v>
      </c>
      <c r="D4429">
        <v>46.8</v>
      </c>
    </row>
    <row r="4430" spans="1:4" x14ac:dyDescent="0.25">
      <c r="A4430" t="s">
        <v>1925</v>
      </c>
      <c r="B4430" t="s">
        <v>1331</v>
      </c>
      <c r="C4430" t="s">
        <v>1295</v>
      </c>
      <c r="D4430">
        <v>11.55</v>
      </c>
    </row>
    <row r="4431" spans="1:4" x14ac:dyDescent="0.25">
      <c r="A4431" t="s">
        <v>2019</v>
      </c>
      <c r="B4431" t="s">
        <v>1334</v>
      </c>
      <c r="C4431" t="s">
        <v>1295</v>
      </c>
      <c r="D4431">
        <v>112.3</v>
      </c>
    </row>
    <row r="4432" spans="1:4" x14ac:dyDescent="0.25">
      <c r="A4432" t="s">
        <v>1979</v>
      </c>
      <c r="B4432" t="s">
        <v>1331</v>
      </c>
      <c r="C4432" t="s">
        <v>1295</v>
      </c>
      <c r="D4432">
        <v>547</v>
      </c>
    </row>
    <row r="4433" spans="1:4" x14ac:dyDescent="0.25">
      <c r="A4433" t="s">
        <v>1921</v>
      </c>
      <c r="B4433" t="s">
        <v>1330</v>
      </c>
      <c r="C4433" t="s">
        <v>1295</v>
      </c>
      <c r="D4433">
        <v>51.75</v>
      </c>
    </row>
    <row r="4434" spans="1:4" x14ac:dyDescent="0.25">
      <c r="A4434" t="s">
        <v>1962</v>
      </c>
      <c r="B4434" t="s">
        <v>1331</v>
      </c>
      <c r="C4434" t="s">
        <v>1295</v>
      </c>
      <c r="D4434">
        <v>10.7</v>
      </c>
    </row>
    <row r="4435" spans="1:4" x14ac:dyDescent="0.25">
      <c r="A4435" t="s">
        <v>1950</v>
      </c>
      <c r="B4435" t="s">
        <v>1334</v>
      </c>
      <c r="C4435" t="s">
        <v>1295</v>
      </c>
      <c r="D4435">
        <v>4.8499999999999996</v>
      </c>
    </row>
    <row r="4436" spans="1:4" x14ac:dyDescent="0.25">
      <c r="A4436" t="s">
        <v>1913</v>
      </c>
      <c r="B4436" t="s">
        <v>1335</v>
      </c>
      <c r="C4436" t="s">
        <v>1295</v>
      </c>
      <c r="D4436">
        <v>18.25</v>
      </c>
    </row>
    <row r="4437" spans="1:4" x14ac:dyDescent="0.25">
      <c r="A4437" t="s">
        <v>1902</v>
      </c>
      <c r="B4437" t="s">
        <v>1335</v>
      </c>
      <c r="C4437" t="s">
        <v>1295</v>
      </c>
      <c r="D4437">
        <v>7.85</v>
      </c>
    </row>
    <row r="4438" spans="1:4" x14ac:dyDescent="0.25">
      <c r="A4438" t="s">
        <v>1931</v>
      </c>
      <c r="B4438" t="s">
        <v>1335</v>
      </c>
      <c r="C4438" t="s">
        <v>1295</v>
      </c>
      <c r="D4438">
        <v>9.6999999999999993</v>
      </c>
    </row>
    <row r="4439" spans="1:4" x14ac:dyDescent="0.25">
      <c r="A4439" t="s">
        <v>1939</v>
      </c>
      <c r="B4439" t="s">
        <v>1331</v>
      </c>
      <c r="C4439" t="s">
        <v>1295</v>
      </c>
      <c r="D4439">
        <v>19.899999999999999</v>
      </c>
    </row>
    <row r="4440" spans="1:4" x14ac:dyDescent="0.25">
      <c r="A4440" t="s">
        <v>1963</v>
      </c>
      <c r="B4440" t="s">
        <v>1331</v>
      </c>
      <c r="C4440" t="s">
        <v>1295</v>
      </c>
      <c r="D4440">
        <v>173.4</v>
      </c>
    </row>
    <row r="4441" spans="1:4" x14ac:dyDescent="0.25">
      <c r="A4441" t="s">
        <v>1923</v>
      </c>
      <c r="B4441" t="s">
        <v>1331</v>
      </c>
      <c r="C4441" t="s">
        <v>1295</v>
      </c>
      <c r="D4441">
        <v>21.9</v>
      </c>
    </row>
    <row r="4442" spans="1:4" x14ac:dyDescent="0.25">
      <c r="A4442" t="s">
        <v>1968</v>
      </c>
      <c r="B4442" t="s">
        <v>1330</v>
      </c>
      <c r="C4442" t="s">
        <v>1351</v>
      </c>
      <c r="D4442">
        <v>95.7</v>
      </c>
    </row>
    <row r="4443" spans="1:4" x14ac:dyDescent="0.25">
      <c r="A4443" t="s">
        <v>1990</v>
      </c>
      <c r="B4443" t="s">
        <v>1334</v>
      </c>
      <c r="C4443" t="s">
        <v>1351</v>
      </c>
      <c r="D4443">
        <v>123</v>
      </c>
    </row>
    <row r="4444" spans="1:4" x14ac:dyDescent="0.25">
      <c r="A4444" t="s">
        <v>1931</v>
      </c>
      <c r="B4444" t="s">
        <v>1335</v>
      </c>
      <c r="C4444" t="s">
        <v>1351</v>
      </c>
      <c r="D4444">
        <v>3.85</v>
      </c>
    </row>
    <row r="4445" spans="1:4" x14ac:dyDescent="0.25">
      <c r="A4445" t="s">
        <v>1981</v>
      </c>
      <c r="B4445" t="s">
        <v>1334</v>
      </c>
      <c r="C4445" t="s">
        <v>1351</v>
      </c>
      <c r="D4445">
        <v>3</v>
      </c>
    </row>
    <row r="4446" spans="1:4" x14ac:dyDescent="0.25">
      <c r="A4446" t="s">
        <v>1923</v>
      </c>
      <c r="B4446" t="s">
        <v>1331</v>
      </c>
      <c r="C4446" t="s">
        <v>1351</v>
      </c>
      <c r="D4446">
        <v>242.2</v>
      </c>
    </row>
    <row r="4447" spans="1:4" x14ac:dyDescent="0.25">
      <c r="A4447" t="s">
        <v>1971</v>
      </c>
      <c r="B4447" t="s">
        <v>1330</v>
      </c>
      <c r="C4447" t="s">
        <v>1351</v>
      </c>
      <c r="D4447">
        <v>2</v>
      </c>
    </row>
    <row r="4448" spans="1:4" x14ac:dyDescent="0.25">
      <c r="A4448" t="s">
        <v>1995</v>
      </c>
      <c r="B4448" t="s">
        <v>1330</v>
      </c>
      <c r="C4448" t="s">
        <v>1351</v>
      </c>
      <c r="D4448">
        <v>208.7</v>
      </c>
    </row>
    <row r="4449" spans="1:4" x14ac:dyDescent="0.25">
      <c r="A4449" t="s">
        <v>1967</v>
      </c>
      <c r="B4449" t="s">
        <v>1331</v>
      </c>
      <c r="C4449" t="s">
        <v>1351</v>
      </c>
      <c r="D4449">
        <v>30.8</v>
      </c>
    </row>
    <row r="4450" spans="1:4" x14ac:dyDescent="0.25">
      <c r="A4450" t="s">
        <v>1968</v>
      </c>
      <c r="B4450" t="s">
        <v>1331</v>
      </c>
      <c r="C4450" t="s">
        <v>1351</v>
      </c>
      <c r="D4450">
        <v>5.2</v>
      </c>
    </row>
    <row r="4451" spans="1:4" x14ac:dyDescent="0.25">
      <c r="A4451" t="s">
        <v>1981</v>
      </c>
      <c r="B4451" t="s">
        <v>1331</v>
      </c>
      <c r="C4451" t="s">
        <v>1351</v>
      </c>
      <c r="D4451">
        <v>11.55</v>
      </c>
    </row>
    <row r="4452" spans="1:4" x14ac:dyDescent="0.25">
      <c r="A4452" t="s">
        <v>1950</v>
      </c>
      <c r="B4452" t="s">
        <v>1334</v>
      </c>
      <c r="C4452" t="s">
        <v>1351</v>
      </c>
      <c r="D4452">
        <v>9.5500000000000007</v>
      </c>
    </row>
    <row r="4453" spans="1:4" x14ac:dyDescent="0.25">
      <c r="A4453" t="s">
        <v>1921</v>
      </c>
      <c r="B4453" t="s">
        <v>1330</v>
      </c>
      <c r="C4453" t="s">
        <v>1351</v>
      </c>
      <c r="D4453">
        <v>174.35</v>
      </c>
    </row>
    <row r="4454" spans="1:4" x14ac:dyDescent="0.25">
      <c r="A4454" t="s">
        <v>1911</v>
      </c>
      <c r="B4454" t="s">
        <v>1335</v>
      </c>
      <c r="C4454" t="s">
        <v>1351</v>
      </c>
      <c r="D4454">
        <v>18.399999999999999</v>
      </c>
    </row>
    <row r="4455" spans="1:4" x14ac:dyDescent="0.25">
      <c r="A4455" t="s">
        <v>1913</v>
      </c>
      <c r="B4455" t="s">
        <v>1335</v>
      </c>
      <c r="C4455" t="s">
        <v>1351</v>
      </c>
      <c r="D4455">
        <v>23.4</v>
      </c>
    </row>
    <row r="4456" spans="1:4" x14ac:dyDescent="0.25">
      <c r="A4456" t="s">
        <v>1920</v>
      </c>
      <c r="B4456" t="s">
        <v>1331</v>
      </c>
      <c r="C4456" t="s">
        <v>1351</v>
      </c>
      <c r="D4456">
        <v>24.5</v>
      </c>
    </row>
    <row r="4457" spans="1:4" x14ac:dyDescent="0.25">
      <c r="A4457" t="s">
        <v>1980</v>
      </c>
      <c r="B4457" t="s">
        <v>1331</v>
      </c>
      <c r="C4457" t="s">
        <v>1351</v>
      </c>
      <c r="D4457">
        <v>918.75</v>
      </c>
    </row>
    <row r="4458" spans="1:4" x14ac:dyDescent="0.25">
      <c r="A4458" t="s">
        <v>1935</v>
      </c>
      <c r="B4458" t="s">
        <v>1331</v>
      </c>
      <c r="C4458" t="s">
        <v>1351</v>
      </c>
      <c r="D4458">
        <v>874.7</v>
      </c>
    </row>
    <row r="4459" spans="1:4" x14ac:dyDescent="0.25">
      <c r="A4459" t="s">
        <v>1973</v>
      </c>
      <c r="B4459" t="s">
        <v>1331</v>
      </c>
      <c r="C4459" t="s">
        <v>1351</v>
      </c>
      <c r="D4459">
        <v>3</v>
      </c>
    </row>
    <row r="4460" spans="1:4" x14ac:dyDescent="0.25">
      <c r="A4460" t="s">
        <v>1909</v>
      </c>
      <c r="B4460" t="s">
        <v>1335</v>
      </c>
      <c r="C4460" t="s">
        <v>1351</v>
      </c>
      <c r="D4460">
        <v>1.5</v>
      </c>
    </row>
    <row r="4461" spans="1:4" x14ac:dyDescent="0.25">
      <c r="A4461" t="s">
        <v>1987</v>
      </c>
      <c r="B4461" t="s">
        <v>1331</v>
      </c>
      <c r="C4461" t="s">
        <v>1351</v>
      </c>
      <c r="D4461">
        <v>633.15</v>
      </c>
    </row>
    <row r="4462" spans="1:4" x14ac:dyDescent="0.25">
      <c r="A4462" t="s">
        <v>1927</v>
      </c>
      <c r="B4462" t="s">
        <v>1331</v>
      </c>
      <c r="C4462" t="s">
        <v>1351</v>
      </c>
      <c r="D4462">
        <v>169.4</v>
      </c>
    </row>
    <row r="4463" spans="1:4" x14ac:dyDescent="0.25">
      <c r="A4463" t="s">
        <v>1945</v>
      </c>
      <c r="B4463" t="s">
        <v>1331</v>
      </c>
      <c r="C4463" t="s">
        <v>1351</v>
      </c>
      <c r="D4463">
        <v>8</v>
      </c>
    </row>
    <row r="4464" spans="1:4" x14ac:dyDescent="0.25">
      <c r="A4464" t="s">
        <v>1989</v>
      </c>
      <c r="B4464" t="s">
        <v>1331</v>
      </c>
      <c r="C4464" t="s">
        <v>1351</v>
      </c>
      <c r="D4464">
        <v>135.9</v>
      </c>
    </row>
    <row r="4465" spans="1:4" x14ac:dyDescent="0.25">
      <c r="A4465" t="s">
        <v>1902</v>
      </c>
      <c r="B4465" t="s">
        <v>1335</v>
      </c>
      <c r="C4465" t="s">
        <v>1351</v>
      </c>
      <c r="D4465">
        <v>29.25</v>
      </c>
    </row>
    <row r="4466" spans="1:4" x14ac:dyDescent="0.25">
      <c r="A4466" t="s">
        <v>1972</v>
      </c>
      <c r="B4466" t="s">
        <v>1334</v>
      </c>
      <c r="C4466" t="s">
        <v>1351</v>
      </c>
      <c r="D4466">
        <v>2</v>
      </c>
    </row>
    <row r="4467" spans="1:4" x14ac:dyDescent="0.25">
      <c r="A4467" t="s">
        <v>1999</v>
      </c>
      <c r="B4467" t="s">
        <v>1331</v>
      </c>
      <c r="C4467" t="s">
        <v>1351</v>
      </c>
      <c r="D4467">
        <v>60.8</v>
      </c>
    </row>
    <row r="4468" spans="1:4" x14ac:dyDescent="0.25">
      <c r="A4468" t="s">
        <v>2016</v>
      </c>
      <c r="B4468" t="s">
        <v>1331</v>
      </c>
      <c r="C4468" t="s">
        <v>1684</v>
      </c>
      <c r="D4468">
        <v>2</v>
      </c>
    </row>
    <row r="4469" spans="1:4" x14ac:dyDescent="0.25">
      <c r="A4469" t="s">
        <v>1959</v>
      </c>
      <c r="B4469" t="s">
        <v>1335</v>
      </c>
      <c r="C4469" t="s">
        <v>1684</v>
      </c>
      <c r="D4469">
        <v>18</v>
      </c>
    </row>
    <row r="4470" spans="1:4" x14ac:dyDescent="0.25">
      <c r="A4470" t="s">
        <v>1945</v>
      </c>
      <c r="B4470" t="s">
        <v>1331</v>
      </c>
      <c r="C4470" t="s">
        <v>1684</v>
      </c>
      <c r="D4470">
        <v>3</v>
      </c>
    </row>
    <row r="4471" spans="1:4" x14ac:dyDescent="0.25">
      <c r="A4471" t="s">
        <v>1945</v>
      </c>
      <c r="B4471" t="s">
        <v>1331</v>
      </c>
      <c r="C4471" t="s">
        <v>1445</v>
      </c>
      <c r="D4471">
        <v>1</v>
      </c>
    </row>
    <row r="4472" spans="1:4" x14ac:dyDescent="0.25">
      <c r="A4472" t="s">
        <v>1979</v>
      </c>
      <c r="B4472" t="s">
        <v>1331</v>
      </c>
      <c r="C4472" t="s">
        <v>1445</v>
      </c>
      <c r="D4472">
        <v>208</v>
      </c>
    </row>
    <row r="4473" spans="1:4" x14ac:dyDescent="0.25">
      <c r="A4473" t="s">
        <v>1963</v>
      </c>
      <c r="B4473" t="s">
        <v>1331</v>
      </c>
      <c r="C4473" t="s">
        <v>1445</v>
      </c>
      <c r="D4473">
        <v>35.65</v>
      </c>
    </row>
    <row r="4474" spans="1:4" x14ac:dyDescent="0.25">
      <c r="A4474" t="s">
        <v>1921</v>
      </c>
      <c r="B4474" t="s">
        <v>1330</v>
      </c>
      <c r="C4474" t="s">
        <v>1445</v>
      </c>
      <c r="D4474">
        <v>43.2</v>
      </c>
    </row>
    <row r="4475" spans="1:4" x14ac:dyDescent="0.25">
      <c r="A4475" t="s">
        <v>2025</v>
      </c>
      <c r="B4475" t="s">
        <v>1334</v>
      </c>
      <c r="C4475" t="s">
        <v>1439</v>
      </c>
      <c r="D4475">
        <v>109.8</v>
      </c>
    </row>
    <row r="4476" spans="1:4" x14ac:dyDescent="0.25">
      <c r="A4476" t="s">
        <v>2023</v>
      </c>
      <c r="B4476" t="s">
        <v>1330</v>
      </c>
      <c r="C4476" t="s">
        <v>1439</v>
      </c>
      <c r="D4476">
        <v>115.5</v>
      </c>
    </row>
    <row r="4477" spans="1:4" x14ac:dyDescent="0.25">
      <c r="A4477" t="s">
        <v>1961</v>
      </c>
      <c r="B4477" t="s">
        <v>1331</v>
      </c>
      <c r="C4477" t="s">
        <v>1439</v>
      </c>
      <c r="D4477">
        <v>91.1</v>
      </c>
    </row>
    <row r="4478" spans="1:4" x14ac:dyDescent="0.25">
      <c r="A4478" t="s">
        <v>1960</v>
      </c>
      <c r="B4478" t="s">
        <v>1331</v>
      </c>
      <c r="C4478" t="s">
        <v>1601</v>
      </c>
      <c r="D4478">
        <v>16.2</v>
      </c>
    </row>
    <row r="4479" spans="1:4" x14ac:dyDescent="0.25">
      <c r="A4479" t="s">
        <v>1945</v>
      </c>
      <c r="B4479" t="s">
        <v>1331</v>
      </c>
      <c r="C4479" t="s">
        <v>1601</v>
      </c>
      <c r="D4479">
        <v>21.2</v>
      </c>
    </row>
    <row r="4480" spans="1:4" x14ac:dyDescent="0.25">
      <c r="A4480" t="s">
        <v>1959</v>
      </c>
      <c r="B4480" t="s">
        <v>1335</v>
      </c>
      <c r="C4480" t="s">
        <v>1601</v>
      </c>
      <c r="D4480">
        <v>11</v>
      </c>
    </row>
    <row r="4481" spans="1:4" x14ac:dyDescent="0.25">
      <c r="A4481" t="s">
        <v>1962</v>
      </c>
      <c r="B4481" t="s">
        <v>1331</v>
      </c>
      <c r="C4481" t="s">
        <v>1513</v>
      </c>
      <c r="D4481">
        <v>41.2</v>
      </c>
    </row>
    <row r="4482" spans="1:4" x14ac:dyDescent="0.25">
      <c r="A4482" t="s">
        <v>1904</v>
      </c>
      <c r="B4482" t="s">
        <v>1331</v>
      </c>
      <c r="C4482" t="s">
        <v>1513</v>
      </c>
      <c r="D4482">
        <v>11</v>
      </c>
    </row>
    <row r="4483" spans="1:4" x14ac:dyDescent="0.25">
      <c r="A4483" t="s">
        <v>2023</v>
      </c>
      <c r="B4483" t="s">
        <v>1330</v>
      </c>
      <c r="C4483" t="s">
        <v>1513</v>
      </c>
      <c r="D4483">
        <v>65.45</v>
      </c>
    </row>
    <row r="4484" spans="1:4" x14ac:dyDescent="0.25">
      <c r="A4484" t="s">
        <v>1927</v>
      </c>
      <c r="B4484" t="s">
        <v>1331</v>
      </c>
      <c r="C4484" t="s">
        <v>1551</v>
      </c>
      <c r="D4484">
        <v>23.1</v>
      </c>
    </row>
    <row r="4485" spans="1:4" x14ac:dyDescent="0.25">
      <c r="A4485" t="s">
        <v>1971</v>
      </c>
      <c r="B4485" t="s">
        <v>1330</v>
      </c>
      <c r="C4485" t="s">
        <v>1551</v>
      </c>
      <c r="D4485">
        <v>49.7</v>
      </c>
    </row>
    <row r="4486" spans="1:4" x14ac:dyDescent="0.25">
      <c r="A4486" t="s">
        <v>1945</v>
      </c>
      <c r="B4486" t="s">
        <v>1331</v>
      </c>
      <c r="C4486" t="s">
        <v>1551</v>
      </c>
      <c r="D4486">
        <v>8.6999999999999993</v>
      </c>
    </row>
    <row r="4487" spans="1:4" x14ac:dyDescent="0.25">
      <c r="A4487" t="s">
        <v>1966</v>
      </c>
      <c r="B4487" t="s">
        <v>1331</v>
      </c>
      <c r="C4487" t="s">
        <v>1551</v>
      </c>
      <c r="D4487">
        <v>2</v>
      </c>
    </row>
    <row r="4488" spans="1:4" x14ac:dyDescent="0.25">
      <c r="A4488" t="s">
        <v>1921</v>
      </c>
      <c r="B4488" t="s">
        <v>1330</v>
      </c>
      <c r="C4488" t="s">
        <v>1672</v>
      </c>
      <c r="D4488">
        <v>22.1</v>
      </c>
    </row>
    <row r="4489" spans="1:4" x14ac:dyDescent="0.25">
      <c r="A4489" t="s">
        <v>1945</v>
      </c>
      <c r="B4489" t="s">
        <v>1331</v>
      </c>
      <c r="C4489" t="s">
        <v>1672</v>
      </c>
      <c r="D4489">
        <v>3</v>
      </c>
    </row>
    <row r="4490" spans="1:4" x14ac:dyDescent="0.25">
      <c r="A4490" t="s">
        <v>1972</v>
      </c>
      <c r="B4490" t="s">
        <v>1334</v>
      </c>
      <c r="C4490" t="s">
        <v>1459</v>
      </c>
      <c r="D4490">
        <v>74.8</v>
      </c>
    </row>
    <row r="4491" spans="1:4" x14ac:dyDescent="0.25">
      <c r="A4491" t="s">
        <v>2019</v>
      </c>
      <c r="B4491" t="s">
        <v>1334</v>
      </c>
      <c r="C4491" t="s">
        <v>1459</v>
      </c>
      <c r="D4491">
        <v>161.9</v>
      </c>
    </row>
    <row r="4492" spans="1:4" x14ac:dyDescent="0.25">
      <c r="A4492" t="s">
        <v>1902</v>
      </c>
      <c r="B4492" t="s">
        <v>1335</v>
      </c>
      <c r="C4492" t="s">
        <v>1357</v>
      </c>
      <c r="D4492">
        <v>167.15</v>
      </c>
    </row>
    <row r="4493" spans="1:4" x14ac:dyDescent="0.25">
      <c r="A4493" t="s">
        <v>1911</v>
      </c>
      <c r="B4493" t="s">
        <v>1335</v>
      </c>
      <c r="C4493" t="s">
        <v>1357</v>
      </c>
      <c r="D4493">
        <v>696.78</v>
      </c>
    </row>
    <row r="4494" spans="1:4" x14ac:dyDescent="0.25">
      <c r="A4494" t="s">
        <v>1980</v>
      </c>
      <c r="B4494" t="s">
        <v>1333</v>
      </c>
      <c r="C4494" t="s">
        <v>1357</v>
      </c>
      <c r="D4494">
        <v>8.4</v>
      </c>
    </row>
    <row r="4495" spans="1:4" x14ac:dyDescent="0.25">
      <c r="A4495" t="s">
        <v>2076</v>
      </c>
      <c r="B4495" t="s">
        <v>1333</v>
      </c>
      <c r="C4495" t="s">
        <v>1357</v>
      </c>
      <c r="D4495">
        <v>11.55</v>
      </c>
    </row>
    <row r="4496" spans="1:4" x14ac:dyDescent="0.25">
      <c r="A4496" t="s">
        <v>1914</v>
      </c>
      <c r="B4496" t="s">
        <v>1333</v>
      </c>
      <c r="C4496" t="s">
        <v>1357</v>
      </c>
      <c r="D4496">
        <v>20.8</v>
      </c>
    </row>
    <row r="4497" spans="1:4" x14ac:dyDescent="0.25">
      <c r="A4497" t="s">
        <v>1960</v>
      </c>
      <c r="B4497" t="s">
        <v>1333</v>
      </c>
      <c r="C4497" t="s">
        <v>1357</v>
      </c>
      <c r="D4497">
        <v>97.9</v>
      </c>
    </row>
    <row r="4498" spans="1:4" x14ac:dyDescent="0.25">
      <c r="A4498" t="s">
        <v>1913</v>
      </c>
      <c r="B4498" t="s">
        <v>1335</v>
      </c>
      <c r="C4498" t="s">
        <v>1357</v>
      </c>
      <c r="D4498">
        <v>309.7</v>
      </c>
    </row>
    <row r="4499" spans="1:4" x14ac:dyDescent="0.25">
      <c r="A4499" t="s">
        <v>2005</v>
      </c>
      <c r="B4499" t="s">
        <v>1333</v>
      </c>
      <c r="C4499" t="s">
        <v>1357</v>
      </c>
      <c r="D4499">
        <v>34.700000000000003</v>
      </c>
    </row>
    <row r="4500" spans="1:4" x14ac:dyDescent="0.25">
      <c r="A4500" t="s">
        <v>1921</v>
      </c>
      <c r="B4500" t="s">
        <v>1330</v>
      </c>
      <c r="C4500" t="s">
        <v>1357</v>
      </c>
      <c r="D4500">
        <v>135.30000000000001</v>
      </c>
    </row>
    <row r="4501" spans="1:4" x14ac:dyDescent="0.25">
      <c r="A4501" t="s">
        <v>1980</v>
      </c>
      <c r="B4501" t="s">
        <v>1331</v>
      </c>
      <c r="C4501" t="s">
        <v>1357</v>
      </c>
      <c r="D4501">
        <v>30.8</v>
      </c>
    </row>
    <row r="4502" spans="1:4" x14ac:dyDescent="0.25">
      <c r="A4502" t="s">
        <v>1986</v>
      </c>
      <c r="B4502" t="s">
        <v>1331</v>
      </c>
      <c r="C4502" t="s">
        <v>1357</v>
      </c>
      <c r="D4502">
        <v>16</v>
      </c>
    </row>
    <row r="4503" spans="1:4" x14ac:dyDescent="0.25">
      <c r="A4503" t="s">
        <v>1945</v>
      </c>
      <c r="B4503" t="s">
        <v>1333</v>
      </c>
      <c r="C4503" t="s">
        <v>1357</v>
      </c>
      <c r="D4503">
        <v>42</v>
      </c>
    </row>
    <row r="4504" spans="1:4" x14ac:dyDescent="0.25">
      <c r="A4504" t="s">
        <v>1979</v>
      </c>
      <c r="B4504" t="s">
        <v>1331</v>
      </c>
      <c r="C4504" t="s">
        <v>1357</v>
      </c>
      <c r="D4504">
        <v>3</v>
      </c>
    </row>
    <row r="4505" spans="1:4" x14ac:dyDescent="0.25">
      <c r="A4505" t="s">
        <v>1966</v>
      </c>
      <c r="B4505" t="s">
        <v>1333</v>
      </c>
      <c r="C4505" t="s">
        <v>1357</v>
      </c>
      <c r="D4505">
        <v>57.75</v>
      </c>
    </row>
    <row r="4506" spans="1:4" x14ac:dyDescent="0.25">
      <c r="A4506" t="s">
        <v>1918</v>
      </c>
      <c r="B4506" t="s">
        <v>1335</v>
      </c>
      <c r="C4506" t="s">
        <v>1357</v>
      </c>
      <c r="D4506">
        <v>56.45</v>
      </c>
    </row>
    <row r="4507" spans="1:4" x14ac:dyDescent="0.25">
      <c r="A4507" t="s">
        <v>1914</v>
      </c>
      <c r="B4507" t="s">
        <v>1335</v>
      </c>
      <c r="C4507" t="s">
        <v>1357</v>
      </c>
      <c r="D4507">
        <v>12.1</v>
      </c>
    </row>
    <row r="4508" spans="1:4" x14ac:dyDescent="0.25">
      <c r="A4508" t="s">
        <v>1945</v>
      </c>
      <c r="B4508" t="s">
        <v>1331</v>
      </c>
      <c r="C4508" t="s">
        <v>1357</v>
      </c>
      <c r="D4508">
        <v>5</v>
      </c>
    </row>
    <row r="4509" spans="1:4" x14ac:dyDescent="0.25">
      <c r="A4509" t="s">
        <v>1989</v>
      </c>
      <c r="B4509" t="s">
        <v>1331</v>
      </c>
      <c r="C4509" t="s">
        <v>1357</v>
      </c>
      <c r="D4509">
        <v>2</v>
      </c>
    </row>
    <row r="4510" spans="1:4" x14ac:dyDescent="0.25">
      <c r="A4510" t="s">
        <v>1966</v>
      </c>
      <c r="B4510" t="s">
        <v>1331</v>
      </c>
      <c r="C4510" t="s">
        <v>1357</v>
      </c>
      <c r="D4510">
        <v>1047.5</v>
      </c>
    </row>
    <row r="4511" spans="1:4" x14ac:dyDescent="0.25">
      <c r="A4511" t="s">
        <v>1931</v>
      </c>
      <c r="B4511" t="s">
        <v>1335</v>
      </c>
      <c r="C4511" t="s">
        <v>1357</v>
      </c>
      <c r="D4511">
        <v>11.55</v>
      </c>
    </row>
    <row r="4512" spans="1:4" x14ac:dyDescent="0.25">
      <c r="A4512" t="s">
        <v>2049</v>
      </c>
      <c r="B4512" t="s">
        <v>1331</v>
      </c>
      <c r="C4512" t="s">
        <v>1357</v>
      </c>
      <c r="D4512">
        <v>15.4</v>
      </c>
    </row>
    <row r="4513" spans="1:4" x14ac:dyDescent="0.25">
      <c r="A4513" t="s">
        <v>1929</v>
      </c>
      <c r="B4513" t="s">
        <v>1331</v>
      </c>
      <c r="C4513" t="s">
        <v>1357</v>
      </c>
      <c r="D4513">
        <v>2</v>
      </c>
    </row>
    <row r="4514" spans="1:4" x14ac:dyDescent="0.25">
      <c r="A4514" t="s">
        <v>1950</v>
      </c>
      <c r="B4514" t="s">
        <v>1331</v>
      </c>
      <c r="C4514" t="s">
        <v>1357</v>
      </c>
      <c r="D4514">
        <v>7.7</v>
      </c>
    </row>
    <row r="4515" spans="1:4" x14ac:dyDescent="0.25">
      <c r="A4515" t="s">
        <v>1909</v>
      </c>
      <c r="B4515" t="s">
        <v>1335</v>
      </c>
      <c r="C4515" t="s">
        <v>1357</v>
      </c>
      <c r="D4515">
        <v>175.4</v>
      </c>
    </row>
    <row r="4516" spans="1:4" x14ac:dyDescent="0.25">
      <c r="A4516" t="s">
        <v>1960</v>
      </c>
      <c r="B4516" t="s">
        <v>1331</v>
      </c>
      <c r="C4516" t="s">
        <v>1357</v>
      </c>
      <c r="D4516">
        <v>102.45</v>
      </c>
    </row>
    <row r="4517" spans="1:4" x14ac:dyDescent="0.25">
      <c r="A4517" t="s">
        <v>2077</v>
      </c>
      <c r="B4517" t="s">
        <v>1333</v>
      </c>
      <c r="C4517" t="s">
        <v>1357</v>
      </c>
      <c r="D4517">
        <v>7.7</v>
      </c>
    </row>
    <row r="4518" spans="1:4" x14ac:dyDescent="0.25">
      <c r="A4518" t="s">
        <v>2021</v>
      </c>
      <c r="B4518" t="s">
        <v>1334</v>
      </c>
      <c r="C4518" t="s">
        <v>1473</v>
      </c>
      <c r="D4518">
        <v>192.15</v>
      </c>
    </row>
    <row r="4519" spans="1:4" x14ac:dyDescent="0.25">
      <c r="A4519" t="s">
        <v>1963</v>
      </c>
      <c r="B4519" t="s">
        <v>1331</v>
      </c>
      <c r="C4519" t="s">
        <v>1416</v>
      </c>
      <c r="D4519">
        <v>326.10000000000002</v>
      </c>
    </row>
    <row r="4520" spans="1:4" x14ac:dyDescent="0.25">
      <c r="A4520" t="s">
        <v>1923</v>
      </c>
      <c r="B4520" t="s">
        <v>1331</v>
      </c>
      <c r="C4520" t="s">
        <v>1416</v>
      </c>
      <c r="D4520">
        <v>45</v>
      </c>
    </row>
    <row r="4521" spans="1:4" x14ac:dyDescent="0.25">
      <c r="A4521" t="s">
        <v>1973</v>
      </c>
      <c r="B4521" t="s">
        <v>1331</v>
      </c>
      <c r="C4521" t="s">
        <v>1416</v>
      </c>
      <c r="D4521">
        <v>15.4</v>
      </c>
    </row>
    <row r="4522" spans="1:4" x14ac:dyDescent="0.25">
      <c r="A4522" t="s">
        <v>2020</v>
      </c>
      <c r="B4522" t="s">
        <v>1334</v>
      </c>
      <c r="C4522" t="s">
        <v>1416</v>
      </c>
      <c r="D4522">
        <v>80.5</v>
      </c>
    </row>
    <row r="4523" spans="1:4" x14ac:dyDescent="0.25">
      <c r="A4523" t="s">
        <v>1902</v>
      </c>
      <c r="B4523" t="s">
        <v>1335</v>
      </c>
      <c r="C4523" t="s">
        <v>1416</v>
      </c>
      <c r="D4523">
        <v>0.5</v>
      </c>
    </row>
    <row r="4524" spans="1:4" x14ac:dyDescent="0.25">
      <c r="A4524" t="s">
        <v>1913</v>
      </c>
      <c r="B4524" t="s">
        <v>1335</v>
      </c>
      <c r="C4524" t="s">
        <v>1416</v>
      </c>
      <c r="D4524">
        <v>25.15</v>
      </c>
    </row>
    <row r="4525" spans="1:4" x14ac:dyDescent="0.25">
      <c r="A4525" t="s">
        <v>2023</v>
      </c>
      <c r="B4525" t="s">
        <v>1330</v>
      </c>
      <c r="C4525" t="s">
        <v>1481</v>
      </c>
      <c r="D4525">
        <v>69.3</v>
      </c>
    </row>
    <row r="4526" spans="1:4" x14ac:dyDescent="0.25">
      <c r="A4526" t="s">
        <v>2025</v>
      </c>
      <c r="B4526" t="s">
        <v>1334</v>
      </c>
      <c r="C4526" t="s">
        <v>1481</v>
      </c>
      <c r="D4526">
        <v>106.2</v>
      </c>
    </row>
    <row r="4527" spans="1:4" x14ac:dyDescent="0.25">
      <c r="A4527" t="s">
        <v>2019</v>
      </c>
      <c r="B4527" t="s">
        <v>1334</v>
      </c>
      <c r="C4527" t="s">
        <v>1843</v>
      </c>
      <c r="D4527">
        <v>2.7</v>
      </c>
    </row>
    <row r="4528" spans="1:4" x14ac:dyDescent="0.25">
      <c r="A4528" t="s">
        <v>1963</v>
      </c>
      <c r="B4528" t="s">
        <v>1331</v>
      </c>
      <c r="C4528" t="s">
        <v>1694</v>
      </c>
      <c r="D4528">
        <v>21.1</v>
      </c>
    </row>
    <row r="4529" spans="1:4" x14ac:dyDescent="0.25">
      <c r="A4529" t="s">
        <v>1913</v>
      </c>
      <c r="B4529" t="s">
        <v>1335</v>
      </c>
      <c r="C4529" t="s">
        <v>1626</v>
      </c>
      <c r="D4529">
        <v>0.5</v>
      </c>
    </row>
    <row r="4530" spans="1:4" x14ac:dyDescent="0.25">
      <c r="A4530" t="s">
        <v>1945</v>
      </c>
      <c r="B4530" t="s">
        <v>1331</v>
      </c>
      <c r="C4530" t="s">
        <v>1626</v>
      </c>
      <c r="D4530">
        <v>25.2</v>
      </c>
    </row>
    <row r="4531" spans="1:4" x14ac:dyDescent="0.25">
      <c r="A4531" t="s">
        <v>1986</v>
      </c>
      <c r="B4531" t="s">
        <v>1331</v>
      </c>
      <c r="C4531" t="s">
        <v>1626</v>
      </c>
      <c r="D4531">
        <v>3</v>
      </c>
    </row>
    <row r="4532" spans="1:4" x14ac:dyDescent="0.25">
      <c r="A4532" t="s">
        <v>1902</v>
      </c>
      <c r="B4532" t="s">
        <v>1335</v>
      </c>
      <c r="C4532" t="s">
        <v>1626</v>
      </c>
      <c r="D4532">
        <v>8.85</v>
      </c>
    </row>
    <row r="4533" spans="1:4" x14ac:dyDescent="0.25">
      <c r="A4533" t="s">
        <v>1927</v>
      </c>
      <c r="B4533" t="s">
        <v>1331</v>
      </c>
      <c r="C4533" t="s">
        <v>1372</v>
      </c>
      <c r="D4533">
        <v>513.75</v>
      </c>
    </row>
    <row r="4534" spans="1:4" x14ac:dyDescent="0.25">
      <c r="A4534" t="s">
        <v>1990</v>
      </c>
      <c r="B4534" t="s">
        <v>1334</v>
      </c>
      <c r="C4534" t="s">
        <v>1372</v>
      </c>
      <c r="D4534">
        <v>100.7</v>
      </c>
    </row>
    <row r="4535" spans="1:4" x14ac:dyDescent="0.25">
      <c r="A4535" t="s">
        <v>1923</v>
      </c>
      <c r="B4535" t="s">
        <v>1331</v>
      </c>
      <c r="C4535" t="s">
        <v>1372</v>
      </c>
      <c r="D4535">
        <v>21.1</v>
      </c>
    </row>
    <row r="4536" spans="1:4" x14ac:dyDescent="0.25">
      <c r="A4536" t="s">
        <v>1990</v>
      </c>
      <c r="B4536" t="s">
        <v>1331</v>
      </c>
      <c r="C4536" t="s">
        <v>1372</v>
      </c>
      <c r="D4536">
        <v>10.1</v>
      </c>
    </row>
    <row r="4537" spans="1:4" x14ac:dyDescent="0.25">
      <c r="A4537" t="s">
        <v>1974</v>
      </c>
      <c r="B4537" t="s">
        <v>1330</v>
      </c>
      <c r="C4537" t="s">
        <v>1372</v>
      </c>
      <c r="D4537">
        <v>2</v>
      </c>
    </row>
    <row r="4538" spans="1:4" x14ac:dyDescent="0.25">
      <c r="A4538" t="s">
        <v>1904</v>
      </c>
      <c r="B4538" t="s">
        <v>1331</v>
      </c>
      <c r="C4538" t="s">
        <v>1372</v>
      </c>
      <c r="D4538">
        <v>586.5</v>
      </c>
    </row>
    <row r="4539" spans="1:4" x14ac:dyDescent="0.25">
      <c r="A4539" t="s">
        <v>1972</v>
      </c>
      <c r="B4539" t="s">
        <v>1334</v>
      </c>
      <c r="C4539" t="s">
        <v>1372</v>
      </c>
      <c r="D4539">
        <v>15.1</v>
      </c>
    </row>
    <row r="4540" spans="1:4" x14ac:dyDescent="0.25">
      <c r="A4540" t="s">
        <v>1909</v>
      </c>
      <c r="B4540" t="s">
        <v>1335</v>
      </c>
      <c r="C4540" t="s">
        <v>1372</v>
      </c>
      <c r="D4540">
        <v>3</v>
      </c>
    </row>
    <row r="4541" spans="1:4" x14ac:dyDescent="0.25">
      <c r="A4541" t="s">
        <v>1981</v>
      </c>
      <c r="B4541" t="s">
        <v>1331</v>
      </c>
      <c r="C4541" t="s">
        <v>1372</v>
      </c>
      <c r="D4541">
        <v>304.64999999999998</v>
      </c>
    </row>
    <row r="4542" spans="1:4" x14ac:dyDescent="0.25">
      <c r="A4542" t="s">
        <v>1960</v>
      </c>
      <c r="B4542" t="s">
        <v>1331</v>
      </c>
      <c r="C4542" t="s">
        <v>1372</v>
      </c>
      <c r="D4542">
        <v>3.1</v>
      </c>
    </row>
    <row r="4543" spans="1:4" x14ac:dyDescent="0.25">
      <c r="A4543" t="s">
        <v>1950</v>
      </c>
      <c r="B4543" t="s">
        <v>1331</v>
      </c>
      <c r="C4543" t="s">
        <v>1372</v>
      </c>
      <c r="D4543">
        <v>2</v>
      </c>
    </row>
    <row r="4544" spans="1:4" x14ac:dyDescent="0.25">
      <c r="A4544" t="s">
        <v>1961</v>
      </c>
      <c r="B4544" t="s">
        <v>1331</v>
      </c>
      <c r="C4544" t="s">
        <v>1372</v>
      </c>
      <c r="D4544">
        <v>6.9</v>
      </c>
    </row>
    <row r="4545" spans="1:4" x14ac:dyDescent="0.25">
      <c r="A4545" t="s">
        <v>1995</v>
      </c>
      <c r="B4545" t="s">
        <v>1330</v>
      </c>
      <c r="C4545" t="s">
        <v>1631</v>
      </c>
      <c r="D4545">
        <v>3</v>
      </c>
    </row>
    <row r="4546" spans="1:4" x14ac:dyDescent="0.25">
      <c r="A4546" t="s">
        <v>1960</v>
      </c>
      <c r="B4546" t="s">
        <v>1331</v>
      </c>
      <c r="C4546" t="s">
        <v>1631</v>
      </c>
      <c r="D4546">
        <v>2</v>
      </c>
    </row>
    <row r="4547" spans="1:4" x14ac:dyDescent="0.25">
      <c r="A4547" t="s">
        <v>1945</v>
      </c>
      <c r="B4547" t="s">
        <v>1331</v>
      </c>
      <c r="C4547" t="s">
        <v>1631</v>
      </c>
      <c r="D4547">
        <v>29.7</v>
      </c>
    </row>
    <row r="4548" spans="1:4" x14ac:dyDescent="0.25">
      <c r="A4548" t="s">
        <v>1986</v>
      </c>
      <c r="B4548" t="s">
        <v>1331</v>
      </c>
      <c r="C4548" t="s">
        <v>1494</v>
      </c>
      <c r="D4548">
        <v>13</v>
      </c>
    </row>
    <row r="4549" spans="1:4" x14ac:dyDescent="0.25">
      <c r="A4549" t="s">
        <v>1973</v>
      </c>
      <c r="B4549" t="s">
        <v>1331</v>
      </c>
      <c r="C4549" t="s">
        <v>1494</v>
      </c>
      <c r="D4549">
        <v>0.5</v>
      </c>
    </row>
    <row r="4550" spans="1:4" x14ac:dyDescent="0.25">
      <c r="A4550" t="s">
        <v>1945</v>
      </c>
      <c r="B4550" t="s">
        <v>1331</v>
      </c>
      <c r="C4550" t="s">
        <v>1494</v>
      </c>
      <c r="D4550">
        <v>122.7</v>
      </c>
    </row>
    <row r="4551" spans="1:4" x14ac:dyDescent="0.25">
      <c r="A4551" t="s">
        <v>1909</v>
      </c>
      <c r="B4551" t="s">
        <v>1335</v>
      </c>
      <c r="C4551" t="s">
        <v>1494</v>
      </c>
      <c r="D4551">
        <v>0.5</v>
      </c>
    </row>
    <row r="4552" spans="1:4" x14ac:dyDescent="0.25">
      <c r="A4552" t="s">
        <v>1969</v>
      </c>
      <c r="B4552" t="s">
        <v>1331</v>
      </c>
      <c r="C4552" t="s">
        <v>1494</v>
      </c>
      <c r="D4552">
        <v>13.4</v>
      </c>
    </row>
    <row r="4553" spans="1:4" x14ac:dyDescent="0.25">
      <c r="A4553" t="s">
        <v>1981</v>
      </c>
      <c r="B4553" t="s">
        <v>1334</v>
      </c>
      <c r="C4553" t="s">
        <v>634</v>
      </c>
      <c r="D4553">
        <v>15.4</v>
      </c>
    </row>
    <row r="4554" spans="1:4" x14ac:dyDescent="0.25">
      <c r="A4554" t="s">
        <v>1981</v>
      </c>
      <c r="B4554" t="s">
        <v>1331</v>
      </c>
      <c r="C4554" t="s">
        <v>634</v>
      </c>
      <c r="D4554">
        <v>3.85</v>
      </c>
    </row>
    <row r="4555" spans="1:4" x14ac:dyDescent="0.25">
      <c r="A4555" t="s">
        <v>1990</v>
      </c>
      <c r="B4555" t="s">
        <v>1334</v>
      </c>
      <c r="C4555" t="s">
        <v>634</v>
      </c>
      <c r="D4555">
        <v>4.7</v>
      </c>
    </row>
    <row r="4556" spans="1:4" x14ac:dyDescent="0.25">
      <c r="A4556" t="s">
        <v>1960</v>
      </c>
      <c r="B4556" t="s">
        <v>1331</v>
      </c>
      <c r="C4556" t="s">
        <v>634</v>
      </c>
      <c r="D4556">
        <v>378.75</v>
      </c>
    </row>
    <row r="4557" spans="1:4" x14ac:dyDescent="0.25">
      <c r="A4557" t="s">
        <v>1979</v>
      </c>
      <c r="B4557" t="s">
        <v>1331</v>
      </c>
      <c r="C4557" t="s">
        <v>1408</v>
      </c>
      <c r="D4557">
        <v>223</v>
      </c>
    </row>
    <row r="4558" spans="1:4" x14ac:dyDescent="0.25">
      <c r="A4558" t="s">
        <v>1973</v>
      </c>
      <c r="B4558" t="s">
        <v>1331</v>
      </c>
      <c r="C4558" t="s">
        <v>1408</v>
      </c>
      <c r="D4558">
        <v>5.7</v>
      </c>
    </row>
    <row r="4559" spans="1:4" x14ac:dyDescent="0.25">
      <c r="A4559" t="s">
        <v>1972</v>
      </c>
      <c r="B4559" t="s">
        <v>1334</v>
      </c>
      <c r="C4559" t="s">
        <v>1408</v>
      </c>
      <c r="D4559">
        <v>5</v>
      </c>
    </row>
    <row r="4560" spans="1:4" x14ac:dyDescent="0.25">
      <c r="A4560" t="s">
        <v>1965</v>
      </c>
      <c r="B4560" t="s">
        <v>1331</v>
      </c>
      <c r="C4560" t="s">
        <v>1408</v>
      </c>
      <c r="D4560">
        <v>34.799999999999997</v>
      </c>
    </row>
    <row r="4561" spans="1:4" x14ac:dyDescent="0.25">
      <c r="A4561" t="s">
        <v>1909</v>
      </c>
      <c r="B4561" t="s">
        <v>1335</v>
      </c>
      <c r="C4561" t="s">
        <v>1408</v>
      </c>
      <c r="D4561">
        <v>42.9</v>
      </c>
    </row>
    <row r="4562" spans="1:4" x14ac:dyDescent="0.25">
      <c r="A4562" t="s">
        <v>1921</v>
      </c>
      <c r="B4562" t="s">
        <v>1330</v>
      </c>
      <c r="C4562" t="s">
        <v>1408</v>
      </c>
      <c r="D4562">
        <v>80.55</v>
      </c>
    </row>
    <row r="4563" spans="1:4" x14ac:dyDescent="0.25">
      <c r="A4563" t="s">
        <v>1968</v>
      </c>
      <c r="B4563" t="s">
        <v>1330</v>
      </c>
      <c r="C4563" t="s">
        <v>1408</v>
      </c>
      <c r="D4563">
        <v>4.8499999999999996</v>
      </c>
    </row>
    <row r="4564" spans="1:4" x14ac:dyDescent="0.25">
      <c r="A4564" t="s">
        <v>1963</v>
      </c>
      <c r="B4564" t="s">
        <v>1330</v>
      </c>
      <c r="C4564" t="s">
        <v>1408</v>
      </c>
      <c r="D4564">
        <v>8.4</v>
      </c>
    </row>
    <row r="4565" spans="1:4" x14ac:dyDescent="0.25">
      <c r="A4565" t="s">
        <v>1920</v>
      </c>
      <c r="B4565" t="s">
        <v>1334</v>
      </c>
      <c r="C4565" t="s">
        <v>1408</v>
      </c>
      <c r="D4565">
        <v>3</v>
      </c>
    </row>
    <row r="4566" spans="1:4" x14ac:dyDescent="0.25">
      <c r="A4566" t="s">
        <v>1939</v>
      </c>
      <c r="B4566" t="s">
        <v>1331</v>
      </c>
      <c r="C4566" t="s">
        <v>1408</v>
      </c>
      <c r="D4566">
        <v>23.25</v>
      </c>
    </row>
    <row r="4567" spans="1:4" x14ac:dyDescent="0.25">
      <c r="A4567" t="s">
        <v>1902</v>
      </c>
      <c r="B4567" t="s">
        <v>1335</v>
      </c>
      <c r="C4567" t="s">
        <v>1408</v>
      </c>
      <c r="D4567">
        <v>5.7</v>
      </c>
    </row>
    <row r="4568" spans="1:4" x14ac:dyDescent="0.25">
      <c r="A4568" t="s">
        <v>1931</v>
      </c>
      <c r="B4568" t="s">
        <v>1335</v>
      </c>
      <c r="C4568" t="s">
        <v>1408</v>
      </c>
      <c r="D4568">
        <v>23.1</v>
      </c>
    </row>
    <row r="4569" spans="1:4" x14ac:dyDescent="0.25">
      <c r="A4569" t="s">
        <v>1995</v>
      </c>
      <c r="B4569" t="s">
        <v>1330</v>
      </c>
      <c r="C4569" t="s">
        <v>1408</v>
      </c>
      <c r="D4569">
        <v>2</v>
      </c>
    </row>
    <row r="4570" spans="1:4" x14ac:dyDescent="0.25">
      <c r="A4570" t="s">
        <v>1966</v>
      </c>
      <c r="B4570" t="s">
        <v>1331</v>
      </c>
      <c r="C4570" t="s">
        <v>1408</v>
      </c>
      <c r="D4570">
        <v>3.85</v>
      </c>
    </row>
    <row r="4571" spans="1:4" x14ac:dyDescent="0.25">
      <c r="A4571" t="s">
        <v>1968</v>
      </c>
      <c r="B4571" t="s">
        <v>1331</v>
      </c>
      <c r="C4571" t="s">
        <v>1408</v>
      </c>
      <c r="D4571">
        <v>1.6</v>
      </c>
    </row>
    <row r="4572" spans="1:4" x14ac:dyDescent="0.25">
      <c r="A4572" t="s">
        <v>1911</v>
      </c>
      <c r="B4572" t="s">
        <v>1335</v>
      </c>
      <c r="C4572" t="s">
        <v>1408</v>
      </c>
      <c r="D4572">
        <v>7.7</v>
      </c>
    </row>
    <row r="4573" spans="1:4" x14ac:dyDescent="0.25">
      <c r="A4573" t="s">
        <v>1963</v>
      </c>
      <c r="B4573" t="s">
        <v>1331</v>
      </c>
      <c r="C4573" t="s">
        <v>1408</v>
      </c>
      <c r="D4573">
        <v>92.4</v>
      </c>
    </row>
    <row r="4574" spans="1:4" x14ac:dyDescent="0.25">
      <c r="A4574" t="s">
        <v>1956</v>
      </c>
      <c r="B4574" t="s">
        <v>1335</v>
      </c>
      <c r="C4574" t="s">
        <v>1515</v>
      </c>
      <c r="D4574">
        <v>7.7</v>
      </c>
    </row>
    <row r="4575" spans="1:4" x14ac:dyDescent="0.25">
      <c r="A4575" t="s">
        <v>1931</v>
      </c>
      <c r="B4575" t="s">
        <v>1335</v>
      </c>
      <c r="C4575" t="s">
        <v>1515</v>
      </c>
      <c r="D4575">
        <v>7.7</v>
      </c>
    </row>
    <row r="4576" spans="1:4" x14ac:dyDescent="0.25">
      <c r="A4576" t="s">
        <v>1978</v>
      </c>
      <c r="B4576" t="s">
        <v>1335</v>
      </c>
      <c r="C4576" t="s">
        <v>1515</v>
      </c>
      <c r="D4576">
        <v>12.8</v>
      </c>
    </row>
    <row r="4577" spans="1:4" x14ac:dyDescent="0.25">
      <c r="A4577" t="s">
        <v>1987</v>
      </c>
      <c r="B4577" t="s">
        <v>1331</v>
      </c>
      <c r="C4577" t="s">
        <v>1515</v>
      </c>
      <c r="D4577">
        <v>88.6</v>
      </c>
    </row>
    <row r="4578" spans="1:4" x14ac:dyDescent="0.25">
      <c r="A4578" t="s">
        <v>1945</v>
      </c>
      <c r="B4578" t="s">
        <v>1331</v>
      </c>
      <c r="C4578" t="s">
        <v>1854</v>
      </c>
      <c r="D4578">
        <v>2</v>
      </c>
    </row>
    <row r="4579" spans="1:4" x14ac:dyDescent="0.25">
      <c r="A4579" t="s">
        <v>1929</v>
      </c>
      <c r="B4579" t="s">
        <v>1331</v>
      </c>
      <c r="C4579" t="s">
        <v>1490</v>
      </c>
      <c r="D4579">
        <v>29</v>
      </c>
    </row>
    <row r="4580" spans="1:4" x14ac:dyDescent="0.25">
      <c r="A4580" t="s">
        <v>1913</v>
      </c>
      <c r="B4580" t="s">
        <v>1335</v>
      </c>
      <c r="C4580" t="s">
        <v>1490</v>
      </c>
      <c r="D4580">
        <v>3.85</v>
      </c>
    </row>
    <row r="4581" spans="1:4" x14ac:dyDescent="0.25">
      <c r="A4581" t="s">
        <v>1909</v>
      </c>
      <c r="B4581" t="s">
        <v>1335</v>
      </c>
      <c r="C4581" t="s">
        <v>1490</v>
      </c>
      <c r="D4581">
        <v>1</v>
      </c>
    </row>
    <row r="4582" spans="1:4" x14ac:dyDescent="0.25">
      <c r="A4582" t="s">
        <v>1923</v>
      </c>
      <c r="B4582" t="s">
        <v>1331</v>
      </c>
      <c r="C4582" t="s">
        <v>1490</v>
      </c>
      <c r="D4582">
        <v>6.5</v>
      </c>
    </row>
    <row r="4583" spans="1:4" x14ac:dyDescent="0.25">
      <c r="A4583" t="s">
        <v>1945</v>
      </c>
      <c r="B4583" t="s">
        <v>1331</v>
      </c>
      <c r="C4583" t="s">
        <v>1490</v>
      </c>
      <c r="D4583">
        <v>49.1</v>
      </c>
    </row>
    <row r="4584" spans="1:4" x14ac:dyDescent="0.25">
      <c r="A4584" t="s">
        <v>1986</v>
      </c>
      <c r="B4584" t="s">
        <v>1331</v>
      </c>
      <c r="C4584" t="s">
        <v>1490</v>
      </c>
      <c r="D4584">
        <v>67</v>
      </c>
    </row>
    <row r="4585" spans="1:4" x14ac:dyDescent="0.25">
      <c r="A4585" t="s">
        <v>2016</v>
      </c>
      <c r="B4585" t="s">
        <v>1331</v>
      </c>
      <c r="C4585" t="s">
        <v>1661</v>
      </c>
      <c r="D4585">
        <v>1.37</v>
      </c>
    </row>
    <row r="4586" spans="1:4" x14ac:dyDescent="0.25">
      <c r="A4586" t="s">
        <v>1945</v>
      </c>
      <c r="B4586" t="s">
        <v>1331</v>
      </c>
      <c r="C4586" t="s">
        <v>1661</v>
      </c>
      <c r="D4586">
        <v>25.7</v>
      </c>
    </row>
    <row r="4587" spans="1:4" x14ac:dyDescent="0.25">
      <c r="A4587" t="s">
        <v>2019</v>
      </c>
      <c r="B4587" t="s">
        <v>1334</v>
      </c>
      <c r="C4587" t="s">
        <v>1501</v>
      </c>
      <c r="D4587">
        <v>64.900000000000006</v>
      </c>
    </row>
    <row r="4588" spans="1:4" x14ac:dyDescent="0.25">
      <c r="A4588" t="s">
        <v>1972</v>
      </c>
      <c r="B4588" t="s">
        <v>1334</v>
      </c>
      <c r="C4588" t="s">
        <v>1501</v>
      </c>
      <c r="D4588">
        <v>73.7</v>
      </c>
    </row>
    <row r="4589" spans="1:4" x14ac:dyDescent="0.25">
      <c r="A4589" t="s">
        <v>1966</v>
      </c>
      <c r="B4589" t="s">
        <v>1331</v>
      </c>
      <c r="C4589" t="s">
        <v>1440</v>
      </c>
      <c r="D4589">
        <v>211.75</v>
      </c>
    </row>
    <row r="4590" spans="1:4" x14ac:dyDescent="0.25">
      <c r="A4590" t="s">
        <v>1921</v>
      </c>
      <c r="B4590" t="s">
        <v>1330</v>
      </c>
      <c r="C4590" t="s">
        <v>1440</v>
      </c>
      <c r="D4590">
        <v>35.5</v>
      </c>
    </row>
    <row r="4591" spans="1:4" x14ac:dyDescent="0.25">
      <c r="A4591" t="s">
        <v>1931</v>
      </c>
      <c r="B4591" t="s">
        <v>1335</v>
      </c>
      <c r="C4591" t="s">
        <v>1440</v>
      </c>
      <c r="D4591">
        <v>15.4</v>
      </c>
    </row>
    <row r="4592" spans="1:4" x14ac:dyDescent="0.25">
      <c r="A4592" t="s">
        <v>1911</v>
      </c>
      <c r="B4592" t="s">
        <v>1335</v>
      </c>
      <c r="C4592" t="s">
        <v>1440</v>
      </c>
      <c r="D4592">
        <v>3.85</v>
      </c>
    </row>
    <row r="4593" spans="1:4" x14ac:dyDescent="0.25">
      <c r="A4593" t="s">
        <v>1902</v>
      </c>
      <c r="B4593" t="s">
        <v>1335</v>
      </c>
      <c r="C4593" t="s">
        <v>1440</v>
      </c>
      <c r="D4593">
        <v>3</v>
      </c>
    </row>
    <row r="4594" spans="1:4" x14ac:dyDescent="0.25">
      <c r="A4594" t="s">
        <v>1920</v>
      </c>
      <c r="B4594" t="s">
        <v>1331</v>
      </c>
      <c r="C4594" t="s">
        <v>1440</v>
      </c>
      <c r="D4594">
        <v>34.5</v>
      </c>
    </row>
    <row r="4595" spans="1:4" x14ac:dyDescent="0.25">
      <c r="A4595" t="s">
        <v>1929</v>
      </c>
      <c r="B4595" t="s">
        <v>1331</v>
      </c>
      <c r="C4595" t="s">
        <v>1440</v>
      </c>
      <c r="D4595">
        <v>8</v>
      </c>
    </row>
    <row r="4596" spans="1:4" x14ac:dyDescent="0.25">
      <c r="A4596" t="s">
        <v>2021</v>
      </c>
      <c r="B4596" t="s">
        <v>1334</v>
      </c>
      <c r="C4596" t="s">
        <v>1868</v>
      </c>
      <c r="D4596">
        <v>1.5</v>
      </c>
    </row>
    <row r="4597" spans="1:4" x14ac:dyDescent="0.25">
      <c r="A4597" t="s">
        <v>1987</v>
      </c>
      <c r="B4597" t="s">
        <v>1331</v>
      </c>
      <c r="C4597" t="s">
        <v>1809</v>
      </c>
      <c r="D4597">
        <v>5.0199999999999996</v>
      </c>
    </row>
    <row r="4598" spans="1:4" x14ac:dyDescent="0.25">
      <c r="A4598" t="s">
        <v>1967</v>
      </c>
      <c r="B4598" t="s">
        <v>1331</v>
      </c>
      <c r="C4598" t="s">
        <v>1770</v>
      </c>
      <c r="D4598">
        <v>8.6999999999999993</v>
      </c>
    </row>
    <row r="4599" spans="1:4" x14ac:dyDescent="0.25">
      <c r="A4599" t="s">
        <v>1945</v>
      </c>
      <c r="B4599" t="s">
        <v>1331</v>
      </c>
      <c r="C4599" t="s">
        <v>1855</v>
      </c>
      <c r="D4599">
        <v>2</v>
      </c>
    </row>
    <row r="4600" spans="1:4" x14ac:dyDescent="0.25">
      <c r="A4600" t="s">
        <v>1929</v>
      </c>
      <c r="B4600" t="s">
        <v>1331</v>
      </c>
      <c r="C4600" t="s">
        <v>1835</v>
      </c>
      <c r="D4600">
        <v>3</v>
      </c>
    </row>
    <row r="4601" spans="1:4" x14ac:dyDescent="0.25">
      <c r="A4601" t="s">
        <v>1986</v>
      </c>
      <c r="B4601" t="s">
        <v>1331</v>
      </c>
      <c r="C4601" t="s">
        <v>1657</v>
      </c>
      <c r="D4601">
        <v>12</v>
      </c>
    </row>
    <row r="4602" spans="1:4" x14ac:dyDescent="0.25">
      <c r="A4602" t="s">
        <v>1945</v>
      </c>
      <c r="B4602" t="s">
        <v>1331</v>
      </c>
      <c r="C4602" t="s">
        <v>1657</v>
      </c>
      <c r="D4602">
        <v>15.55</v>
      </c>
    </row>
    <row r="4603" spans="1:4" x14ac:dyDescent="0.25">
      <c r="A4603" t="s">
        <v>1995</v>
      </c>
      <c r="B4603" t="s">
        <v>1330</v>
      </c>
      <c r="C4603" t="s">
        <v>1657</v>
      </c>
      <c r="D4603">
        <v>0.7</v>
      </c>
    </row>
    <row r="4604" spans="1:4" x14ac:dyDescent="0.25">
      <c r="A4604" t="s">
        <v>2016</v>
      </c>
      <c r="B4604" t="s">
        <v>1331</v>
      </c>
      <c r="C4604" t="s">
        <v>1568</v>
      </c>
      <c r="D4604">
        <v>0.81</v>
      </c>
    </row>
    <row r="4605" spans="1:4" x14ac:dyDescent="0.25">
      <c r="A4605" t="s">
        <v>1945</v>
      </c>
      <c r="B4605" t="s">
        <v>1331</v>
      </c>
      <c r="C4605" t="s">
        <v>1568</v>
      </c>
      <c r="D4605">
        <v>70.3</v>
      </c>
    </row>
    <row r="4606" spans="1:4" x14ac:dyDescent="0.25">
      <c r="A4606" t="s">
        <v>2020</v>
      </c>
      <c r="B4606" t="s">
        <v>1334</v>
      </c>
      <c r="C4606" t="s">
        <v>1377</v>
      </c>
      <c r="D4606">
        <v>3.85</v>
      </c>
    </row>
    <row r="4607" spans="1:4" x14ac:dyDescent="0.25">
      <c r="A4607" t="s">
        <v>2023</v>
      </c>
      <c r="B4607" t="s">
        <v>1330</v>
      </c>
      <c r="C4607" t="s">
        <v>1377</v>
      </c>
      <c r="D4607">
        <v>223.3</v>
      </c>
    </row>
    <row r="4608" spans="1:4" x14ac:dyDescent="0.25">
      <c r="A4608" t="s">
        <v>1963</v>
      </c>
      <c r="B4608" t="s">
        <v>1331</v>
      </c>
      <c r="C4608" t="s">
        <v>1377</v>
      </c>
      <c r="D4608">
        <v>168.4</v>
      </c>
    </row>
    <row r="4609" spans="1:4" x14ac:dyDescent="0.25">
      <c r="A4609" t="s">
        <v>1962</v>
      </c>
      <c r="B4609" t="s">
        <v>1331</v>
      </c>
      <c r="C4609" t="s">
        <v>1377</v>
      </c>
      <c r="D4609">
        <v>38.799999999999997</v>
      </c>
    </row>
    <row r="4610" spans="1:4" x14ac:dyDescent="0.25">
      <c r="A4610" t="s">
        <v>2029</v>
      </c>
      <c r="B4610" t="s">
        <v>1334</v>
      </c>
      <c r="C4610" t="s">
        <v>1377</v>
      </c>
      <c r="D4610">
        <v>662.35</v>
      </c>
    </row>
    <row r="4611" spans="1:4" x14ac:dyDescent="0.25">
      <c r="A4611" t="s">
        <v>1990</v>
      </c>
      <c r="B4611" t="s">
        <v>1334</v>
      </c>
      <c r="C4611" t="s">
        <v>1377</v>
      </c>
      <c r="D4611">
        <v>16.8</v>
      </c>
    </row>
    <row r="4612" spans="1:4" x14ac:dyDescent="0.25">
      <c r="A4612" t="s">
        <v>1961</v>
      </c>
      <c r="B4612" t="s">
        <v>1331</v>
      </c>
      <c r="C4612" t="s">
        <v>1377</v>
      </c>
      <c r="D4612">
        <v>2</v>
      </c>
    </row>
    <row r="4613" spans="1:4" x14ac:dyDescent="0.25">
      <c r="A4613" t="s">
        <v>2025</v>
      </c>
      <c r="B4613" t="s">
        <v>1334</v>
      </c>
      <c r="C4613" t="s">
        <v>1377</v>
      </c>
      <c r="D4613">
        <v>60.15</v>
      </c>
    </row>
    <row r="4614" spans="1:4" x14ac:dyDescent="0.25">
      <c r="A4614" t="s">
        <v>1959</v>
      </c>
      <c r="B4614" t="s">
        <v>1335</v>
      </c>
      <c r="C4614" t="s">
        <v>1753</v>
      </c>
      <c r="D4614">
        <v>10</v>
      </c>
    </row>
    <row r="4615" spans="1:4" x14ac:dyDescent="0.25">
      <c r="A4615" t="s">
        <v>1945</v>
      </c>
      <c r="B4615" t="s">
        <v>1331</v>
      </c>
      <c r="C4615" t="s">
        <v>1876</v>
      </c>
      <c r="D4615">
        <v>1</v>
      </c>
    </row>
    <row r="4616" spans="1:4" x14ac:dyDescent="0.25">
      <c r="A4616" t="s">
        <v>1904</v>
      </c>
      <c r="B4616" t="s">
        <v>1331</v>
      </c>
      <c r="C4616" t="s">
        <v>1658</v>
      </c>
      <c r="D4616">
        <v>4</v>
      </c>
    </row>
    <row r="4617" spans="1:4" x14ac:dyDescent="0.25">
      <c r="A4617" t="s">
        <v>1945</v>
      </c>
      <c r="B4617" t="s">
        <v>1331</v>
      </c>
      <c r="C4617" t="s">
        <v>1658</v>
      </c>
      <c r="D4617">
        <v>20.399999999999999</v>
      </c>
    </row>
    <row r="4618" spans="1:4" x14ac:dyDescent="0.25">
      <c r="A4618" t="s">
        <v>2023</v>
      </c>
      <c r="B4618" t="s">
        <v>1330</v>
      </c>
      <c r="C4618" t="s">
        <v>1658</v>
      </c>
      <c r="D4618">
        <v>3.85</v>
      </c>
    </row>
    <row r="4619" spans="1:4" x14ac:dyDescent="0.25">
      <c r="A4619" t="s">
        <v>1921</v>
      </c>
      <c r="B4619" t="s">
        <v>1330</v>
      </c>
      <c r="C4619" t="s">
        <v>1399</v>
      </c>
      <c r="D4619">
        <v>68</v>
      </c>
    </row>
    <row r="4620" spans="1:4" x14ac:dyDescent="0.25">
      <c r="A4620" t="s">
        <v>1966</v>
      </c>
      <c r="B4620" t="s">
        <v>1331</v>
      </c>
      <c r="C4620" t="s">
        <v>1399</v>
      </c>
      <c r="D4620">
        <v>360.05</v>
      </c>
    </row>
    <row r="4621" spans="1:4" x14ac:dyDescent="0.25">
      <c r="A4621" t="s">
        <v>1911</v>
      </c>
      <c r="B4621" t="s">
        <v>1335</v>
      </c>
      <c r="C4621" t="s">
        <v>1399</v>
      </c>
      <c r="D4621">
        <v>68.8</v>
      </c>
    </row>
    <row r="4622" spans="1:4" x14ac:dyDescent="0.25">
      <c r="A4622" t="s">
        <v>1902</v>
      </c>
      <c r="B4622" t="s">
        <v>1335</v>
      </c>
      <c r="C4622" t="s">
        <v>1399</v>
      </c>
      <c r="D4622">
        <v>15.4</v>
      </c>
    </row>
    <row r="4623" spans="1:4" x14ac:dyDescent="0.25">
      <c r="A4623" t="s">
        <v>1909</v>
      </c>
      <c r="B4623" t="s">
        <v>1335</v>
      </c>
      <c r="C4623" t="s">
        <v>1399</v>
      </c>
      <c r="D4623">
        <v>153</v>
      </c>
    </row>
    <row r="4624" spans="1:4" x14ac:dyDescent="0.25">
      <c r="A4624" t="s">
        <v>1973</v>
      </c>
      <c r="B4624" t="s">
        <v>1333</v>
      </c>
      <c r="C4624" t="s">
        <v>1399</v>
      </c>
      <c r="D4624">
        <v>3.85</v>
      </c>
    </row>
    <row r="4625" spans="1:4" x14ac:dyDescent="0.25">
      <c r="A4625" t="s">
        <v>1913</v>
      </c>
      <c r="B4625" t="s">
        <v>1335</v>
      </c>
      <c r="C4625" t="s">
        <v>1399</v>
      </c>
      <c r="D4625">
        <v>18.100000000000001</v>
      </c>
    </row>
    <row r="4626" spans="1:4" x14ac:dyDescent="0.25">
      <c r="A4626" t="s">
        <v>1960</v>
      </c>
      <c r="B4626" t="s">
        <v>1333</v>
      </c>
      <c r="C4626" t="s">
        <v>1399</v>
      </c>
      <c r="D4626">
        <v>6.6</v>
      </c>
    </row>
    <row r="4627" spans="1:4" x14ac:dyDescent="0.25">
      <c r="A4627" t="s">
        <v>1913</v>
      </c>
      <c r="B4627" t="s">
        <v>1335</v>
      </c>
      <c r="C4627" t="s">
        <v>1303</v>
      </c>
      <c r="D4627">
        <v>12.55</v>
      </c>
    </row>
    <row r="4628" spans="1:4" x14ac:dyDescent="0.25">
      <c r="A4628" t="s">
        <v>1909</v>
      </c>
      <c r="B4628" t="s">
        <v>1335</v>
      </c>
      <c r="C4628" t="s">
        <v>1303</v>
      </c>
      <c r="D4628">
        <v>29.4</v>
      </c>
    </row>
    <row r="4629" spans="1:4" x14ac:dyDescent="0.25">
      <c r="A4629" t="s">
        <v>1929</v>
      </c>
      <c r="B4629" t="s">
        <v>1331</v>
      </c>
      <c r="C4629" t="s">
        <v>1303</v>
      </c>
      <c r="D4629">
        <v>225</v>
      </c>
    </row>
    <row r="4630" spans="1:4" x14ac:dyDescent="0.25">
      <c r="A4630" t="s">
        <v>1921</v>
      </c>
      <c r="B4630" t="s">
        <v>1330</v>
      </c>
      <c r="C4630" t="s">
        <v>1303</v>
      </c>
      <c r="D4630">
        <v>27.8</v>
      </c>
    </row>
    <row r="4631" spans="1:4" x14ac:dyDescent="0.25">
      <c r="A4631" t="s">
        <v>2024</v>
      </c>
      <c r="B4631" t="s">
        <v>1334</v>
      </c>
      <c r="C4631" t="s">
        <v>1502</v>
      </c>
      <c r="D4631">
        <v>115.5</v>
      </c>
    </row>
    <row r="4632" spans="1:4" x14ac:dyDescent="0.25">
      <c r="A4632" t="s">
        <v>2029</v>
      </c>
      <c r="B4632" t="s">
        <v>1334</v>
      </c>
      <c r="C4632" t="s">
        <v>1502</v>
      </c>
      <c r="D4632">
        <v>23.1</v>
      </c>
    </row>
    <row r="4633" spans="1:4" x14ac:dyDescent="0.25">
      <c r="A4633" t="s">
        <v>1920</v>
      </c>
      <c r="B4633" t="s">
        <v>1334</v>
      </c>
      <c r="C4633" t="s">
        <v>1542</v>
      </c>
      <c r="D4633">
        <v>8.5</v>
      </c>
    </row>
    <row r="4634" spans="1:4" x14ac:dyDescent="0.25">
      <c r="A4634" t="s">
        <v>1904</v>
      </c>
      <c r="B4634" t="s">
        <v>1331</v>
      </c>
      <c r="C4634" t="s">
        <v>1542</v>
      </c>
      <c r="D4634">
        <v>72</v>
      </c>
    </row>
    <row r="4635" spans="1:4" x14ac:dyDescent="0.25">
      <c r="A4635" t="s">
        <v>1963</v>
      </c>
      <c r="B4635" t="s">
        <v>1331</v>
      </c>
      <c r="C4635" t="s">
        <v>1542</v>
      </c>
      <c r="D4635">
        <v>7.7</v>
      </c>
    </row>
    <row r="4636" spans="1:4" x14ac:dyDescent="0.25">
      <c r="A4636" t="s">
        <v>1945</v>
      </c>
      <c r="B4636" t="s">
        <v>1331</v>
      </c>
      <c r="C4636" t="s">
        <v>1524</v>
      </c>
      <c r="D4636">
        <v>12</v>
      </c>
    </row>
    <row r="4637" spans="1:4" x14ac:dyDescent="0.25">
      <c r="A4637" t="s">
        <v>1923</v>
      </c>
      <c r="B4637" t="s">
        <v>1331</v>
      </c>
      <c r="C4637" t="s">
        <v>1524</v>
      </c>
      <c r="D4637">
        <v>79.900000000000006</v>
      </c>
    </row>
    <row r="4638" spans="1:4" x14ac:dyDescent="0.25">
      <c r="A4638" t="s">
        <v>1959</v>
      </c>
      <c r="B4638" t="s">
        <v>1335</v>
      </c>
      <c r="C4638" t="s">
        <v>1524</v>
      </c>
      <c r="D4638">
        <v>10</v>
      </c>
    </row>
    <row r="4639" spans="1:4" x14ac:dyDescent="0.25">
      <c r="A4639" t="s">
        <v>1986</v>
      </c>
      <c r="B4639" t="s">
        <v>1331</v>
      </c>
      <c r="C4639" t="s">
        <v>1524</v>
      </c>
      <c r="D4639">
        <v>7</v>
      </c>
    </row>
    <row r="4640" spans="1:4" x14ac:dyDescent="0.25">
      <c r="A4640" t="s">
        <v>1959</v>
      </c>
      <c r="B4640" t="s">
        <v>1335</v>
      </c>
      <c r="C4640" t="s">
        <v>1617</v>
      </c>
      <c r="D4640">
        <v>41</v>
      </c>
    </row>
    <row r="4641" spans="1:4" x14ac:dyDescent="0.25">
      <c r="A4641" t="s">
        <v>1945</v>
      </c>
      <c r="B4641" t="s">
        <v>1331</v>
      </c>
      <c r="C4641" t="s">
        <v>1771</v>
      </c>
      <c r="D4641">
        <v>8.6999999999999993</v>
      </c>
    </row>
    <row r="4642" spans="1:4" x14ac:dyDescent="0.25">
      <c r="A4642" t="s">
        <v>1945</v>
      </c>
      <c r="B4642" t="s">
        <v>1331</v>
      </c>
      <c r="C4642" t="s">
        <v>1856</v>
      </c>
      <c r="D4642">
        <v>2</v>
      </c>
    </row>
    <row r="4643" spans="1:4" x14ac:dyDescent="0.25">
      <c r="A4643" t="s">
        <v>2020</v>
      </c>
      <c r="B4643" t="s">
        <v>1334</v>
      </c>
      <c r="C4643" t="s">
        <v>1811</v>
      </c>
      <c r="D4643">
        <v>5</v>
      </c>
    </row>
    <row r="4644" spans="1:4" x14ac:dyDescent="0.25">
      <c r="A4644" t="s">
        <v>2029</v>
      </c>
      <c r="B4644" t="s">
        <v>1334</v>
      </c>
      <c r="C4644" t="s">
        <v>1680</v>
      </c>
      <c r="D4644">
        <v>23.1</v>
      </c>
    </row>
    <row r="4645" spans="1:4" x14ac:dyDescent="0.25">
      <c r="A4645" t="s">
        <v>1913</v>
      </c>
      <c r="B4645" t="s">
        <v>1335</v>
      </c>
      <c r="C4645" t="s">
        <v>1448</v>
      </c>
      <c r="D4645">
        <v>2</v>
      </c>
    </row>
    <row r="4646" spans="1:4" x14ac:dyDescent="0.25">
      <c r="A4646" t="s">
        <v>1925</v>
      </c>
      <c r="B4646" t="s">
        <v>1331</v>
      </c>
      <c r="C4646" t="s">
        <v>1448</v>
      </c>
      <c r="D4646">
        <v>161.55000000000001</v>
      </c>
    </row>
    <row r="4647" spans="1:4" x14ac:dyDescent="0.25">
      <c r="A4647" t="s">
        <v>1962</v>
      </c>
      <c r="B4647" t="s">
        <v>1331</v>
      </c>
      <c r="C4647" t="s">
        <v>1448</v>
      </c>
      <c r="D4647">
        <v>74.400000000000006</v>
      </c>
    </row>
    <row r="4648" spans="1:4" x14ac:dyDescent="0.25">
      <c r="A4648" t="s">
        <v>1963</v>
      </c>
      <c r="B4648" t="s">
        <v>1331</v>
      </c>
      <c r="C4648" t="s">
        <v>1448</v>
      </c>
      <c r="D4648">
        <v>30.8</v>
      </c>
    </row>
    <row r="4649" spans="1:4" x14ac:dyDescent="0.25">
      <c r="A4649" t="s">
        <v>1959</v>
      </c>
      <c r="B4649" t="s">
        <v>1335</v>
      </c>
      <c r="C4649" t="s">
        <v>1623</v>
      </c>
      <c r="D4649">
        <v>9</v>
      </c>
    </row>
    <row r="4650" spans="1:4" x14ac:dyDescent="0.25">
      <c r="A4650" t="s">
        <v>1945</v>
      </c>
      <c r="B4650" t="s">
        <v>1331</v>
      </c>
      <c r="C4650" t="s">
        <v>1623</v>
      </c>
      <c r="D4650">
        <v>29</v>
      </c>
    </row>
    <row r="4651" spans="1:4" x14ac:dyDescent="0.25">
      <c r="A4651" t="s">
        <v>1959</v>
      </c>
      <c r="B4651" t="s">
        <v>1335</v>
      </c>
      <c r="C4651" t="s">
        <v>1529</v>
      </c>
      <c r="D4651">
        <v>4</v>
      </c>
    </row>
    <row r="4652" spans="1:4" x14ac:dyDescent="0.25">
      <c r="A4652" t="s">
        <v>1913</v>
      </c>
      <c r="B4652" t="s">
        <v>1335</v>
      </c>
      <c r="C4652" t="s">
        <v>1529</v>
      </c>
      <c r="D4652">
        <v>1</v>
      </c>
    </row>
    <row r="4653" spans="1:4" x14ac:dyDescent="0.25">
      <c r="A4653" t="s">
        <v>1945</v>
      </c>
      <c r="B4653" t="s">
        <v>1331</v>
      </c>
      <c r="C4653" t="s">
        <v>1529</v>
      </c>
      <c r="D4653">
        <v>35</v>
      </c>
    </row>
    <row r="4654" spans="1:4" x14ac:dyDescent="0.25">
      <c r="A4654" t="s">
        <v>1923</v>
      </c>
      <c r="B4654" t="s">
        <v>1331</v>
      </c>
      <c r="C4654" t="s">
        <v>1529</v>
      </c>
      <c r="D4654">
        <v>62.1</v>
      </c>
    </row>
    <row r="4655" spans="1:4" x14ac:dyDescent="0.25">
      <c r="A4655" t="s">
        <v>1925</v>
      </c>
      <c r="B4655" t="s">
        <v>1331</v>
      </c>
      <c r="C4655" t="s">
        <v>1702</v>
      </c>
      <c r="D4655">
        <v>19.399999999999999</v>
      </c>
    </row>
    <row r="4656" spans="1:4" x14ac:dyDescent="0.25">
      <c r="A4656" t="s">
        <v>1945</v>
      </c>
      <c r="B4656" t="s">
        <v>1331</v>
      </c>
      <c r="C4656" t="s">
        <v>1693</v>
      </c>
      <c r="D4656">
        <v>15.7</v>
      </c>
    </row>
    <row r="4657" spans="1:4" x14ac:dyDescent="0.25">
      <c r="A4657" t="s">
        <v>1959</v>
      </c>
      <c r="B4657" t="s">
        <v>1335</v>
      </c>
      <c r="C4657" t="s">
        <v>1693</v>
      </c>
      <c r="D4657">
        <v>6</v>
      </c>
    </row>
    <row r="4658" spans="1:4" x14ac:dyDescent="0.25">
      <c r="A4658" t="s">
        <v>1959</v>
      </c>
      <c r="B4658" t="s">
        <v>1335</v>
      </c>
      <c r="C4658" t="s">
        <v>1800</v>
      </c>
      <c r="D4658">
        <v>6</v>
      </c>
    </row>
    <row r="4659" spans="1:4" x14ac:dyDescent="0.25">
      <c r="A4659" t="s">
        <v>1987</v>
      </c>
      <c r="B4659" t="s">
        <v>1331</v>
      </c>
      <c r="C4659" t="s">
        <v>1656</v>
      </c>
      <c r="D4659">
        <v>14.09</v>
      </c>
    </row>
    <row r="4660" spans="1:4" x14ac:dyDescent="0.25">
      <c r="A4660" t="s">
        <v>1921</v>
      </c>
      <c r="B4660" t="s">
        <v>1330</v>
      </c>
      <c r="C4660" t="s">
        <v>1656</v>
      </c>
      <c r="D4660">
        <v>14.4</v>
      </c>
    </row>
    <row r="4661" spans="1:4" x14ac:dyDescent="0.25">
      <c r="A4661" t="s">
        <v>1945</v>
      </c>
      <c r="B4661" t="s">
        <v>1331</v>
      </c>
      <c r="C4661" t="s">
        <v>1467</v>
      </c>
      <c r="D4661">
        <v>29.4</v>
      </c>
    </row>
    <row r="4662" spans="1:4" x14ac:dyDescent="0.25">
      <c r="A4662" t="s">
        <v>2016</v>
      </c>
      <c r="B4662" t="s">
        <v>1331</v>
      </c>
      <c r="C4662" t="s">
        <v>1467</v>
      </c>
      <c r="D4662">
        <v>184.66</v>
      </c>
    </row>
    <row r="4663" spans="1:4" x14ac:dyDescent="0.25">
      <c r="A4663" t="s">
        <v>1962</v>
      </c>
      <c r="B4663" t="s">
        <v>1331</v>
      </c>
      <c r="C4663" t="s">
        <v>1632</v>
      </c>
      <c r="D4663">
        <v>13.25</v>
      </c>
    </row>
    <row r="4664" spans="1:4" x14ac:dyDescent="0.25">
      <c r="A4664" t="s">
        <v>1925</v>
      </c>
      <c r="B4664" t="s">
        <v>1331</v>
      </c>
      <c r="C4664" t="s">
        <v>1632</v>
      </c>
      <c r="D4664">
        <v>21.25</v>
      </c>
    </row>
    <row r="4665" spans="1:4" x14ac:dyDescent="0.25">
      <c r="A4665" t="s">
        <v>2025</v>
      </c>
      <c r="B4665" t="s">
        <v>1334</v>
      </c>
      <c r="C4665" t="s">
        <v>1354</v>
      </c>
      <c r="D4665">
        <v>533.04999999999995</v>
      </c>
    </row>
    <row r="4666" spans="1:4" x14ac:dyDescent="0.25">
      <c r="A4666" t="s">
        <v>2019</v>
      </c>
      <c r="B4666" t="s">
        <v>1334</v>
      </c>
      <c r="C4666" t="s">
        <v>1354</v>
      </c>
      <c r="D4666">
        <v>14.1</v>
      </c>
    </row>
    <row r="4667" spans="1:4" x14ac:dyDescent="0.25">
      <c r="A4667" t="s">
        <v>1962</v>
      </c>
      <c r="B4667" t="s">
        <v>1331</v>
      </c>
      <c r="C4667" t="s">
        <v>1354</v>
      </c>
      <c r="D4667">
        <v>20.100000000000001</v>
      </c>
    </row>
    <row r="4668" spans="1:4" x14ac:dyDescent="0.25">
      <c r="A4668" t="s">
        <v>2035</v>
      </c>
      <c r="B4668" t="s">
        <v>1331</v>
      </c>
      <c r="C4668" t="s">
        <v>1354</v>
      </c>
      <c r="D4668">
        <v>6.7</v>
      </c>
    </row>
    <row r="4669" spans="1:4" x14ac:dyDescent="0.25">
      <c r="A4669" t="s">
        <v>2048</v>
      </c>
      <c r="B4669" t="s">
        <v>1334</v>
      </c>
      <c r="C4669" t="s">
        <v>1354</v>
      </c>
      <c r="D4669">
        <v>25.1</v>
      </c>
    </row>
    <row r="4670" spans="1:4" x14ac:dyDescent="0.25">
      <c r="A4670" t="s">
        <v>2035</v>
      </c>
      <c r="B4670" t="s">
        <v>1334</v>
      </c>
      <c r="C4670" t="s">
        <v>1354</v>
      </c>
      <c r="D4670">
        <v>820.7</v>
      </c>
    </row>
    <row r="4671" spans="1:4" x14ac:dyDescent="0.25">
      <c r="A4671" t="s">
        <v>2028</v>
      </c>
      <c r="B4671" t="s">
        <v>1334</v>
      </c>
      <c r="C4671" t="s">
        <v>1354</v>
      </c>
      <c r="D4671">
        <v>991.15</v>
      </c>
    </row>
    <row r="4672" spans="1:4" x14ac:dyDescent="0.25">
      <c r="A4672" t="s">
        <v>2041</v>
      </c>
      <c r="B4672" t="s">
        <v>1334</v>
      </c>
      <c r="C4672" t="s">
        <v>1354</v>
      </c>
      <c r="D4672">
        <v>539.45000000000005</v>
      </c>
    </row>
    <row r="4673" spans="1:4" x14ac:dyDescent="0.25">
      <c r="A4673" t="s">
        <v>2048</v>
      </c>
      <c r="B4673" t="s">
        <v>1331</v>
      </c>
      <c r="C4673" t="s">
        <v>1354</v>
      </c>
      <c r="D4673">
        <v>7.7</v>
      </c>
    </row>
    <row r="4674" spans="1:4" x14ac:dyDescent="0.25">
      <c r="A4674" t="s">
        <v>2078</v>
      </c>
      <c r="B4674" t="s">
        <v>1334</v>
      </c>
      <c r="C4674" t="s">
        <v>1354</v>
      </c>
      <c r="D4674">
        <v>229.7</v>
      </c>
    </row>
    <row r="4675" spans="1:4" x14ac:dyDescent="0.25">
      <c r="A4675" t="s">
        <v>2025</v>
      </c>
      <c r="B4675" t="s">
        <v>1330</v>
      </c>
      <c r="C4675" t="s">
        <v>1354</v>
      </c>
      <c r="D4675">
        <v>1.7</v>
      </c>
    </row>
    <row r="4676" spans="1:4" x14ac:dyDescent="0.25">
      <c r="A4676" t="s">
        <v>1971</v>
      </c>
      <c r="B4676" t="s">
        <v>1330</v>
      </c>
      <c r="C4676" t="s">
        <v>1345</v>
      </c>
      <c r="D4676">
        <v>9.1999999999999993</v>
      </c>
    </row>
    <row r="4677" spans="1:4" x14ac:dyDescent="0.25">
      <c r="A4677" t="s">
        <v>1962</v>
      </c>
      <c r="B4677" t="s">
        <v>1331</v>
      </c>
      <c r="C4677" t="s">
        <v>1345</v>
      </c>
      <c r="D4677">
        <v>524.4</v>
      </c>
    </row>
    <row r="4678" spans="1:4" x14ac:dyDescent="0.25">
      <c r="A4678" t="s">
        <v>2041</v>
      </c>
      <c r="B4678" t="s">
        <v>1334</v>
      </c>
      <c r="C4678" t="s">
        <v>1345</v>
      </c>
      <c r="D4678">
        <v>263.5</v>
      </c>
    </row>
    <row r="4679" spans="1:4" x14ac:dyDescent="0.25">
      <c r="A4679" t="s">
        <v>1983</v>
      </c>
      <c r="B4679" t="s">
        <v>1335</v>
      </c>
      <c r="C4679" t="s">
        <v>1345</v>
      </c>
      <c r="D4679">
        <v>7.1</v>
      </c>
    </row>
    <row r="4680" spans="1:4" x14ac:dyDescent="0.25">
      <c r="A4680" t="s">
        <v>1972</v>
      </c>
      <c r="B4680" t="s">
        <v>1334</v>
      </c>
      <c r="C4680" t="s">
        <v>1345</v>
      </c>
      <c r="D4680">
        <v>197.6</v>
      </c>
    </row>
    <row r="4681" spans="1:4" x14ac:dyDescent="0.25">
      <c r="A4681" t="s">
        <v>2000</v>
      </c>
      <c r="B4681" t="s">
        <v>1331</v>
      </c>
      <c r="C4681" t="s">
        <v>1345</v>
      </c>
      <c r="D4681">
        <v>33.5</v>
      </c>
    </row>
    <row r="4682" spans="1:4" x14ac:dyDescent="0.25">
      <c r="A4682" t="s">
        <v>1984</v>
      </c>
      <c r="B4682" t="s">
        <v>1331</v>
      </c>
      <c r="C4682" t="s">
        <v>1345</v>
      </c>
      <c r="D4682">
        <v>555.71</v>
      </c>
    </row>
    <row r="4683" spans="1:4" x14ac:dyDescent="0.25">
      <c r="A4683" t="s">
        <v>2035</v>
      </c>
      <c r="B4683" t="s">
        <v>1334</v>
      </c>
      <c r="C4683" t="s">
        <v>1345</v>
      </c>
      <c r="D4683">
        <v>1039</v>
      </c>
    </row>
    <row r="4684" spans="1:4" x14ac:dyDescent="0.25">
      <c r="A4684" t="s">
        <v>2033</v>
      </c>
      <c r="B4684" t="s">
        <v>1334</v>
      </c>
      <c r="C4684" t="s">
        <v>1345</v>
      </c>
      <c r="D4684">
        <v>642.29999999999995</v>
      </c>
    </row>
    <row r="4685" spans="1:4" x14ac:dyDescent="0.25">
      <c r="A4685" t="s">
        <v>2028</v>
      </c>
      <c r="B4685" t="s">
        <v>1334</v>
      </c>
      <c r="C4685" t="s">
        <v>1345</v>
      </c>
      <c r="D4685">
        <v>259.8</v>
      </c>
    </row>
    <row r="4686" spans="1:4" x14ac:dyDescent="0.25">
      <c r="A4686" t="s">
        <v>1961</v>
      </c>
      <c r="B4686" t="s">
        <v>1331</v>
      </c>
      <c r="C4686" t="s">
        <v>1345</v>
      </c>
      <c r="D4686">
        <v>525.65</v>
      </c>
    </row>
    <row r="4687" spans="1:4" x14ac:dyDescent="0.25">
      <c r="A4687" t="s">
        <v>2004</v>
      </c>
      <c r="B4687" t="s">
        <v>1331</v>
      </c>
      <c r="C4687" t="s">
        <v>1345</v>
      </c>
      <c r="D4687">
        <v>265.98</v>
      </c>
    </row>
    <row r="4688" spans="1:4" x14ac:dyDescent="0.25">
      <c r="A4688" t="s">
        <v>2015</v>
      </c>
      <c r="B4688" t="s">
        <v>1331</v>
      </c>
      <c r="C4688" t="s">
        <v>1345</v>
      </c>
      <c r="D4688">
        <v>62.2</v>
      </c>
    </row>
    <row r="4689" spans="1:4" x14ac:dyDescent="0.25">
      <c r="A4689" t="s">
        <v>2025</v>
      </c>
      <c r="B4689" t="s">
        <v>1334</v>
      </c>
      <c r="C4689" t="s">
        <v>1345</v>
      </c>
      <c r="D4689">
        <v>507.85</v>
      </c>
    </row>
    <row r="4690" spans="1:4" x14ac:dyDescent="0.25">
      <c r="A4690" t="s">
        <v>1958</v>
      </c>
      <c r="B4690" t="s">
        <v>1331</v>
      </c>
      <c r="C4690" t="s">
        <v>1345</v>
      </c>
      <c r="D4690">
        <v>14.9</v>
      </c>
    </row>
    <row r="4691" spans="1:4" x14ac:dyDescent="0.25">
      <c r="A4691" t="s">
        <v>2023</v>
      </c>
      <c r="B4691" t="s">
        <v>1330</v>
      </c>
      <c r="C4691" t="s">
        <v>1345</v>
      </c>
      <c r="D4691">
        <v>173.1</v>
      </c>
    </row>
    <row r="4692" spans="1:4" x14ac:dyDescent="0.25">
      <c r="A4692" t="s">
        <v>1992</v>
      </c>
      <c r="B4692" t="s">
        <v>1335</v>
      </c>
      <c r="C4692" t="s">
        <v>1345</v>
      </c>
      <c r="D4692">
        <v>254.1</v>
      </c>
    </row>
    <row r="4693" spans="1:4" x14ac:dyDescent="0.25">
      <c r="A4693" t="s">
        <v>1990</v>
      </c>
      <c r="B4693" t="s">
        <v>1334</v>
      </c>
      <c r="C4693" t="s">
        <v>1345</v>
      </c>
      <c r="D4693">
        <v>11.7</v>
      </c>
    </row>
    <row r="4694" spans="1:4" x14ac:dyDescent="0.25">
      <c r="A4694" t="s">
        <v>1907</v>
      </c>
      <c r="B4694" t="s">
        <v>1335</v>
      </c>
      <c r="C4694" t="s">
        <v>1345</v>
      </c>
      <c r="D4694">
        <v>8.6999999999999993</v>
      </c>
    </row>
    <row r="4695" spans="1:4" x14ac:dyDescent="0.25">
      <c r="A4695" t="s">
        <v>1996</v>
      </c>
      <c r="B4695" t="s">
        <v>1335</v>
      </c>
      <c r="C4695" t="s">
        <v>1345</v>
      </c>
      <c r="D4695">
        <v>62.8</v>
      </c>
    </row>
    <row r="4696" spans="1:4" x14ac:dyDescent="0.25">
      <c r="A4696" t="s">
        <v>1907</v>
      </c>
      <c r="B4696" t="s">
        <v>1335</v>
      </c>
      <c r="C4696" t="s">
        <v>1353</v>
      </c>
      <c r="D4696">
        <v>2</v>
      </c>
    </row>
    <row r="4697" spans="1:4" x14ac:dyDescent="0.25">
      <c r="A4697" t="s">
        <v>1986</v>
      </c>
      <c r="B4697" t="s">
        <v>1331</v>
      </c>
      <c r="C4697" t="s">
        <v>1353</v>
      </c>
      <c r="D4697">
        <v>1235</v>
      </c>
    </row>
    <row r="4698" spans="1:4" x14ac:dyDescent="0.25">
      <c r="A4698" t="s">
        <v>1945</v>
      </c>
      <c r="B4698" t="s">
        <v>1331</v>
      </c>
      <c r="C4698" t="s">
        <v>1353</v>
      </c>
      <c r="D4698">
        <v>2</v>
      </c>
    </row>
    <row r="4699" spans="1:4" x14ac:dyDescent="0.25">
      <c r="A4699" t="s">
        <v>1913</v>
      </c>
      <c r="B4699" t="s">
        <v>1335</v>
      </c>
      <c r="C4699" t="s">
        <v>1353</v>
      </c>
      <c r="D4699">
        <v>31.1</v>
      </c>
    </row>
    <row r="4700" spans="1:4" x14ac:dyDescent="0.25">
      <c r="A4700" t="s">
        <v>1987</v>
      </c>
      <c r="B4700" t="s">
        <v>1331</v>
      </c>
      <c r="C4700" t="s">
        <v>1353</v>
      </c>
      <c r="D4700">
        <v>494.56</v>
      </c>
    </row>
    <row r="4701" spans="1:4" x14ac:dyDescent="0.25">
      <c r="A4701" t="s">
        <v>1918</v>
      </c>
      <c r="B4701" t="s">
        <v>1335</v>
      </c>
      <c r="C4701" t="s">
        <v>1353</v>
      </c>
      <c r="D4701">
        <v>15</v>
      </c>
    </row>
    <row r="4702" spans="1:4" x14ac:dyDescent="0.25">
      <c r="A4702" t="s">
        <v>1935</v>
      </c>
      <c r="B4702" t="s">
        <v>1331</v>
      </c>
      <c r="C4702" t="s">
        <v>1353</v>
      </c>
      <c r="D4702">
        <v>1421.65</v>
      </c>
    </row>
    <row r="4703" spans="1:4" x14ac:dyDescent="0.25">
      <c r="A4703" t="s">
        <v>1909</v>
      </c>
      <c r="B4703" t="s">
        <v>1335</v>
      </c>
      <c r="C4703" t="s">
        <v>1353</v>
      </c>
      <c r="D4703">
        <v>72.7</v>
      </c>
    </row>
    <row r="4704" spans="1:4" x14ac:dyDescent="0.25">
      <c r="A4704" t="s">
        <v>2016</v>
      </c>
      <c r="B4704" t="s">
        <v>1331</v>
      </c>
      <c r="C4704" t="s">
        <v>1353</v>
      </c>
      <c r="D4704">
        <v>1.4</v>
      </c>
    </row>
    <row r="4705" spans="1:4" x14ac:dyDescent="0.25">
      <c r="A4705" t="s">
        <v>2026</v>
      </c>
      <c r="B4705" t="s">
        <v>1334</v>
      </c>
      <c r="C4705" t="s">
        <v>1666</v>
      </c>
      <c r="D4705">
        <v>26.8</v>
      </c>
    </row>
    <row r="4706" spans="1:4" x14ac:dyDescent="0.25">
      <c r="A4706" t="s">
        <v>1929</v>
      </c>
      <c r="B4706" t="s">
        <v>1331</v>
      </c>
      <c r="C4706" t="s">
        <v>1498</v>
      </c>
      <c r="D4706">
        <v>47.15</v>
      </c>
    </row>
    <row r="4707" spans="1:4" x14ac:dyDescent="0.25">
      <c r="A4707" t="s">
        <v>1909</v>
      </c>
      <c r="B4707" t="s">
        <v>1335</v>
      </c>
      <c r="C4707" t="s">
        <v>1498</v>
      </c>
      <c r="D4707">
        <v>6</v>
      </c>
    </row>
    <row r="4708" spans="1:4" x14ac:dyDescent="0.25">
      <c r="A4708" t="s">
        <v>1945</v>
      </c>
      <c r="B4708" t="s">
        <v>1331</v>
      </c>
      <c r="C4708" t="s">
        <v>1498</v>
      </c>
      <c r="D4708">
        <v>9</v>
      </c>
    </row>
    <row r="4709" spans="1:4" x14ac:dyDescent="0.25">
      <c r="A4709" t="s">
        <v>1913</v>
      </c>
      <c r="B4709" t="s">
        <v>1335</v>
      </c>
      <c r="C4709" t="s">
        <v>1498</v>
      </c>
      <c r="D4709">
        <v>1.5</v>
      </c>
    </row>
    <row r="4710" spans="1:4" x14ac:dyDescent="0.25">
      <c r="A4710" t="s">
        <v>1990</v>
      </c>
      <c r="B4710" t="s">
        <v>1334</v>
      </c>
      <c r="C4710" t="s">
        <v>1498</v>
      </c>
      <c r="D4710">
        <v>26.8</v>
      </c>
    </row>
    <row r="4711" spans="1:4" x14ac:dyDescent="0.25">
      <c r="A4711" t="s">
        <v>1960</v>
      </c>
      <c r="B4711" t="s">
        <v>1331</v>
      </c>
      <c r="C4711" t="s">
        <v>1498</v>
      </c>
      <c r="D4711">
        <v>1</v>
      </c>
    </row>
    <row r="4712" spans="1:4" x14ac:dyDescent="0.25">
      <c r="A4712" t="s">
        <v>1921</v>
      </c>
      <c r="B4712" t="s">
        <v>1330</v>
      </c>
      <c r="C4712" t="s">
        <v>1498</v>
      </c>
      <c r="D4712">
        <v>55.6</v>
      </c>
    </row>
    <row r="4713" spans="1:4" x14ac:dyDescent="0.25">
      <c r="A4713" t="s">
        <v>2033</v>
      </c>
      <c r="B4713" t="s">
        <v>1334</v>
      </c>
      <c r="C4713" t="s">
        <v>1359</v>
      </c>
      <c r="D4713">
        <v>507.2</v>
      </c>
    </row>
    <row r="4714" spans="1:4" x14ac:dyDescent="0.25">
      <c r="A4714" t="s">
        <v>1962</v>
      </c>
      <c r="B4714" t="s">
        <v>1331</v>
      </c>
      <c r="C4714" t="s">
        <v>1359</v>
      </c>
      <c r="D4714">
        <v>27.8</v>
      </c>
    </row>
    <row r="4715" spans="1:4" x14ac:dyDescent="0.25">
      <c r="A4715" t="s">
        <v>2025</v>
      </c>
      <c r="B4715" t="s">
        <v>1334</v>
      </c>
      <c r="C4715" t="s">
        <v>1359</v>
      </c>
      <c r="D4715">
        <v>236.75</v>
      </c>
    </row>
    <row r="4716" spans="1:4" x14ac:dyDescent="0.25">
      <c r="A4716" t="s">
        <v>2035</v>
      </c>
      <c r="B4716" t="s">
        <v>1334</v>
      </c>
      <c r="C4716" t="s">
        <v>1359</v>
      </c>
      <c r="D4716">
        <v>291.39999999999998</v>
      </c>
    </row>
    <row r="4717" spans="1:4" x14ac:dyDescent="0.25">
      <c r="A4717" t="s">
        <v>2028</v>
      </c>
      <c r="B4717" t="s">
        <v>1334</v>
      </c>
      <c r="C4717" t="s">
        <v>1359</v>
      </c>
      <c r="D4717">
        <v>55.75</v>
      </c>
    </row>
    <row r="4718" spans="1:4" x14ac:dyDescent="0.25">
      <c r="A4718" t="s">
        <v>2004</v>
      </c>
      <c r="B4718" t="s">
        <v>1331</v>
      </c>
      <c r="C4718" t="s">
        <v>1359</v>
      </c>
      <c r="D4718">
        <v>161.19</v>
      </c>
    </row>
    <row r="4719" spans="1:4" x14ac:dyDescent="0.25">
      <c r="A4719" t="s">
        <v>1921</v>
      </c>
      <c r="B4719" t="s">
        <v>1330</v>
      </c>
      <c r="C4719" t="s">
        <v>1359</v>
      </c>
      <c r="D4719">
        <v>222.55</v>
      </c>
    </row>
    <row r="4720" spans="1:4" x14ac:dyDescent="0.25">
      <c r="A4720" t="s">
        <v>1984</v>
      </c>
      <c r="B4720" t="s">
        <v>1331</v>
      </c>
      <c r="C4720" t="s">
        <v>1359</v>
      </c>
      <c r="D4720">
        <v>467.05</v>
      </c>
    </row>
    <row r="4721" spans="1:4" x14ac:dyDescent="0.25">
      <c r="A4721" t="s">
        <v>2041</v>
      </c>
      <c r="B4721" t="s">
        <v>1334</v>
      </c>
      <c r="C4721" t="s">
        <v>1359</v>
      </c>
      <c r="D4721">
        <v>42.35</v>
      </c>
    </row>
    <row r="4722" spans="1:4" x14ac:dyDescent="0.25">
      <c r="A4722" t="s">
        <v>2019</v>
      </c>
      <c r="B4722" t="s">
        <v>1334</v>
      </c>
      <c r="C4722" t="s">
        <v>1359</v>
      </c>
      <c r="D4722">
        <v>12</v>
      </c>
    </row>
    <row r="4723" spans="1:4" x14ac:dyDescent="0.25">
      <c r="A4723" t="s">
        <v>2000</v>
      </c>
      <c r="B4723" t="s">
        <v>1331</v>
      </c>
      <c r="C4723" t="s">
        <v>1359</v>
      </c>
      <c r="D4723">
        <v>11.7</v>
      </c>
    </row>
    <row r="4724" spans="1:4" x14ac:dyDescent="0.25">
      <c r="A4724" t="s">
        <v>1972</v>
      </c>
      <c r="B4724" t="s">
        <v>1334</v>
      </c>
      <c r="C4724" t="s">
        <v>1359</v>
      </c>
      <c r="D4724">
        <v>340.8</v>
      </c>
    </row>
    <row r="4725" spans="1:4" x14ac:dyDescent="0.25">
      <c r="A4725" t="s">
        <v>2023</v>
      </c>
      <c r="B4725" t="s">
        <v>1330</v>
      </c>
      <c r="C4725" t="s">
        <v>1359</v>
      </c>
      <c r="D4725">
        <v>206.05</v>
      </c>
    </row>
    <row r="4726" spans="1:4" x14ac:dyDescent="0.25">
      <c r="A4726" t="s">
        <v>2015</v>
      </c>
      <c r="B4726" t="s">
        <v>1331</v>
      </c>
      <c r="C4726" t="s">
        <v>1359</v>
      </c>
      <c r="D4726">
        <v>275.05</v>
      </c>
    </row>
    <row r="4727" spans="1:4" x14ac:dyDescent="0.25">
      <c r="A4727" t="s">
        <v>1973</v>
      </c>
      <c r="B4727" t="s">
        <v>1331</v>
      </c>
      <c r="C4727" t="s">
        <v>1877</v>
      </c>
      <c r="D4727">
        <v>1</v>
      </c>
    </row>
    <row r="4728" spans="1:4" x14ac:dyDescent="0.25">
      <c r="A4728" t="s">
        <v>1945</v>
      </c>
      <c r="B4728" t="s">
        <v>1331</v>
      </c>
      <c r="C4728" t="s">
        <v>1857</v>
      </c>
      <c r="D4728">
        <v>1</v>
      </c>
    </row>
    <row r="4729" spans="1:4" x14ac:dyDescent="0.25">
      <c r="A4729" t="s">
        <v>1986</v>
      </c>
      <c r="B4729" t="s">
        <v>1331</v>
      </c>
      <c r="C4729" t="s">
        <v>1857</v>
      </c>
      <c r="D4729">
        <v>1</v>
      </c>
    </row>
    <row r="4730" spans="1:4" x14ac:dyDescent="0.25">
      <c r="A4730" t="s">
        <v>1973</v>
      </c>
      <c r="B4730" t="s">
        <v>1331</v>
      </c>
      <c r="C4730" t="s">
        <v>1600</v>
      </c>
      <c r="D4730">
        <v>40.200000000000003</v>
      </c>
    </row>
    <row r="4731" spans="1:4" x14ac:dyDescent="0.25">
      <c r="A4731" t="s">
        <v>1904</v>
      </c>
      <c r="B4731" t="s">
        <v>1331</v>
      </c>
      <c r="C4731" t="s">
        <v>1600</v>
      </c>
      <c r="D4731">
        <v>9</v>
      </c>
    </row>
    <row r="4732" spans="1:4" x14ac:dyDescent="0.25">
      <c r="A4732" t="s">
        <v>2025</v>
      </c>
      <c r="B4732" t="s">
        <v>1334</v>
      </c>
      <c r="C4732" t="s">
        <v>1531</v>
      </c>
      <c r="D4732">
        <v>64.400000000000006</v>
      </c>
    </row>
    <row r="4733" spans="1:4" x14ac:dyDescent="0.25">
      <c r="A4733" t="s">
        <v>2023</v>
      </c>
      <c r="B4733" t="s">
        <v>1330</v>
      </c>
      <c r="C4733" t="s">
        <v>1531</v>
      </c>
      <c r="D4733">
        <v>34.65</v>
      </c>
    </row>
    <row r="4734" spans="1:4" x14ac:dyDescent="0.25">
      <c r="A4734" t="s">
        <v>2023</v>
      </c>
      <c r="B4734" t="s">
        <v>1330</v>
      </c>
      <c r="C4734" t="s">
        <v>1681</v>
      </c>
      <c r="D4734">
        <v>0</v>
      </c>
    </row>
    <row r="4735" spans="1:4" x14ac:dyDescent="0.25">
      <c r="A4735" t="s">
        <v>1963</v>
      </c>
      <c r="B4735" t="s">
        <v>1331</v>
      </c>
      <c r="C4735" t="s">
        <v>1681</v>
      </c>
      <c r="D4735">
        <v>23.1</v>
      </c>
    </row>
    <row r="4736" spans="1:4" x14ac:dyDescent="0.25">
      <c r="A4736" t="s">
        <v>2029</v>
      </c>
      <c r="B4736" t="s">
        <v>1334</v>
      </c>
      <c r="C4736" t="s">
        <v>1783</v>
      </c>
      <c r="D4736">
        <v>7.7</v>
      </c>
    </row>
    <row r="4737" spans="1:4" x14ac:dyDescent="0.25">
      <c r="A4737" t="s">
        <v>1925</v>
      </c>
      <c r="B4737" t="s">
        <v>1331</v>
      </c>
      <c r="C4737" t="s">
        <v>1619</v>
      </c>
      <c r="D4737">
        <v>30.65</v>
      </c>
    </row>
    <row r="4738" spans="1:4" x14ac:dyDescent="0.25">
      <c r="A4738" t="s">
        <v>1945</v>
      </c>
      <c r="B4738" t="s">
        <v>1331</v>
      </c>
      <c r="C4738" t="s">
        <v>1619</v>
      </c>
      <c r="D4738">
        <v>10</v>
      </c>
    </row>
    <row r="4739" spans="1:4" x14ac:dyDescent="0.25">
      <c r="A4739" t="s">
        <v>1995</v>
      </c>
      <c r="B4739" t="s">
        <v>1330</v>
      </c>
      <c r="C4739" t="s">
        <v>1604</v>
      </c>
      <c r="D4739">
        <v>20</v>
      </c>
    </row>
    <row r="4740" spans="1:4" x14ac:dyDescent="0.25">
      <c r="A4740" t="s">
        <v>1963</v>
      </c>
      <c r="B4740" t="s">
        <v>1331</v>
      </c>
      <c r="C4740" t="s">
        <v>1604</v>
      </c>
      <c r="D4740">
        <v>7.7</v>
      </c>
    </row>
    <row r="4741" spans="1:4" x14ac:dyDescent="0.25">
      <c r="A4741" t="s">
        <v>1960</v>
      </c>
      <c r="B4741" t="s">
        <v>1331</v>
      </c>
      <c r="C4741" t="s">
        <v>1604</v>
      </c>
      <c r="D4741">
        <v>19.8</v>
      </c>
    </row>
    <row r="4742" spans="1:4" x14ac:dyDescent="0.25">
      <c r="A4742" t="s">
        <v>1945</v>
      </c>
      <c r="B4742" t="s">
        <v>1331</v>
      </c>
      <c r="C4742" t="s">
        <v>1638</v>
      </c>
      <c r="D4742">
        <v>29.7</v>
      </c>
    </row>
    <row r="4743" spans="1:4" x14ac:dyDescent="0.25">
      <c r="A4743" t="s">
        <v>1986</v>
      </c>
      <c r="B4743" t="s">
        <v>1331</v>
      </c>
      <c r="C4743" t="s">
        <v>1638</v>
      </c>
      <c r="D4743">
        <v>2</v>
      </c>
    </row>
    <row r="4744" spans="1:4" x14ac:dyDescent="0.25">
      <c r="A4744" t="s">
        <v>1986</v>
      </c>
      <c r="B4744" t="s">
        <v>1331</v>
      </c>
      <c r="C4744" t="s">
        <v>1591</v>
      </c>
      <c r="D4744">
        <v>2</v>
      </c>
    </row>
    <row r="4745" spans="1:4" x14ac:dyDescent="0.25">
      <c r="A4745" t="s">
        <v>1909</v>
      </c>
      <c r="B4745" t="s">
        <v>1335</v>
      </c>
      <c r="C4745" t="s">
        <v>1591</v>
      </c>
      <c r="D4745">
        <v>14</v>
      </c>
    </row>
    <row r="4746" spans="1:4" x14ac:dyDescent="0.25">
      <c r="A4746" t="s">
        <v>1945</v>
      </c>
      <c r="B4746" t="s">
        <v>1331</v>
      </c>
      <c r="C4746" t="s">
        <v>1591</v>
      </c>
      <c r="D4746">
        <v>34.6</v>
      </c>
    </row>
    <row r="4747" spans="1:4" x14ac:dyDescent="0.25">
      <c r="A4747" t="s">
        <v>1960</v>
      </c>
      <c r="B4747" t="s">
        <v>1331</v>
      </c>
      <c r="C4747" t="s">
        <v>1591</v>
      </c>
      <c r="D4747">
        <v>3.6</v>
      </c>
    </row>
    <row r="4748" spans="1:4" x14ac:dyDescent="0.25">
      <c r="A4748" t="s">
        <v>1995</v>
      </c>
      <c r="B4748" t="s">
        <v>1330</v>
      </c>
      <c r="C4748" t="s">
        <v>1591</v>
      </c>
      <c r="D4748">
        <v>2</v>
      </c>
    </row>
    <row r="4749" spans="1:4" x14ac:dyDescent="0.25">
      <c r="A4749" t="s">
        <v>1945</v>
      </c>
      <c r="B4749" t="s">
        <v>1331</v>
      </c>
      <c r="C4749" t="s">
        <v>1812</v>
      </c>
      <c r="D4749">
        <v>5</v>
      </c>
    </row>
    <row r="4750" spans="1:4" x14ac:dyDescent="0.25">
      <c r="A4750" t="s">
        <v>1921</v>
      </c>
      <c r="B4750" t="s">
        <v>1330</v>
      </c>
      <c r="C4750" t="s">
        <v>1476</v>
      </c>
      <c r="D4750">
        <v>178.95</v>
      </c>
    </row>
    <row r="4751" spans="1:4" x14ac:dyDescent="0.25">
      <c r="A4751" t="s">
        <v>1968</v>
      </c>
      <c r="B4751" t="s">
        <v>1330</v>
      </c>
      <c r="C4751" t="s">
        <v>1476</v>
      </c>
      <c r="D4751">
        <v>4</v>
      </c>
    </row>
    <row r="4752" spans="1:4" x14ac:dyDescent="0.25">
      <c r="A4752" t="s">
        <v>1960</v>
      </c>
      <c r="B4752" t="s">
        <v>1331</v>
      </c>
      <c r="C4752" t="s">
        <v>1706</v>
      </c>
      <c r="D4752">
        <v>17.7</v>
      </c>
    </row>
    <row r="4753" spans="1:4" x14ac:dyDescent="0.25">
      <c r="A4753" t="s">
        <v>2043</v>
      </c>
      <c r="B4753" t="s">
        <v>1334</v>
      </c>
      <c r="C4753" t="s">
        <v>1460</v>
      </c>
      <c r="D4753">
        <v>59.3</v>
      </c>
    </row>
    <row r="4754" spans="1:4" x14ac:dyDescent="0.25">
      <c r="A4754" t="s">
        <v>2019</v>
      </c>
      <c r="B4754" t="s">
        <v>1334</v>
      </c>
      <c r="C4754" t="s">
        <v>1460</v>
      </c>
      <c r="D4754">
        <v>92.7</v>
      </c>
    </row>
    <row r="4755" spans="1:4" x14ac:dyDescent="0.25">
      <c r="A4755" t="s">
        <v>1972</v>
      </c>
      <c r="B4755" t="s">
        <v>1334</v>
      </c>
      <c r="C4755" t="s">
        <v>1460</v>
      </c>
      <c r="D4755">
        <v>84.5</v>
      </c>
    </row>
    <row r="4756" spans="1:4" x14ac:dyDescent="0.25">
      <c r="A4756" t="s">
        <v>2016</v>
      </c>
      <c r="B4756" t="s">
        <v>1331</v>
      </c>
      <c r="C4756" t="s">
        <v>1878</v>
      </c>
      <c r="D4756">
        <v>1</v>
      </c>
    </row>
    <row r="4757" spans="1:4" x14ac:dyDescent="0.25">
      <c r="A4757" t="s">
        <v>1945</v>
      </c>
      <c r="B4757" t="s">
        <v>1331</v>
      </c>
      <c r="C4757" t="s">
        <v>1824</v>
      </c>
      <c r="D4757">
        <v>4</v>
      </c>
    </row>
    <row r="4758" spans="1:4" x14ac:dyDescent="0.25">
      <c r="A4758" t="s">
        <v>1958</v>
      </c>
      <c r="B4758" t="s">
        <v>1331</v>
      </c>
      <c r="C4758" t="s">
        <v>1415</v>
      </c>
      <c r="D4758">
        <v>2</v>
      </c>
    </row>
    <row r="4759" spans="1:4" x14ac:dyDescent="0.25">
      <c r="A4759" t="s">
        <v>2010</v>
      </c>
      <c r="B4759" t="s">
        <v>1331</v>
      </c>
      <c r="C4759" t="s">
        <v>1415</v>
      </c>
      <c r="D4759">
        <v>114.9</v>
      </c>
    </row>
    <row r="4760" spans="1:4" x14ac:dyDescent="0.25">
      <c r="A4760" t="s">
        <v>1925</v>
      </c>
      <c r="B4760" t="s">
        <v>1331</v>
      </c>
      <c r="C4760" t="s">
        <v>1415</v>
      </c>
      <c r="D4760">
        <v>11.55</v>
      </c>
    </row>
    <row r="4761" spans="1:4" x14ac:dyDescent="0.25">
      <c r="A4761" t="s">
        <v>1971</v>
      </c>
      <c r="B4761" t="s">
        <v>1330</v>
      </c>
      <c r="C4761" t="s">
        <v>1415</v>
      </c>
      <c r="D4761">
        <v>53.8</v>
      </c>
    </row>
    <row r="4762" spans="1:4" x14ac:dyDescent="0.25">
      <c r="A4762" t="s">
        <v>2015</v>
      </c>
      <c r="B4762" t="s">
        <v>1331</v>
      </c>
      <c r="C4762" t="s">
        <v>1415</v>
      </c>
      <c r="D4762">
        <v>30.8</v>
      </c>
    </row>
    <row r="4763" spans="1:4" x14ac:dyDescent="0.25">
      <c r="A4763" t="s">
        <v>1958</v>
      </c>
      <c r="B4763" t="s">
        <v>1330</v>
      </c>
      <c r="C4763" t="s">
        <v>1415</v>
      </c>
      <c r="D4763">
        <v>0</v>
      </c>
    </row>
    <row r="4764" spans="1:4" x14ac:dyDescent="0.25">
      <c r="A4764" t="s">
        <v>1989</v>
      </c>
      <c r="B4764" t="s">
        <v>1331</v>
      </c>
      <c r="C4764" t="s">
        <v>1415</v>
      </c>
      <c r="D4764">
        <v>40</v>
      </c>
    </row>
    <row r="4765" spans="1:4" x14ac:dyDescent="0.25">
      <c r="A4765" t="s">
        <v>1980</v>
      </c>
      <c r="B4765" t="s">
        <v>1331</v>
      </c>
      <c r="C4765" t="s">
        <v>1415</v>
      </c>
      <c r="D4765">
        <v>116.2</v>
      </c>
    </row>
    <row r="4766" spans="1:4" x14ac:dyDescent="0.25">
      <c r="A4766" t="s">
        <v>1945</v>
      </c>
      <c r="B4766" t="s">
        <v>1331</v>
      </c>
      <c r="C4766" t="s">
        <v>1415</v>
      </c>
      <c r="D4766">
        <v>106.1</v>
      </c>
    </row>
    <row r="4767" spans="1:4" x14ac:dyDescent="0.25">
      <c r="A4767" t="s">
        <v>1986</v>
      </c>
      <c r="B4767" t="s">
        <v>1331</v>
      </c>
      <c r="C4767" t="s">
        <v>1415</v>
      </c>
      <c r="D4767">
        <v>24</v>
      </c>
    </row>
    <row r="4768" spans="1:4" x14ac:dyDescent="0.25">
      <c r="A4768" t="s">
        <v>1945</v>
      </c>
      <c r="B4768" t="s">
        <v>1331</v>
      </c>
      <c r="C4768" t="s">
        <v>1496</v>
      </c>
      <c r="D4768">
        <v>13.8</v>
      </c>
    </row>
    <row r="4769" spans="1:4" x14ac:dyDescent="0.25">
      <c r="A4769" t="s">
        <v>1909</v>
      </c>
      <c r="B4769" t="s">
        <v>1335</v>
      </c>
      <c r="C4769" t="s">
        <v>1496</v>
      </c>
      <c r="D4769">
        <v>1.5</v>
      </c>
    </row>
    <row r="4770" spans="1:4" x14ac:dyDescent="0.25">
      <c r="A4770" t="s">
        <v>1989</v>
      </c>
      <c r="B4770" t="s">
        <v>1331</v>
      </c>
      <c r="C4770" t="s">
        <v>1496</v>
      </c>
      <c r="D4770">
        <v>132.5</v>
      </c>
    </row>
    <row r="4771" spans="1:4" x14ac:dyDescent="0.25">
      <c r="A4771" t="s">
        <v>1921</v>
      </c>
      <c r="B4771" t="s">
        <v>1330</v>
      </c>
      <c r="C4771" t="s">
        <v>1454</v>
      </c>
      <c r="D4771">
        <v>49.9</v>
      </c>
    </row>
    <row r="4772" spans="1:4" x14ac:dyDescent="0.25">
      <c r="A4772" t="s">
        <v>1968</v>
      </c>
      <c r="B4772" t="s">
        <v>1330</v>
      </c>
      <c r="C4772" t="s">
        <v>1454</v>
      </c>
      <c r="D4772">
        <v>198.9</v>
      </c>
    </row>
    <row r="4773" spans="1:4" x14ac:dyDescent="0.25">
      <c r="A4773" t="s">
        <v>1986</v>
      </c>
      <c r="B4773" t="s">
        <v>1331</v>
      </c>
      <c r="C4773" t="s">
        <v>1648</v>
      </c>
      <c r="D4773">
        <v>4</v>
      </c>
    </row>
    <row r="4774" spans="1:4" x14ac:dyDescent="0.25">
      <c r="A4774" t="s">
        <v>1945</v>
      </c>
      <c r="B4774" t="s">
        <v>1331</v>
      </c>
      <c r="C4774" t="s">
        <v>1648</v>
      </c>
      <c r="D4774">
        <v>25</v>
      </c>
    </row>
    <row r="4775" spans="1:4" x14ac:dyDescent="0.25">
      <c r="A4775" t="s">
        <v>1913</v>
      </c>
      <c r="B4775" t="s">
        <v>1335</v>
      </c>
      <c r="C4775" t="s">
        <v>1648</v>
      </c>
      <c r="D4775">
        <v>0.75</v>
      </c>
    </row>
    <row r="4776" spans="1:4" x14ac:dyDescent="0.25">
      <c r="A4776" t="s">
        <v>2021</v>
      </c>
      <c r="B4776" t="s">
        <v>1334</v>
      </c>
      <c r="C4776" t="s">
        <v>1443</v>
      </c>
      <c r="D4776">
        <v>207.1</v>
      </c>
    </row>
    <row r="4777" spans="1:4" x14ac:dyDescent="0.25">
      <c r="A4777" t="s">
        <v>1921</v>
      </c>
      <c r="B4777" t="s">
        <v>1330</v>
      </c>
      <c r="C4777" t="s">
        <v>1443</v>
      </c>
      <c r="D4777">
        <v>96.95</v>
      </c>
    </row>
    <row r="4778" spans="1:4" x14ac:dyDescent="0.25">
      <c r="A4778" t="s">
        <v>2006</v>
      </c>
      <c r="B4778" t="s">
        <v>1331</v>
      </c>
      <c r="C4778" t="s">
        <v>1740</v>
      </c>
      <c r="D4778">
        <v>11.7</v>
      </c>
    </row>
    <row r="4779" spans="1:4" x14ac:dyDescent="0.25">
      <c r="A4779" t="s">
        <v>1989</v>
      </c>
      <c r="B4779" t="s">
        <v>1331</v>
      </c>
      <c r="C4779" t="s">
        <v>1709</v>
      </c>
      <c r="D4779">
        <v>0</v>
      </c>
    </row>
    <row r="4780" spans="1:4" x14ac:dyDescent="0.25">
      <c r="A4780" t="s">
        <v>2016</v>
      </c>
      <c r="B4780" t="s">
        <v>1331</v>
      </c>
      <c r="C4780" t="s">
        <v>1709</v>
      </c>
      <c r="D4780">
        <v>1</v>
      </c>
    </row>
    <row r="4781" spans="1:4" x14ac:dyDescent="0.25">
      <c r="A4781" t="s">
        <v>1986</v>
      </c>
      <c r="B4781" t="s">
        <v>1331</v>
      </c>
      <c r="C4781" t="s">
        <v>1709</v>
      </c>
      <c r="D4781">
        <v>2</v>
      </c>
    </row>
    <row r="4782" spans="1:4" x14ac:dyDescent="0.25">
      <c r="A4782" t="s">
        <v>1945</v>
      </c>
      <c r="B4782" t="s">
        <v>1331</v>
      </c>
      <c r="C4782" t="s">
        <v>1709</v>
      </c>
      <c r="D4782">
        <v>14</v>
      </c>
    </row>
    <row r="4783" spans="1:4" x14ac:dyDescent="0.25">
      <c r="A4783" t="s">
        <v>2029</v>
      </c>
      <c r="B4783" t="s">
        <v>1334</v>
      </c>
      <c r="C4783" t="s">
        <v>1642</v>
      </c>
      <c r="D4783">
        <v>30.8</v>
      </c>
    </row>
    <row r="4784" spans="1:4" x14ac:dyDescent="0.25">
      <c r="A4784" t="s">
        <v>2019</v>
      </c>
      <c r="B4784" t="s">
        <v>1334</v>
      </c>
      <c r="C4784" t="s">
        <v>1469</v>
      </c>
      <c r="D4784">
        <v>184.9</v>
      </c>
    </row>
    <row r="4785" spans="1:4" x14ac:dyDescent="0.25">
      <c r="A4785" t="s">
        <v>1972</v>
      </c>
      <c r="B4785" t="s">
        <v>1334</v>
      </c>
      <c r="C4785" t="s">
        <v>1469</v>
      </c>
      <c r="D4785">
        <v>15.2</v>
      </c>
    </row>
    <row r="4786" spans="1:4" x14ac:dyDescent="0.25">
      <c r="A4786" t="s">
        <v>1986</v>
      </c>
      <c r="B4786" t="s">
        <v>1331</v>
      </c>
      <c r="C4786" t="s">
        <v>1634</v>
      </c>
      <c r="D4786">
        <v>6</v>
      </c>
    </row>
    <row r="4787" spans="1:4" x14ac:dyDescent="0.25">
      <c r="A4787" t="s">
        <v>1945</v>
      </c>
      <c r="B4787" t="s">
        <v>1331</v>
      </c>
      <c r="C4787" t="s">
        <v>1634</v>
      </c>
      <c r="D4787">
        <v>3</v>
      </c>
    </row>
    <row r="4788" spans="1:4" x14ac:dyDescent="0.25">
      <c r="A4788" t="s">
        <v>1989</v>
      </c>
      <c r="B4788" t="s">
        <v>1331</v>
      </c>
      <c r="C4788" t="s">
        <v>1634</v>
      </c>
      <c r="D4788">
        <v>25.3</v>
      </c>
    </row>
    <row r="4789" spans="1:4" x14ac:dyDescent="0.25">
      <c r="A4789" t="s">
        <v>1968</v>
      </c>
      <c r="B4789" t="s">
        <v>1330</v>
      </c>
      <c r="C4789" t="s">
        <v>1488</v>
      </c>
      <c r="D4789">
        <v>135.1</v>
      </c>
    </row>
    <row r="4790" spans="1:4" x14ac:dyDescent="0.25">
      <c r="A4790" t="s">
        <v>1913</v>
      </c>
      <c r="B4790" t="s">
        <v>1335</v>
      </c>
      <c r="C4790" t="s">
        <v>1488</v>
      </c>
      <c r="D4790">
        <v>7.7</v>
      </c>
    </row>
    <row r="4791" spans="1:4" x14ac:dyDescent="0.25">
      <c r="A4791" t="s">
        <v>1909</v>
      </c>
      <c r="B4791" t="s">
        <v>1335</v>
      </c>
      <c r="C4791" t="s">
        <v>1488</v>
      </c>
      <c r="D4791">
        <v>1</v>
      </c>
    </row>
    <row r="4792" spans="1:4" x14ac:dyDescent="0.25">
      <c r="A4792" t="s">
        <v>1971</v>
      </c>
      <c r="B4792" t="s">
        <v>1330</v>
      </c>
      <c r="C4792" t="s">
        <v>1488</v>
      </c>
      <c r="D4792">
        <v>15.1</v>
      </c>
    </row>
    <row r="4793" spans="1:4" x14ac:dyDescent="0.25">
      <c r="A4793" t="s">
        <v>1945</v>
      </c>
      <c r="B4793" t="s">
        <v>1331</v>
      </c>
      <c r="C4793" t="s">
        <v>1412</v>
      </c>
      <c r="D4793">
        <v>55.4</v>
      </c>
    </row>
    <row r="4794" spans="1:4" x14ac:dyDescent="0.25">
      <c r="A4794" t="s">
        <v>1997</v>
      </c>
      <c r="B4794" t="s">
        <v>1331</v>
      </c>
      <c r="C4794" t="s">
        <v>1412</v>
      </c>
      <c r="D4794">
        <v>7.7</v>
      </c>
    </row>
    <row r="4795" spans="1:4" x14ac:dyDescent="0.25">
      <c r="A4795" t="s">
        <v>1989</v>
      </c>
      <c r="B4795" t="s">
        <v>1331</v>
      </c>
      <c r="C4795" t="s">
        <v>1412</v>
      </c>
      <c r="D4795">
        <v>51.1</v>
      </c>
    </row>
    <row r="4796" spans="1:4" x14ac:dyDescent="0.25">
      <c r="A4796" t="s">
        <v>1980</v>
      </c>
      <c r="B4796" t="s">
        <v>1331</v>
      </c>
      <c r="C4796" t="s">
        <v>1412</v>
      </c>
      <c r="D4796">
        <v>125.2</v>
      </c>
    </row>
    <row r="4797" spans="1:4" x14ac:dyDescent="0.25">
      <c r="A4797" t="s">
        <v>2021</v>
      </c>
      <c r="B4797" t="s">
        <v>1334</v>
      </c>
      <c r="C4797" t="s">
        <v>1412</v>
      </c>
      <c r="D4797">
        <v>39.799999999999997</v>
      </c>
    </row>
    <row r="4798" spans="1:4" x14ac:dyDescent="0.25">
      <c r="A4798" t="s">
        <v>2019</v>
      </c>
      <c r="B4798" t="s">
        <v>1334</v>
      </c>
      <c r="C4798" t="s">
        <v>1412</v>
      </c>
      <c r="D4798">
        <v>91.6</v>
      </c>
    </row>
    <row r="4799" spans="1:4" x14ac:dyDescent="0.25">
      <c r="A4799" t="s">
        <v>1968</v>
      </c>
      <c r="B4799" t="s">
        <v>1330</v>
      </c>
      <c r="C4799" t="s">
        <v>1412</v>
      </c>
      <c r="D4799">
        <v>1</v>
      </c>
    </row>
    <row r="4800" spans="1:4" x14ac:dyDescent="0.25">
      <c r="A4800" t="s">
        <v>2043</v>
      </c>
      <c r="B4800" t="s">
        <v>1334</v>
      </c>
      <c r="C4800" t="s">
        <v>1412</v>
      </c>
      <c r="D4800">
        <v>1.7</v>
      </c>
    </row>
    <row r="4801" spans="1:4" x14ac:dyDescent="0.25">
      <c r="A4801" t="s">
        <v>1986</v>
      </c>
      <c r="B4801" t="s">
        <v>1331</v>
      </c>
      <c r="C4801" t="s">
        <v>1412</v>
      </c>
      <c r="D4801">
        <v>4</v>
      </c>
    </row>
    <row r="4802" spans="1:4" x14ac:dyDescent="0.25">
      <c r="A4802" t="s">
        <v>1972</v>
      </c>
      <c r="B4802" t="s">
        <v>1334</v>
      </c>
      <c r="C4802" t="s">
        <v>1412</v>
      </c>
      <c r="D4802">
        <v>165.4</v>
      </c>
    </row>
    <row r="4803" spans="1:4" x14ac:dyDescent="0.25">
      <c r="A4803" t="s">
        <v>2023</v>
      </c>
      <c r="B4803" t="s">
        <v>1330</v>
      </c>
      <c r="C4803" t="s">
        <v>1360</v>
      </c>
      <c r="D4803">
        <v>210.75</v>
      </c>
    </row>
    <row r="4804" spans="1:4" x14ac:dyDescent="0.25">
      <c r="A4804" t="s">
        <v>2029</v>
      </c>
      <c r="B4804" t="s">
        <v>1334</v>
      </c>
      <c r="C4804" t="s">
        <v>1360</v>
      </c>
      <c r="D4804">
        <v>724.95</v>
      </c>
    </row>
    <row r="4805" spans="1:4" x14ac:dyDescent="0.25">
      <c r="A4805" t="s">
        <v>2023</v>
      </c>
      <c r="B4805" t="s">
        <v>1331</v>
      </c>
      <c r="C4805" t="s">
        <v>1360</v>
      </c>
      <c r="D4805">
        <v>11.55</v>
      </c>
    </row>
    <row r="4806" spans="1:4" x14ac:dyDescent="0.25">
      <c r="A4806" t="s">
        <v>2010</v>
      </c>
      <c r="B4806" t="s">
        <v>1331</v>
      </c>
      <c r="C4806" t="s">
        <v>1360</v>
      </c>
      <c r="D4806">
        <v>336.35</v>
      </c>
    </row>
    <row r="4807" spans="1:4" x14ac:dyDescent="0.25">
      <c r="A4807" t="s">
        <v>1961</v>
      </c>
      <c r="B4807" t="s">
        <v>1331</v>
      </c>
      <c r="C4807" t="s">
        <v>1360</v>
      </c>
      <c r="D4807">
        <v>13.6</v>
      </c>
    </row>
    <row r="4808" spans="1:4" x14ac:dyDescent="0.25">
      <c r="A4808" t="s">
        <v>1996</v>
      </c>
      <c r="B4808" t="s">
        <v>1335</v>
      </c>
      <c r="C4808" t="s">
        <v>1360</v>
      </c>
      <c r="D4808">
        <v>18.3</v>
      </c>
    </row>
    <row r="4809" spans="1:4" x14ac:dyDescent="0.25">
      <c r="A4809" t="s">
        <v>2004</v>
      </c>
      <c r="B4809" t="s">
        <v>1331</v>
      </c>
      <c r="C4809" t="s">
        <v>1360</v>
      </c>
      <c r="D4809">
        <v>103.95</v>
      </c>
    </row>
    <row r="4810" spans="1:4" x14ac:dyDescent="0.25">
      <c r="A4810" t="s">
        <v>2025</v>
      </c>
      <c r="B4810" t="s">
        <v>1334</v>
      </c>
      <c r="C4810" t="s">
        <v>1360</v>
      </c>
      <c r="D4810">
        <v>909.75</v>
      </c>
    </row>
    <row r="4811" spans="1:4" x14ac:dyDescent="0.25">
      <c r="A4811" t="s">
        <v>2041</v>
      </c>
      <c r="B4811" t="s">
        <v>1334</v>
      </c>
      <c r="C4811" t="s">
        <v>1360</v>
      </c>
      <c r="D4811">
        <v>15.4</v>
      </c>
    </row>
    <row r="4812" spans="1:4" x14ac:dyDescent="0.25">
      <c r="A4812" t="s">
        <v>2079</v>
      </c>
      <c r="B4812" t="s">
        <v>1331</v>
      </c>
      <c r="C4812" t="s">
        <v>1360</v>
      </c>
      <c r="D4812">
        <v>492.5</v>
      </c>
    </row>
    <row r="4813" spans="1:4" x14ac:dyDescent="0.25">
      <c r="A4813" t="s">
        <v>1929</v>
      </c>
      <c r="B4813" t="s">
        <v>1331</v>
      </c>
      <c r="C4813" t="s">
        <v>1663</v>
      </c>
      <c r="D4813">
        <v>27</v>
      </c>
    </row>
    <row r="4814" spans="1:4" x14ac:dyDescent="0.25">
      <c r="A4814" t="s">
        <v>1986</v>
      </c>
      <c r="B4814" t="s">
        <v>1331</v>
      </c>
      <c r="C4814" t="s">
        <v>1879</v>
      </c>
      <c r="D4814">
        <v>1</v>
      </c>
    </row>
    <row r="4815" spans="1:4" x14ac:dyDescent="0.25">
      <c r="A4815" t="s">
        <v>1989</v>
      </c>
      <c r="B4815" t="s">
        <v>1331</v>
      </c>
      <c r="C4815" t="s">
        <v>1458</v>
      </c>
      <c r="D4815">
        <v>24.6</v>
      </c>
    </row>
    <row r="4816" spans="1:4" x14ac:dyDescent="0.25">
      <c r="A4816" t="s">
        <v>1945</v>
      </c>
      <c r="B4816" t="s">
        <v>1331</v>
      </c>
      <c r="C4816" t="s">
        <v>1458</v>
      </c>
      <c r="D4816">
        <v>190.91</v>
      </c>
    </row>
    <row r="4817" spans="1:4" x14ac:dyDescent="0.25">
      <c r="A4817" t="s">
        <v>1918</v>
      </c>
      <c r="B4817" t="s">
        <v>1335</v>
      </c>
      <c r="C4817" t="s">
        <v>1458</v>
      </c>
      <c r="D4817">
        <v>13.55</v>
      </c>
    </row>
    <row r="4818" spans="1:4" x14ac:dyDescent="0.25">
      <c r="A4818" t="s">
        <v>1909</v>
      </c>
      <c r="B4818" t="s">
        <v>1335</v>
      </c>
      <c r="C4818" t="s">
        <v>1458</v>
      </c>
      <c r="D4818">
        <v>0.5</v>
      </c>
    </row>
    <row r="4819" spans="1:4" x14ac:dyDescent="0.25">
      <c r="A4819" t="s">
        <v>1913</v>
      </c>
      <c r="B4819" t="s">
        <v>1335</v>
      </c>
      <c r="C4819" t="s">
        <v>1458</v>
      </c>
      <c r="D4819">
        <v>10.050000000000001</v>
      </c>
    </row>
    <row r="4820" spans="1:4" x14ac:dyDescent="0.25">
      <c r="A4820" t="s">
        <v>1995</v>
      </c>
      <c r="B4820" t="s">
        <v>1330</v>
      </c>
      <c r="C4820" t="s">
        <v>1629</v>
      </c>
      <c r="D4820">
        <v>35.65</v>
      </c>
    </row>
    <row r="4821" spans="1:4" x14ac:dyDescent="0.25">
      <c r="A4821" t="s">
        <v>1945</v>
      </c>
      <c r="B4821" t="s">
        <v>1331</v>
      </c>
      <c r="C4821" t="s">
        <v>1505</v>
      </c>
      <c r="D4821">
        <v>6</v>
      </c>
    </row>
    <row r="4822" spans="1:4" x14ac:dyDescent="0.25">
      <c r="A4822" t="s">
        <v>1989</v>
      </c>
      <c r="B4822" t="s">
        <v>1331</v>
      </c>
      <c r="C4822" t="s">
        <v>1505</v>
      </c>
      <c r="D4822">
        <v>127.4</v>
      </c>
    </row>
    <row r="4823" spans="1:4" x14ac:dyDescent="0.25">
      <c r="A4823" t="s">
        <v>1968</v>
      </c>
      <c r="B4823" t="s">
        <v>1330</v>
      </c>
      <c r="C4823" t="s">
        <v>1505</v>
      </c>
      <c r="D4823">
        <v>1</v>
      </c>
    </row>
    <row r="4824" spans="1:4" x14ac:dyDescent="0.25">
      <c r="A4824" t="s">
        <v>1945</v>
      </c>
      <c r="B4824" t="s">
        <v>1331</v>
      </c>
      <c r="C4824" t="s">
        <v>1880</v>
      </c>
      <c r="D4824">
        <v>1</v>
      </c>
    </row>
    <row r="4825" spans="1:4" x14ac:dyDescent="0.25">
      <c r="A4825" t="s">
        <v>1986</v>
      </c>
      <c r="B4825" t="s">
        <v>1331</v>
      </c>
      <c r="C4825" t="s">
        <v>1881</v>
      </c>
      <c r="D4825">
        <v>1</v>
      </c>
    </row>
    <row r="4826" spans="1:4" x14ac:dyDescent="0.25">
      <c r="A4826" t="s">
        <v>1945</v>
      </c>
      <c r="B4826" t="s">
        <v>1331</v>
      </c>
      <c r="C4826" t="s">
        <v>1801</v>
      </c>
      <c r="D4826">
        <v>6</v>
      </c>
    </row>
    <row r="4827" spans="1:4" x14ac:dyDescent="0.25">
      <c r="A4827" t="s">
        <v>1945</v>
      </c>
      <c r="B4827" t="s">
        <v>1331</v>
      </c>
      <c r="C4827" t="s">
        <v>1882</v>
      </c>
      <c r="D4827">
        <v>1</v>
      </c>
    </row>
    <row r="4828" spans="1:4" x14ac:dyDescent="0.25">
      <c r="A4828" t="s">
        <v>1945</v>
      </c>
      <c r="B4828" t="s">
        <v>1331</v>
      </c>
      <c r="C4828" t="s">
        <v>1883</v>
      </c>
      <c r="D4828">
        <v>1</v>
      </c>
    </row>
    <row r="4829" spans="1:4" x14ac:dyDescent="0.25">
      <c r="A4829" t="s">
        <v>2044</v>
      </c>
      <c r="B4829" t="s">
        <v>1331</v>
      </c>
      <c r="C4829" t="s">
        <v>1358</v>
      </c>
      <c r="D4829">
        <v>74.599999999999994</v>
      </c>
    </row>
    <row r="4830" spans="1:4" x14ac:dyDescent="0.25">
      <c r="A4830" t="s">
        <v>2035</v>
      </c>
      <c r="B4830" t="s">
        <v>1334</v>
      </c>
      <c r="C4830" t="s">
        <v>1358</v>
      </c>
      <c r="D4830">
        <v>0.5</v>
      </c>
    </row>
    <row r="4831" spans="1:4" x14ac:dyDescent="0.25">
      <c r="A4831" t="s">
        <v>1996</v>
      </c>
      <c r="B4831" t="s">
        <v>1335</v>
      </c>
      <c r="C4831" t="s">
        <v>1358</v>
      </c>
      <c r="D4831">
        <v>1251.2</v>
      </c>
    </row>
    <row r="4832" spans="1:4" x14ac:dyDescent="0.25">
      <c r="A4832" t="s">
        <v>1913</v>
      </c>
      <c r="B4832" t="s">
        <v>1335</v>
      </c>
      <c r="C4832" t="s">
        <v>1358</v>
      </c>
      <c r="D4832">
        <v>176.1</v>
      </c>
    </row>
    <row r="4833" spans="1:4" x14ac:dyDescent="0.25">
      <c r="A4833" t="s">
        <v>2080</v>
      </c>
      <c r="B4833" t="s">
        <v>1331</v>
      </c>
      <c r="C4833" t="s">
        <v>1358</v>
      </c>
      <c r="D4833">
        <v>7.7</v>
      </c>
    </row>
    <row r="4834" spans="1:4" x14ac:dyDescent="0.25">
      <c r="A4834" t="s">
        <v>1955</v>
      </c>
      <c r="B4834" t="s">
        <v>1335</v>
      </c>
      <c r="C4834" t="s">
        <v>1358</v>
      </c>
      <c r="D4834">
        <v>6</v>
      </c>
    </row>
    <row r="4835" spans="1:4" x14ac:dyDescent="0.25">
      <c r="A4835" t="s">
        <v>1907</v>
      </c>
      <c r="B4835" t="s">
        <v>1335</v>
      </c>
      <c r="C4835" t="s">
        <v>1358</v>
      </c>
      <c r="D4835">
        <v>43.2</v>
      </c>
    </row>
    <row r="4836" spans="1:4" x14ac:dyDescent="0.25">
      <c r="A4836" t="s">
        <v>2047</v>
      </c>
      <c r="B4836" t="s">
        <v>1331</v>
      </c>
      <c r="C4836" t="s">
        <v>1358</v>
      </c>
      <c r="D4836">
        <v>15.4</v>
      </c>
    </row>
    <row r="4837" spans="1:4" x14ac:dyDescent="0.25">
      <c r="A4837" t="s">
        <v>2023</v>
      </c>
      <c r="B4837" t="s">
        <v>1330</v>
      </c>
      <c r="C4837" t="s">
        <v>1358</v>
      </c>
      <c r="D4837">
        <v>71.400000000000006</v>
      </c>
    </row>
    <row r="4838" spans="1:4" x14ac:dyDescent="0.25">
      <c r="A4838" t="s">
        <v>2025</v>
      </c>
      <c r="B4838" t="s">
        <v>1334</v>
      </c>
      <c r="C4838" t="s">
        <v>1358</v>
      </c>
      <c r="D4838">
        <v>16.7</v>
      </c>
    </row>
    <row r="4839" spans="1:4" x14ac:dyDescent="0.25">
      <c r="A4839" t="s">
        <v>2081</v>
      </c>
      <c r="B4839" t="s">
        <v>1335</v>
      </c>
      <c r="C4839" t="s">
        <v>1358</v>
      </c>
      <c r="D4839">
        <v>5</v>
      </c>
    </row>
    <row r="4840" spans="1:4" x14ac:dyDescent="0.25">
      <c r="A4840" t="s">
        <v>1911</v>
      </c>
      <c r="B4840" t="s">
        <v>1335</v>
      </c>
      <c r="C4840" t="s">
        <v>1358</v>
      </c>
      <c r="D4840">
        <v>652</v>
      </c>
    </row>
    <row r="4841" spans="1:4" x14ac:dyDescent="0.25">
      <c r="A4841" t="s">
        <v>1909</v>
      </c>
      <c r="B4841" t="s">
        <v>1335</v>
      </c>
      <c r="C4841" t="s">
        <v>1358</v>
      </c>
      <c r="D4841">
        <v>306.3</v>
      </c>
    </row>
    <row r="4842" spans="1:4" x14ac:dyDescent="0.25">
      <c r="A4842" t="s">
        <v>1918</v>
      </c>
      <c r="B4842" t="s">
        <v>1335</v>
      </c>
      <c r="C4842" t="s">
        <v>1358</v>
      </c>
      <c r="D4842">
        <v>4.3499999999999996</v>
      </c>
    </row>
    <row r="4843" spans="1:4" x14ac:dyDescent="0.25">
      <c r="A4843" t="s">
        <v>1985</v>
      </c>
      <c r="B4843" t="s">
        <v>1331</v>
      </c>
      <c r="C4843" t="s">
        <v>1358</v>
      </c>
      <c r="D4843">
        <v>17.5</v>
      </c>
    </row>
    <row r="4844" spans="1:4" x14ac:dyDescent="0.25">
      <c r="A4844" t="s">
        <v>2048</v>
      </c>
      <c r="B4844" t="s">
        <v>1334</v>
      </c>
      <c r="C4844" t="s">
        <v>1358</v>
      </c>
      <c r="D4844">
        <v>198.05</v>
      </c>
    </row>
    <row r="4845" spans="1:4" x14ac:dyDescent="0.25">
      <c r="A4845" t="s">
        <v>2010</v>
      </c>
      <c r="B4845" t="s">
        <v>1331</v>
      </c>
      <c r="C4845" t="s">
        <v>1358</v>
      </c>
      <c r="D4845">
        <v>14.7</v>
      </c>
    </row>
    <row r="4846" spans="1:4" x14ac:dyDescent="0.25">
      <c r="A4846" t="s">
        <v>1990</v>
      </c>
      <c r="B4846" t="s">
        <v>1331</v>
      </c>
      <c r="C4846" t="s">
        <v>1358</v>
      </c>
      <c r="D4846">
        <v>22.4</v>
      </c>
    </row>
    <row r="4847" spans="1:4" x14ac:dyDescent="0.25">
      <c r="A4847" t="s">
        <v>2082</v>
      </c>
      <c r="B4847" t="s">
        <v>1331</v>
      </c>
      <c r="C4847" t="s">
        <v>1358</v>
      </c>
      <c r="D4847">
        <v>0</v>
      </c>
    </row>
    <row r="4848" spans="1:4" x14ac:dyDescent="0.25">
      <c r="A4848" t="s">
        <v>2048</v>
      </c>
      <c r="B4848" t="s">
        <v>1333</v>
      </c>
      <c r="C4848" t="s">
        <v>1358</v>
      </c>
      <c r="D4848">
        <v>42.35</v>
      </c>
    </row>
    <row r="4849" spans="1:4" x14ac:dyDescent="0.25">
      <c r="A4849" t="s">
        <v>2019</v>
      </c>
      <c r="B4849" t="s">
        <v>1334</v>
      </c>
      <c r="C4849" t="s">
        <v>1858</v>
      </c>
      <c r="D4849">
        <v>2</v>
      </c>
    </row>
    <row r="4850" spans="1:4" x14ac:dyDescent="0.25">
      <c r="A4850" t="s">
        <v>2019</v>
      </c>
      <c r="B4850" t="s">
        <v>1334</v>
      </c>
      <c r="C4850" t="s">
        <v>1884</v>
      </c>
      <c r="D4850">
        <v>1</v>
      </c>
    </row>
    <row r="4851" spans="1:4" x14ac:dyDescent="0.25">
      <c r="A4851" t="s">
        <v>1950</v>
      </c>
      <c r="B4851" t="s">
        <v>1331</v>
      </c>
      <c r="C4851" t="s">
        <v>1309</v>
      </c>
      <c r="D4851">
        <v>7.55</v>
      </c>
    </row>
    <row r="4852" spans="1:4" x14ac:dyDescent="0.25">
      <c r="A4852" t="s">
        <v>1923</v>
      </c>
      <c r="B4852" t="s">
        <v>1331</v>
      </c>
      <c r="C4852" t="s">
        <v>1309</v>
      </c>
      <c r="D4852">
        <v>34.799999999999997</v>
      </c>
    </row>
    <row r="4853" spans="1:4" x14ac:dyDescent="0.25">
      <c r="A4853" t="s">
        <v>1945</v>
      </c>
      <c r="B4853" t="s">
        <v>1331</v>
      </c>
      <c r="C4853" t="s">
        <v>1309</v>
      </c>
      <c r="D4853">
        <v>18</v>
      </c>
    </row>
    <row r="4854" spans="1:4" x14ac:dyDescent="0.25">
      <c r="A4854" t="s">
        <v>1921</v>
      </c>
      <c r="B4854" t="s">
        <v>1330</v>
      </c>
      <c r="C4854" t="s">
        <v>1309</v>
      </c>
      <c r="D4854">
        <v>137.6</v>
      </c>
    </row>
    <row r="4855" spans="1:4" x14ac:dyDescent="0.25">
      <c r="A4855" t="s">
        <v>1972</v>
      </c>
      <c r="B4855" t="s">
        <v>1334</v>
      </c>
      <c r="C4855" t="s">
        <v>1309</v>
      </c>
      <c r="D4855">
        <v>74.7</v>
      </c>
    </row>
    <row r="4856" spans="1:4" x14ac:dyDescent="0.25">
      <c r="A4856" t="s">
        <v>1989</v>
      </c>
      <c r="B4856" t="s">
        <v>1331</v>
      </c>
      <c r="C4856" t="s">
        <v>1309</v>
      </c>
      <c r="D4856">
        <v>39.799999999999997</v>
      </c>
    </row>
    <row r="4857" spans="1:4" x14ac:dyDescent="0.25">
      <c r="A4857" t="s">
        <v>1968</v>
      </c>
      <c r="B4857" t="s">
        <v>1330</v>
      </c>
      <c r="C4857" t="s">
        <v>1309</v>
      </c>
      <c r="D4857">
        <v>2.5</v>
      </c>
    </row>
    <row r="4858" spans="1:4" x14ac:dyDescent="0.25">
      <c r="A4858" t="s">
        <v>1988</v>
      </c>
      <c r="B4858" t="s">
        <v>1330</v>
      </c>
      <c r="C4858" t="s">
        <v>1309</v>
      </c>
      <c r="D4858">
        <v>9.4</v>
      </c>
    </row>
    <row r="4859" spans="1:4" x14ac:dyDescent="0.25">
      <c r="A4859" t="s">
        <v>1997</v>
      </c>
      <c r="B4859" t="s">
        <v>1334</v>
      </c>
      <c r="C4859" t="s">
        <v>1309</v>
      </c>
      <c r="D4859">
        <v>28.1</v>
      </c>
    </row>
    <row r="4860" spans="1:4" x14ac:dyDescent="0.25">
      <c r="A4860" t="s">
        <v>2043</v>
      </c>
      <c r="B4860" t="s">
        <v>1334</v>
      </c>
      <c r="C4860" t="s">
        <v>1309</v>
      </c>
      <c r="D4860">
        <v>4</v>
      </c>
    </row>
    <row r="4861" spans="1:4" x14ac:dyDescent="0.25">
      <c r="A4861" t="s">
        <v>1987</v>
      </c>
      <c r="B4861" t="s">
        <v>1331</v>
      </c>
      <c r="C4861" t="s">
        <v>1309</v>
      </c>
      <c r="D4861">
        <v>112.32</v>
      </c>
    </row>
    <row r="4862" spans="1:4" x14ac:dyDescent="0.25">
      <c r="A4862" t="s">
        <v>1986</v>
      </c>
      <c r="B4862" t="s">
        <v>1331</v>
      </c>
      <c r="C4862" t="s">
        <v>1309</v>
      </c>
      <c r="D4862">
        <v>67.099999999999994</v>
      </c>
    </row>
    <row r="4863" spans="1:4" x14ac:dyDescent="0.25">
      <c r="A4863" t="s">
        <v>1980</v>
      </c>
      <c r="B4863" t="s">
        <v>1331</v>
      </c>
      <c r="C4863" t="s">
        <v>1309</v>
      </c>
      <c r="D4863">
        <v>9.5500000000000007</v>
      </c>
    </row>
    <row r="4864" spans="1:4" x14ac:dyDescent="0.25">
      <c r="A4864" t="s">
        <v>1997</v>
      </c>
      <c r="B4864" t="s">
        <v>1331</v>
      </c>
      <c r="C4864" t="s">
        <v>1309</v>
      </c>
      <c r="D4864">
        <v>505.8</v>
      </c>
    </row>
    <row r="4865" spans="1:4" x14ac:dyDescent="0.25">
      <c r="A4865" t="s">
        <v>1984</v>
      </c>
      <c r="B4865" t="s">
        <v>1331</v>
      </c>
      <c r="C4865" t="s">
        <v>1309</v>
      </c>
      <c r="D4865">
        <v>4</v>
      </c>
    </row>
    <row r="4866" spans="1:4" x14ac:dyDescent="0.25">
      <c r="A4866" t="s">
        <v>1950</v>
      </c>
      <c r="B4866" t="s">
        <v>1334</v>
      </c>
      <c r="C4866" t="s">
        <v>1309</v>
      </c>
      <c r="D4866">
        <v>1</v>
      </c>
    </row>
    <row r="4867" spans="1:4" x14ac:dyDescent="0.25">
      <c r="A4867" t="s">
        <v>1990</v>
      </c>
      <c r="B4867" t="s">
        <v>1331</v>
      </c>
      <c r="C4867" t="s">
        <v>1309</v>
      </c>
      <c r="D4867">
        <v>11.4</v>
      </c>
    </row>
    <row r="4868" spans="1:4" x14ac:dyDescent="0.25">
      <c r="A4868" t="s">
        <v>1913</v>
      </c>
      <c r="B4868" t="s">
        <v>1335</v>
      </c>
      <c r="C4868" t="s">
        <v>1309</v>
      </c>
      <c r="D4868">
        <v>6.9</v>
      </c>
    </row>
    <row r="4869" spans="1:4" x14ac:dyDescent="0.25">
      <c r="A4869" t="s">
        <v>2083</v>
      </c>
      <c r="B4869" t="s">
        <v>1330</v>
      </c>
      <c r="C4869" t="s">
        <v>1309</v>
      </c>
      <c r="D4869">
        <v>0</v>
      </c>
    </row>
    <row r="4870" spans="1:4" x14ac:dyDescent="0.25">
      <c r="A4870" t="s">
        <v>1909</v>
      </c>
      <c r="B4870" t="s">
        <v>1335</v>
      </c>
      <c r="C4870" t="s">
        <v>1309</v>
      </c>
      <c r="D4870">
        <v>4</v>
      </c>
    </row>
    <row r="4871" spans="1:4" x14ac:dyDescent="0.25">
      <c r="A4871" t="s">
        <v>1999</v>
      </c>
      <c r="B4871" t="s">
        <v>1331</v>
      </c>
      <c r="C4871" t="s">
        <v>1309</v>
      </c>
      <c r="D4871">
        <v>152.80000000000001</v>
      </c>
    </row>
    <row r="4872" spans="1:4" x14ac:dyDescent="0.25">
      <c r="A4872" t="s">
        <v>2019</v>
      </c>
      <c r="B4872" t="s">
        <v>1334</v>
      </c>
      <c r="C4872" t="s">
        <v>1309</v>
      </c>
      <c r="D4872">
        <v>75.900000000000006</v>
      </c>
    </row>
    <row r="4873" spans="1:4" x14ac:dyDescent="0.25">
      <c r="A4873" t="s">
        <v>2048</v>
      </c>
      <c r="B4873" t="s">
        <v>1334</v>
      </c>
      <c r="C4873" t="s">
        <v>1309</v>
      </c>
      <c r="D4873">
        <v>36.65</v>
      </c>
    </row>
    <row r="4874" spans="1:4" x14ac:dyDescent="0.25">
      <c r="A4874" t="s">
        <v>1945</v>
      </c>
      <c r="B4874" t="s">
        <v>1331</v>
      </c>
      <c r="C4874" t="s">
        <v>1562</v>
      </c>
      <c r="D4874">
        <v>18</v>
      </c>
    </row>
    <row r="4875" spans="1:4" x14ac:dyDescent="0.25">
      <c r="A4875" t="s">
        <v>1925</v>
      </c>
      <c r="B4875" t="s">
        <v>1331</v>
      </c>
      <c r="C4875" t="s">
        <v>1562</v>
      </c>
      <c r="D4875">
        <v>57.9</v>
      </c>
    </row>
    <row r="4876" spans="1:4" x14ac:dyDescent="0.25">
      <c r="A4876" t="s">
        <v>2019</v>
      </c>
      <c r="B4876" t="s">
        <v>1334</v>
      </c>
      <c r="C4876" t="s">
        <v>1660</v>
      </c>
      <c r="D4876">
        <v>16.899999999999999</v>
      </c>
    </row>
    <row r="4877" spans="1:4" x14ac:dyDescent="0.25">
      <c r="A4877" t="s">
        <v>2027</v>
      </c>
      <c r="B4877" t="s">
        <v>1334</v>
      </c>
      <c r="C4877" t="s">
        <v>1660</v>
      </c>
      <c r="D4877">
        <v>10.7</v>
      </c>
    </row>
    <row r="4878" spans="1:4" x14ac:dyDescent="0.25">
      <c r="A4878" t="s">
        <v>1945</v>
      </c>
      <c r="B4878" t="s">
        <v>1331</v>
      </c>
      <c r="C4878" t="s">
        <v>1532</v>
      </c>
      <c r="D4878">
        <v>51</v>
      </c>
    </row>
    <row r="4879" spans="1:4" x14ac:dyDescent="0.25">
      <c r="A4879" t="s">
        <v>1909</v>
      </c>
      <c r="B4879" t="s">
        <v>1335</v>
      </c>
      <c r="C4879" t="s">
        <v>1532</v>
      </c>
      <c r="D4879">
        <v>2</v>
      </c>
    </row>
    <row r="4880" spans="1:4" x14ac:dyDescent="0.25">
      <c r="A4880" t="s">
        <v>1986</v>
      </c>
      <c r="B4880" t="s">
        <v>1331</v>
      </c>
      <c r="C4880" t="s">
        <v>1532</v>
      </c>
      <c r="D4880">
        <v>2</v>
      </c>
    </row>
    <row r="4881" spans="1:4" x14ac:dyDescent="0.25">
      <c r="A4881" t="s">
        <v>1913</v>
      </c>
      <c r="B4881" t="s">
        <v>1335</v>
      </c>
      <c r="C4881" t="s">
        <v>1532</v>
      </c>
      <c r="D4881">
        <v>23.5</v>
      </c>
    </row>
    <row r="4882" spans="1:4" x14ac:dyDescent="0.25">
      <c r="A4882" t="s">
        <v>1911</v>
      </c>
      <c r="B4882" t="s">
        <v>1335</v>
      </c>
      <c r="C4882" t="s">
        <v>1532</v>
      </c>
      <c r="D4882">
        <v>13</v>
      </c>
    </row>
    <row r="4883" spans="1:4" x14ac:dyDescent="0.25">
      <c r="A4883" t="s">
        <v>1907</v>
      </c>
      <c r="B4883" t="s">
        <v>1335</v>
      </c>
      <c r="C4883" t="s">
        <v>1532</v>
      </c>
      <c r="D4883">
        <v>7.4</v>
      </c>
    </row>
    <row r="4884" spans="1:4" x14ac:dyDescent="0.25">
      <c r="A4884" t="s">
        <v>1945</v>
      </c>
      <c r="B4884" t="s">
        <v>1331</v>
      </c>
      <c r="C4884" t="s">
        <v>1813</v>
      </c>
      <c r="D4884">
        <v>5</v>
      </c>
    </row>
    <row r="4885" spans="1:4" x14ac:dyDescent="0.25">
      <c r="A4885" t="s">
        <v>2027</v>
      </c>
      <c r="B4885" t="s">
        <v>1334</v>
      </c>
      <c r="C4885" t="s">
        <v>1686</v>
      </c>
      <c r="D4885">
        <v>22.9</v>
      </c>
    </row>
    <row r="4886" spans="1:4" x14ac:dyDescent="0.25">
      <c r="A4886" t="s">
        <v>2027</v>
      </c>
      <c r="B4886" t="s">
        <v>1334</v>
      </c>
      <c r="C4886" t="s">
        <v>1379</v>
      </c>
      <c r="D4886">
        <v>1.7</v>
      </c>
    </row>
    <row r="4887" spans="1:4" x14ac:dyDescent="0.25">
      <c r="A4887" t="s">
        <v>2041</v>
      </c>
      <c r="B4887" t="s">
        <v>1334</v>
      </c>
      <c r="C4887" t="s">
        <v>1379</v>
      </c>
      <c r="D4887">
        <v>50.05</v>
      </c>
    </row>
    <row r="4888" spans="1:4" x14ac:dyDescent="0.25">
      <c r="A4888" t="s">
        <v>1972</v>
      </c>
      <c r="B4888" t="s">
        <v>1334</v>
      </c>
      <c r="C4888" t="s">
        <v>1379</v>
      </c>
      <c r="D4888">
        <v>450.3</v>
      </c>
    </row>
    <row r="4889" spans="1:4" x14ac:dyDescent="0.25">
      <c r="A4889" t="s">
        <v>2019</v>
      </c>
      <c r="B4889" t="s">
        <v>1334</v>
      </c>
      <c r="C4889" t="s">
        <v>1379</v>
      </c>
      <c r="D4889">
        <v>593.9</v>
      </c>
    </row>
    <row r="4890" spans="1:4" x14ac:dyDescent="0.25">
      <c r="A4890" t="s">
        <v>2019</v>
      </c>
      <c r="B4890" t="s">
        <v>1333</v>
      </c>
      <c r="C4890" t="s">
        <v>1379</v>
      </c>
      <c r="D4890">
        <v>1.7</v>
      </c>
    </row>
    <row r="4891" spans="1:4" x14ac:dyDescent="0.25">
      <c r="A4891" t="s">
        <v>1913</v>
      </c>
      <c r="B4891" t="s">
        <v>1335</v>
      </c>
      <c r="C4891" t="s">
        <v>1379</v>
      </c>
      <c r="D4891">
        <v>12.75</v>
      </c>
    </row>
    <row r="4892" spans="1:4" x14ac:dyDescent="0.25">
      <c r="A4892" t="s">
        <v>2016</v>
      </c>
      <c r="B4892" t="s">
        <v>1331</v>
      </c>
      <c r="C4892" t="s">
        <v>1559</v>
      </c>
      <c r="D4892">
        <v>76.52</v>
      </c>
    </row>
    <row r="4893" spans="1:4" x14ac:dyDescent="0.25">
      <c r="A4893" t="s">
        <v>1929</v>
      </c>
      <c r="B4893" t="s">
        <v>1331</v>
      </c>
      <c r="C4893" t="s">
        <v>1836</v>
      </c>
      <c r="D4893">
        <v>3</v>
      </c>
    </row>
    <row r="4894" spans="1:4" x14ac:dyDescent="0.25">
      <c r="A4894" t="s">
        <v>1920</v>
      </c>
      <c r="B4894" t="s">
        <v>1331</v>
      </c>
      <c r="C4894" t="s">
        <v>1314</v>
      </c>
      <c r="D4894">
        <v>60.8</v>
      </c>
    </row>
    <row r="4895" spans="1:4" x14ac:dyDescent="0.25">
      <c r="A4895" t="s">
        <v>1962</v>
      </c>
      <c r="B4895" t="s">
        <v>1331</v>
      </c>
      <c r="C4895" t="s">
        <v>1314</v>
      </c>
      <c r="D4895">
        <v>84.8</v>
      </c>
    </row>
    <row r="4896" spans="1:4" x14ac:dyDescent="0.25">
      <c r="A4896" t="s">
        <v>1920</v>
      </c>
      <c r="B4896" t="s">
        <v>1334</v>
      </c>
      <c r="C4896" t="s">
        <v>1314</v>
      </c>
      <c r="D4896">
        <v>0</v>
      </c>
    </row>
    <row r="4897" spans="1:4" x14ac:dyDescent="0.25">
      <c r="A4897" t="s">
        <v>1981</v>
      </c>
      <c r="B4897" t="s">
        <v>1331</v>
      </c>
      <c r="C4897" t="s">
        <v>1314</v>
      </c>
      <c r="D4897">
        <v>14.4</v>
      </c>
    </row>
    <row r="4898" spans="1:4" x14ac:dyDescent="0.25">
      <c r="A4898" t="s">
        <v>2016</v>
      </c>
      <c r="B4898" t="s">
        <v>1331</v>
      </c>
      <c r="C4898" t="s">
        <v>1697</v>
      </c>
      <c r="D4898">
        <v>20.329999999999998</v>
      </c>
    </row>
    <row r="4899" spans="1:4" x14ac:dyDescent="0.25">
      <c r="A4899" t="s">
        <v>1913</v>
      </c>
      <c r="B4899" t="s">
        <v>1335</v>
      </c>
      <c r="C4899" t="s">
        <v>1579</v>
      </c>
      <c r="D4899">
        <v>31.8</v>
      </c>
    </row>
    <row r="4900" spans="1:4" x14ac:dyDescent="0.25">
      <c r="A4900" t="s">
        <v>1911</v>
      </c>
      <c r="B4900" t="s">
        <v>1335</v>
      </c>
      <c r="C4900" t="s">
        <v>1579</v>
      </c>
      <c r="D4900">
        <v>13.25</v>
      </c>
    </row>
    <row r="4901" spans="1:4" x14ac:dyDescent="0.25">
      <c r="A4901" t="s">
        <v>1945</v>
      </c>
      <c r="B4901" t="s">
        <v>1331</v>
      </c>
      <c r="C4901" t="s">
        <v>1579</v>
      </c>
      <c r="D4901">
        <v>20</v>
      </c>
    </row>
    <row r="4902" spans="1:4" x14ac:dyDescent="0.25">
      <c r="A4902" t="s">
        <v>1945</v>
      </c>
      <c r="B4902" t="s">
        <v>1331</v>
      </c>
      <c r="C4902" t="s">
        <v>1703</v>
      </c>
      <c r="D4902">
        <v>7.7</v>
      </c>
    </row>
    <row r="4903" spans="1:4" x14ac:dyDescent="0.25">
      <c r="A4903" t="s">
        <v>1911</v>
      </c>
      <c r="B4903" t="s">
        <v>1335</v>
      </c>
      <c r="C4903" t="s">
        <v>1703</v>
      </c>
      <c r="D4903">
        <v>11.55</v>
      </c>
    </row>
    <row r="4904" spans="1:4" x14ac:dyDescent="0.25">
      <c r="A4904" t="s">
        <v>2019</v>
      </c>
      <c r="B4904" t="s">
        <v>1334</v>
      </c>
      <c r="C4904" t="s">
        <v>1393</v>
      </c>
      <c r="D4904">
        <v>396.15</v>
      </c>
    </row>
    <row r="4905" spans="1:4" x14ac:dyDescent="0.25">
      <c r="A4905" t="s">
        <v>1972</v>
      </c>
      <c r="B4905" t="s">
        <v>1334</v>
      </c>
      <c r="C4905" t="s">
        <v>1393</v>
      </c>
      <c r="D4905">
        <v>395.4</v>
      </c>
    </row>
    <row r="4906" spans="1:4" x14ac:dyDescent="0.25">
      <c r="A4906" t="s">
        <v>2027</v>
      </c>
      <c r="B4906" t="s">
        <v>1334</v>
      </c>
      <c r="C4906" t="s">
        <v>1393</v>
      </c>
      <c r="D4906">
        <v>3.5</v>
      </c>
    </row>
    <row r="4907" spans="1:4" x14ac:dyDescent="0.25">
      <c r="A4907" t="s">
        <v>1945</v>
      </c>
      <c r="B4907" t="s">
        <v>1331</v>
      </c>
      <c r="C4907" t="s">
        <v>1571</v>
      </c>
      <c r="D4907">
        <v>36.700000000000003</v>
      </c>
    </row>
    <row r="4908" spans="1:4" x14ac:dyDescent="0.25">
      <c r="A4908" t="s">
        <v>1986</v>
      </c>
      <c r="B4908" t="s">
        <v>1331</v>
      </c>
      <c r="C4908" t="s">
        <v>1571</v>
      </c>
      <c r="D4908">
        <v>8</v>
      </c>
    </row>
    <row r="4909" spans="1:4" x14ac:dyDescent="0.25">
      <c r="A4909" t="s">
        <v>1959</v>
      </c>
      <c r="B4909" t="s">
        <v>1335</v>
      </c>
      <c r="C4909" t="s">
        <v>1571</v>
      </c>
      <c r="D4909">
        <v>7</v>
      </c>
    </row>
    <row r="4910" spans="1:4" x14ac:dyDescent="0.25">
      <c r="A4910" t="s">
        <v>1923</v>
      </c>
      <c r="B4910" t="s">
        <v>1331</v>
      </c>
      <c r="C4910" t="s">
        <v>1571</v>
      </c>
      <c r="D4910">
        <v>18.05</v>
      </c>
    </row>
    <row r="4911" spans="1:4" x14ac:dyDescent="0.25">
      <c r="A4911" t="s">
        <v>1923</v>
      </c>
      <c r="B4911" t="s">
        <v>1331</v>
      </c>
      <c r="C4911" t="s">
        <v>1630</v>
      </c>
      <c r="D4911">
        <v>20.100000000000001</v>
      </c>
    </row>
    <row r="4912" spans="1:4" x14ac:dyDescent="0.25">
      <c r="A4912" t="s">
        <v>1986</v>
      </c>
      <c r="B4912" t="s">
        <v>1331</v>
      </c>
      <c r="C4912" t="s">
        <v>1630</v>
      </c>
      <c r="D4912">
        <v>3</v>
      </c>
    </row>
    <row r="4913" spans="1:4" x14ac:dyDescent="0.25">
      <c r="A4913" t="s">
        <v>1945</v>
      </c>
      <c r="B4913" t="s">
        <v>1331</v>
      </c>
      <c r="C4913" t="s">
        <v>1630</v>
      </c>
      <c r="D4913">
        <v>11.7</v>
      </c>
    </row>
    <row r="4914" spans="1:4" x14ac:dyDescent="0.25">
      <c r="A4914" t="s">
        <v>1960</v>
      </c>
      <c r="B4914" t="s">
        <v>1331</v>
      </c>
      <c r="C4914" t="s">
        <v>1602</v>
      </c>
      <c r="D4914">
        <v>10.1</v>
      </c>
    </row>
    <row r="4915" spans="1:4" x14ac:dyDescent="0.25">
      <c r="A4915" t="s">
        <v>1929</v>
      </c>
      <c r="B4915" t="s">
        <v>1331</v>
      </c>
      <c r="C4915" t="s">
        <v>1602</v>
      </c>
      <c r="D4915">
        <v>38</v>
      </c>
    </row>
    <row r="4916" spans="1:4" x14ac:dyDescent="0.25">
      <c r="A4916" t="s">
        <v>1945</v>
      </c>
      <c r="B4916" t="s">
        <v>1331</v>
      </c>
      <c r="C4916" t="s">
        <v>1633</v>
      </c>
      <c r="D4916">
        <v>31</v>
      </c>
    </row>
    <row r="4917" spans="1:4" x14ac:dyDescent="0.25">
      <c r="A4917" t="s">
        <v>2016</v>
      </c>
      <c r="B4917" t="s">
        <v>1331</v>
      </c>
      <c r="C4917" t="s">
        <v>1633</v>
      </c>
      <c r="D4917">
        <v>3.31</v>
      </c>
    </row>
    <row r="4918" spans="1:4" x14ac:dyDescent="0.25">
      <c r="A4918" t="s">
        <v>2019</v>
      </c>
      <c r="B4918" t="s">
        <v>1334</v>
      </c>
      <c r="C4918" t="s">
        <v>1837</v>
      </c>
      <c r="D4918">
        <v>3</v>
      </c>
    </row>
    <row r="4919" spans="1:4" x14ac:dyDescent="0.25">
      <c r="A4919" t="s">
        <v>1929</v>
      </c>
      <c r="B4919" t="s">
        <v>1331</v>
      </c>
      <c r="C4919" t="s">
        <v>1789</v>
      </c>
      <c r="D4919">
        <v>7</v>
      </c>
    </row>
    <row r="4920" spans="1:4" x14ac:dyDescent="0.25">
      <c r="A4920" t="s">
        <v>1973</v>
      </c>
      <c r="B4920" t="s">
        <v>1333</v>
      </c>
      <c r="C4920" t="s">
        <v>705</v>
      </c>
      <c r="D4920">
        <v>5.85</v>
      </c>
    </row>
    <row r="4921" spans="1:4" x14ac:dyDescent="0.25">
      <c r="A4921" t="s">
        <v>1980</v>
      </c>
      <c r="B4921" t="s">
        <v>1333</v>
      </c>
      <c r="C4921" t="s">
        <v>705</v>
      </c>
      <c r="D4921">
        <v>13.85</v>
      </c>
    </row>
    <row r="4922" spans="1:4" x14ac:dyDescent="0.25">
      <c r="A4922" t="s">
        <v>2084</v>
      </c>
      <c r="B4922" t="s">
        <v>1335</v>
      </c>
      <c r="C4922" t="s">
        <v>705</v>
      </c>
      <c r="D4922">
        <v>150</v>
      </c>
    </row>
    <row r="4923" spans="1:4" x14ac:dyDescent="0.25">
      <c r="A4923" t="s">
        <v>2085</v>
      </c>
      <c r="B4923" t="s">
        <v>1335</v>
      </c>
      <c r="C4923" t="s">
        <v>705</v>
      </c>
      <c r="D4923">
        <v>30.8</v>
      </c>
    </row>
    <row r="4924" spans="1:4" x14ac:dyDescent="0.25">
      <c r="A4924" t="s">
        <v>2086</v>
      </c>
      <c r="B4924" t="s">
        <v>1335</v>
      </c>
      <c r="C4924" t="s">
        <v>705</v>
      </c>
      <c r="D4924">
        <v>27</v>
      </c>
    </row>
    <row r="4925" spans="1:4" x14ac:dyDescent="0.25">
      <c r="A4925" t="s">
        <v>2087</v>
      </c>
      <c r="B4925" t="s">
        <v>1335</v>
      </c>
      <c r="C4925" t="s">
        <v>705</v>
      </c>
      <c r="D4925">
        <v>111.65</v>
      </c>
    </row>
    <row r="4926" spans="1:4" x14ac:dyDescent="0.25">
      <c r="A4926" t="s">
        <v>2088</v>
      </c>
      <c r="B4926" t="s">
        <v>1335</v>
      </c>
      <c r="C4926" t="s">
        <v>705</v>
      </c>
      <c r="D4926">
        <v>23.1</v>
      </c>
    </row>
    <row r="4927" spans="1:4" x14ac:dyDescent="0.25">
      <c r="A4927" t="s">
        <v>2089</v>
      </c>
      <c r="B4927" t="s">
        <v>1333</v>
      </c>
      <c r="C4927" t="s">
        <v>705</v>
      </c>
      <c r="D4927">
        <v>7.5</v>
      </c>
    </row>
    <row r="4928" spans="1:4" x14ac:dyDescent="0.25">
      <c r="A4928" t="s">
        <v>1956</v>
      </c>
      <c r="B4928" t="s">
        <v>1330</v>
      </c>
      <c r="C4928" t="s">
        <v>705</v>
      </c>
      <c r="D4928">
        <v>3.85</v>
      </c>
    </row>
    <row r="4929" spans="1:4" x14ac:dyDescent="0.25">
      <c r="A4929" t="s">
        <v>1956</v>
      </c>
      <c r="B4929" t="s">
        <v>1333</v>
      </c>
      <c r="C4929" t="s">
        <v>705</v>
      </c>
      <c r="D4929">
        <v>2</v>
      </c>
    </row>
    <row r="4930" spans="1:4" x14ac:dyDescent="0.25">
      <c r="A4930" t="s">
        <v>2090</v>
      </c>
      <c r="B4930" t="s">
        <v>1335</v>
      </c>
      <c r="C4930" t="s">
        <v>705</v>
      </c>
      <c r="D4930">
        <v>92.4</v>
      </c>
    </row>
    <row r="4931" spans="1:4" x14ac:dyDescent="0.25">
      <c r="A4931" t="s">
        <v>1914</v>
      </c>
      <c r="B4931" t="s">
        <v>1333</v>
      </c>
      <c r="C4931" t="s">
        <v>705</v>
      </c>
      <c r="D4931">
        <v>34.200000000000003</v>
      </c>
    </row>
    <row r="4932" spans="1:4" x14ac:dyDescent="0.25">
      <c r="A4932" t="s">
        <v>2091</v>
      </c>
      <c r="B4932" t="s">
        <v>1335</v>
      </c>
      <c r="C4932" t="s">
        <v>705</v>
      </c>
      <c r="D4932">
        <v>2</v>
      </c>
    </row>
    <row r="4933" spans="1:4" x14ac:dyDescent="0.25">
      <c r="A4933" t="s">
        <v>1989</v>
      </c>
      <c r="B4933" t="s">
        <v>1331</v>
      </c>
      <c r="C4933" t="s">
        <v>705</v>
      </c>
      <c r="D4933">
        <v>1.5</v>
      </c>
    </row>
    <row r="4934" spans="1:4" x14ac:dyDescent="0.25">
      <c r="A4934" t="s">
        <v>1966</v>
      </c>
      <c r="B4934" t="s">
        <v>1333</v>
      </c>
      <c r="C4934" t="s">
        <v>705</v>
      </c>
      <c r="D4934">
        <v>255.1</v>
      </c>
    </row>
    <row r="4935" spans="1:4" x14ac:dyDescent="0.25">
      <c r="A4935" t="s">
        <v>1907</v>
      </c>
      <c r="B4935" t="s">
        <v>1335</v>
      </c>
      <c r="C4935" t="s">
        <v>705</v>
      </c>
      <c r="D4935">
        <v>111.2</v>
      </c>
    </row>
    <row r="4936" spans="1:4" x14ac:dyDescent="0.25">
      <c r="A4936" t="s">
        <v>2092</v>
      </c>
      <c r="B4936" t="s">
        <v>1335</v>
      </c>
      <c r="C4936" t="s">
        <v>705</v>
      </c>
      <c r="D4936">
        <v>38.5</v>
      </c>
    </row>
    <row r="4937" spans="1:4" x14ac:dyDescent="0.25">
      <c r="A4937" t="s">
        <v>2012</v>
      </c>
      <c r="B4937" t="s">
        <v>1335</v>
      </c>
      <c r="C4937" t="s">
        <v>705</v>
      </c>
      <c r="D4937">
        <v>77</v>
      </c>
    </row>
    <row r="4938" spans="1:4" x14ac:dyDescent="0.25">
      <c r="A4938" t="s">
        <v>2076</v>
      </c>
      <c r="B4938" t="s">
        <v>1335</v>
      </c>
      <c r="C4938" t="s">
        <v>705</v>
      </c>
      <c r="D4938">
        <v>7.7</v>
      </c>
    </row>
    <row r="4939" spans="1:4" x14ac:dyDescent="0.25">
      <c r="A4939" t="s">
        <v>1913</v>
      </c>
      <c r="B4939" t="s">
        <v>1333</v>
      </c>
      <c r="C4939" t="s">
        <v>705</v>
      </c>
      <c r="D4939">
        <v>4.8499999999999996</v>
      </c>
    </row>
    <row r="4940" spans="1:4" x14ac:dyDescent="0.25">
      <c r="A4940" t="s">
        <v>2018</v>
      </c>
      <c r="B4940" t="s">
        <v>1335</v>
      </c>
      <c r="C4940" t="s">
        <v>705</v>
      </c>
      <c r="D4940">
        <v>107.3</v>
      </c>
    </row>
    <row r="4941" spans="1:4" x14ac:dyDescent="0.25">
      <c r="A4941" t="s">
        <v>1909</v>
      </c>
      <c r="B4941" t="s">
        <v>1335</v>
      </c>
      <c r="C4941" t="s">
        <v>705</v>
      </c>
      <c r="D4941">
        <v>212.55</v>
      </c>
    </row>
    <row r="4942" spans="1:4" x14ac:dyDescent="0.25">
      <c r="A4942" t="s">
        <v>1983</v>
      </c>
      <c r="B4942" t="s">
        <v>1335</v>
      </c>
      <c r="C4942" t="s">
        <v>705</v>
      </c>
      <c r="D4942">
        <v>-10.42</v>
      </c>
    </row>
    <row r="4943" spans="1:4" x14ac:dyDescent="0.25">
      <c r="A4943" t="s">
        <v>1980</v>
      </c>
      <c r="B4943" t="s">
        <v>1331</v>
      </c>
      <c r="C4943" t="s">
        <v>705</v>
      </c>
      <c r="D4943">
        <v>-0.15</v>
      </c>
    </row>
    <row r="4944" spans="1:4" x14ac:dyDescent="0.25">
      <c r="A4944" t="s">
        <v>1992</v>
      </c>
      <c r="B4944" t="s">
        <v>1335</v>
      </c>
      <c r="C4944" t="s">
        <v>705</v>
      </c>
      <c r="D4944">
        <v>88.3</v>
      </c>
    </row>
    <row r="4945" spans="1:4" x14ac:dyDescent="0.25">
      <c r="A4945" t="s">
        <v>1956</v>
      </c>
      <c r="B4945" t="s">
        <v>1331</v>
      </c>
      <c r="C4945" t="s">
        <v>705</v>
      </c>
      <c r="D4945">
        <v>1.7</v>
      </c>
    </row>
    <row r="4946" spans="1:4" x14ac:dyDescent="0.25">
      <c r="A4946" t="s">
        <v>1960</v>
      </c>
      <c r="B4946" t="s">
        <v>1333</v>
      </c>
      <c r="C4946" t="s">
        <v>705</v>
      </c>
      <c r="D4946">
        <v>100.8</v>
      </c>
    </row>
    <row r="4947" spans="1:4" x14ac:dyDescent="0.25">
      <c r="A4947" t="s">
        <v>1921</v>
      </c>
      <c r="B4947" t="s">
        <v>1330</v>
      </c>
      <c r="C4947" t="s">
        <v>705</v>
      </c>
      <c r="D4947">
        <v>80.7</v>
      </c>
    </row>
    <row r="4948" spans="1:4" x14ac:dyDescent="0.25">
      <c r="A4948" t="s">
        <v>1973</v>
      </c>
      <c r="B4948" t="s">
        <v>1331</v>
      </c>
      <c r="C4948" t="s">
        <v>705</v>
      </c>
      <c r="D4948">
        <v>2</v>
      </c>
    </row>
    <row r="4949" spans="1:4" x14ac:dyDescent="0.25">
      <c r="A4949" t="s">
        <v>1968</v>
      </c>
      <c r="B4949" t="s">
        <v>1330</v>
      </c>
      <c r="C4949" t="s">
        <v>705</v>
      </c>
      <c r="D4949">
        <v>1</v>
      </c>
    </row>
    <row r="4950" spans="1:4" x14ac:dyDescent="0.25">
      <c r="A4950" t="s">
        <v>2093</v>
      </c>
      <c r="B4950" t="s">
        <v>1335</v>
      </c>
      <c r="C4950" t="s">
        <v>705</v>
      </c>
      <c r="D4950">
        <v>90.1</v>
      </c>
    </row>
    <row r="4951" spans="1:4" x14ac:dyDescent="0.25">
      <c r="A4951" t="s">
        <v>2014</v>
      </c>
      <c r="B4951" t="s">
        <v>1335</v>
      </c>
      <c r="C4951" t="s">
        <v>705</v>
      </c>
      <c r="D4951">
        <v>121.5</v>
      </c>
    </row>
    <row r="4952" spans="1:4" x14ac:dyDescent="0.25">
      <c r="A4952" t="s">
        <v>2094</v>
      </c>
      <c r="B4952" t="s">
        <v>1335</v>
      </c>
      <c r="C4952" t="s">
        <v>705</v>
      </c>
      <c r="D4952">
        <v>0</v>
      </c>
    </row>
    <row r="4953" spans="1:4" x14ac:dyDescent="0.25">
      <c r="A4953" t="s">
        <v>2070</v>
      </c>
      <c r="B4953" t="s">
        <v>1335</v>
      </c>
      <c r="C4953" t="s">
        <v>705</v>
      </c>
      <c r="D4953">
        <v>11.6</v>
      </c>
    </row>
    <row r="4954" spans="1:4" x14ac:dyDescent="0.25">
      <c r="A4954" t="s">
        <v>1962</v>
      </c>
      <c r="B4954" t="s">
        <v>1331</v>
      </c>
      <c r="C4954" t="s">
        <v>705</v>
      </c>
      <c r="D4954">
        <v>0.5</v>
      </c>
    </row>
    <row r="4955" spans="1:4" x14ac:dyDescent="0.25">
      <c r="A4955" t="s">
        <v>1918</v>
      </c>
      <c r="B4955" t="s">
        <v>1335</v>
      </c>
      <c r="C4955" t="s">
        <v>705</v>
      </c>
      <c r="D4955">
        <v>59.2</v>
      </c>
    </row>
    <row r="4956" spans="1:4" x14ac:dyDescent="0.25">
      <c r="A4956" t="s">
        <v>2095</v>
      </c>
      <c r="B4956" t="s">
        <v>1335</v>
      </c>
      <c r="C4956" t="s">
        <v>705</v>
      </c>
      <c r="D4956">
        <v>-3.85</v>
      </c>
    </row>
    <row r="4957" spans="1:4" x14ac:dyDescent="0.25">
      <c r="A4957" t="s">
        <v>2096</v>
      </c>
      <c r="B4957" t="s">
        <v>1333</v>
      </c>
      <c r="C4957" t="s">
        <v>705</v>
      </c>
      <c r="D4957">
        <v>6</v>
      </c>
    </row>
    <row r="4958" spans="1:4" x14ac:dyDescent="0.25">
      <c r="A4958" t="s">
        <v>2077</v>
      </c>
      <c r="B4958" t="s">
        <v>1333</v>
      </c>
      <c r="C4958" t="s">
        <v>705</v>
      </c>
      <c r="D4958">
        <v>7.7</v>
      </c>
    </row>
    <row r="4959" spans="1:4" x14ac:dyDescent="0.25">
      <c r="A4959" t="s">
        <v>1913</v>
      </c>
      <c r="B4959" t="s">
        <v>1335</v>
      </c>
      <c r="C4959" t="s">
        <v>705</v>
      </c>
      <c r="D4959">
        <v>499.25</v>
      </c>
    </row>
    <row r="4960" spans="1:4" x14ac:dyDescent="0.25">
      <c r="A4960" t="s">
        <v>2013</v>
      </c>
      <c r="B4960" t="s">
        <v>1335</v>
      </c>
      <c r="C4960" t="s">
        <v>705</v>
      </c>
      <c r="D4960">
        <v>32.65</v>
      </c>
    </row>
    <row r="4961" spans="1:4" x14ac:dyDescent="0.25">
      <c r="A4961" t="s">
        <v>2097</v>
      </c>
      <c r="B4961" t="s">
        <v>1335</v>
      </c>
      <c r="C4961" t="s">
        <v>705</v>
      </c>
      <c r="D4961">
        <v>69.3</v>
      </c>
    </row>
    <row r="4962" spans="1:4" x14ac:dyDescent="0.25">
      <c r="A4962" t="s">
        <v>1945</v>
      </c>
      <c r="B4962" t="s">
        <v>1331</v>
      </c>
      <c r="C4962" t="s">
        <v>705</v>
      </c>
      <c r="D4962">
        <v>52.15</v>
      </c>
    </row>
    <row r="4963" spans="1:4" x14ac:dyDescent="0.25">
      <c r="A4963" t="s">
        <v>1914</v>
      </c>
      <c r="B4963" t="s">
        <v>1335</v>
      </c>
      <c r="C4963" t="s">
        <v>705</v>
      </c>
      <c r="D4963">
        <v>81.900000000000006</v>
      </c>
    </row>
    <row r="4964" spans="1:4" x14ac:dyDescent="0.25">
      <c r="A4964" t="s">
        <v>2098</v>
      </c>
      <c r="B4964" t="s">
        <v>1335</v>
      </c>
      <c r="C4964" t="s">
        <v>705</v>
      </c>
      <c r="D4964">
        <v>30.8</v>
      </c>
    </row>
    <row r="4965" spans="1:4" x14ac:dyDescent="0.25">
      <c r="A4965" t="s">
        <v>2077</v>
      </c>
      <c r="B4965" t="s">
        <v>1335</v>
      </c>
      <c r="C4965" t="s">
        <v>705</v>
      </c>
      <c r="D4965">
        <v>53.9</v>
      </c>
    </row>
    <row r="4966" spans="1:4" x14ac:dyDescent="0.25">
      <c r="A4966" t="s">
        <v>1907</v>
      </c>
      <c r="B4966" t="s">
        <v>1333</v>
      </c>
      <c r="C4966" t="s">
        <v>705</v>
      </c>
      <c r="D4966">
        <v>28.4</v>
      </c>
    </row>
    <row r="4967" spans="1:4" x14ac:dyDescent="0.25">
      <c r="A4967" t="s">
        <v>2009</v>
      </c>
      <c r="B4967" t="s">
        <v>1335</v>
      </c>
      <c r="C4967" t="s">
        <v>705</v>
      </c>
      <c r="D4967">
        <v>-221.75</v>
      </c>
    </row>
    <row r="4968" spans="1:4" x14ac:dyDescent="0.25">
      <c r="A4968" t="s">
        <v>1945</v>
      </c>
      <c r="B4968" t="s">
        <v>1333</v>
      </c>
      <c r="C4968" t="s">
        <v>705</v>
      </c>
      <c r="D4968">
        <v>12</v>
      </c>
    </row>
    <row r="4969" spans="1:4" x14ac:dyDescent="0.25">
      <c r="A4969" t="s">
        <v>1966</v>
      </c>
      <c r="B4969" t="s">
        <v>1331</v>
      </c>
      <c r="C4969" t="s">
        <v>705</v>
      </c>
      <c r="D4969">
        <v>1073.6500000000001</v>
      </c>
    </row>
    <row r="4970" spans="1:4" x14ac:dyDescent="0.25">
      <c r="A4970" t="s">
        <v>1911</v>
      </c>
      <c r="B4970" t="s">
        <v>1335</v>
      </c>
      <c r="C4970" t="s">
        <v>705</v>
      </c>
      <c r="D4970">
        <v>1106.95</v>
      </c>
    </row>
    <row r="4971" spans="1:4" x14ac:dyDescent="0.25">
      <c r="A4971" t="s">
        <v>1929</v>
      </c>
      <c r="B4971" t="s">
        <v>1331</v>
      </c>
      <c r="C4971" t="s">
        <v>705</v>
      </c>
      <c r="D4971">
        <v>11</v>
      </c>
    </row>
    <row r="4972" spans="1:4" x14ac:dyDescent="0.25">
      <c r="A4972" t="s">
        <v>1923</v>
      </c>
      <c r="B4972" t="s">
        <v>1331</v>
      </c>
      <c r="C4972" t="s">
        <v>705</v>
      </c>
      <c r="D4972">
        <v>16.2</v>
      </c>
    </row>
    <row r="4973" spans="1:4" x14ac:dyDescent="0.25">
      <c r="A4973" t="s">
        <v>1974</v>
      </c>
      <c r="B4973" t="s">
        <v>1330</v>
      </c>
      <c r="C4973" t="s">
        <v>705</v>
      </c>
      <c r="D4973">
        <v>2</v>
      </c>
    </row>
    <row r="4974" spans="1:4" x14ac:dyDescent="0.25">
      <c r="A4974" t="s">
        <v>1960</v>
      </c>
      <c r="B4974" t="s">
        <v>1331</v>
      </c>
      <c r="C4974" t="s">
        <v>705</v>
      </c>
      <c r="D4974">
        <v>72.150000000000006</v>
      </c>
    </row>
    <row r="4975" spans="1:4" x14ac:dyDescent="0.25">
      <c r="A4975" t="s">
        <v>1911</v>
      </c>
      <c r="B4975" t="s">
        <v>1330</v>
      </c>
      <c r="C4975" t="s">
        <v>705</v>
      </c>
      <c r="D4975">
        <v>2.7</v>
      </c>
    </row>
    <row r="4976" spans="1:4" x14ac:dyDescent="0.25">
      <c r="A4976" t="s">
        <v>2021</v>
      </c>
      <c r="B4976" t="s">
        <v>1334</v>
      </c>
      <c r="C4976" t="s">
        <v>1424</v>
      </c>
      <c r="D4976">
        <v>413.3</v>
      </c>
    </row>
    <row r="4977" spans="1:4" x14ac:dyDescent="0.25">
      <c r="A4977" t="s">
        <v>1945</v>
      </c>
      <c r="B4977" t="s">
        <v>1331</v>
      </c>
      <c r="C4977" t="s">
        <v>1647</v>
      </c>
      <c r="D4977">
        <v>6.7</v>
      </c>
    </row>
    <row r="4978" spans="1:4" x14ac:dyDescent="0.25">
      <c r="A4978" t="s">
        <v>1913</v>
      </c>
      <c r="B4978" t="s">
        <v>1335</v>
      </c>
      <c r="C4978" t="s">
        <v>1647</v>
      </c>
      <c r="D4978">
        <v>7.7</v>
      </c>
    </row>
    <row r="4979" spans="1:4" x14ac:dyDescent="0.25">
      <c r="A4979" t="s">
        <v>1911</v>
      </c>
      <c r="B4979" t="s">
        <v>1335</v>
      </c>
      <c r="C4979" t="s">
        <v>1647</v>
      </c>
      <c r="D4979">
        <v>15.4</v>
      </c>
    </row>
    <row r="4980" spans="1:4" x14ac:dyDescent="0.25">
      <c r="A4980" t="s">
        <v>2021</v>
      </c>
      <c r="B4980" t="s">
        <v>1334</v>
      </c>
      <c r="C4980" t="s">
        <v>1461</v>
      </c>
      <c r="D4980">
        <v>231.35</v>
      </c>
    </row>
    <row r="4981" spans="1:4" x14ac:dyDescent="0.25">
      <c r="A4981" t="s">
        <v>2021</v>
      </c>
      <c r="B4981" t="s">
        <v>1334</v>
      </c>
      <c r="C4981" t="s">
        <v>1425</v>
      </c>
      <c r="D4981">
        <v>411.2</v>
      </c>
    </row>
    <row r="4982" spans="1:4" x14ac:dyDescent="0.25">
      <c r="A4982" t="s">
        <v>1987</v>
      </c>
      <c r="B4982" t="s">
        <v>1331</v>
      </c>
      <c r="C4982" t="s">
        <v>1380</v>
      </c>
      <c r="D4982">
        <v>18.149999999999999</v>
      </c>
    </row>
    <row r="4983" spans="1:4" x14ac:dyDescent="0.25">
      <c r="A4983" t="s">
        <v>1911</v>
      </c>
      <c r="B4983" t="s">
        <v>1335</v>
      </c>
      <c r="C4983" t="s">
        <v>1380</v>
      </c>
      <c r="D4983">
        <v>229.8</v>
      </c>
    </row>
    <row r="4984" spans="1:4" x14ac:dyDescent="0.25">
      <c r="A4984" t="s">
        <v>1913</v>
      </c>
      <c r="B4984" t="s">
        <v>1335</v>
      </c>
      <c r="C4984" t="s">
        <v>1380</v>
      </c>
      <c r="D4984">
        <v>365.7</v>
      </c>
    </row>
    <row r="4985" spans="1:4" x14ac:dyDescent="0.25">
      <c r="A4985" t="s">
        <v>1909</v>
      </c>
      <c r="B4985" t="s">
        <v>1335</v>
      </c>
      <c r="C4985" t="s">
        <v>1380</v>
      </c>
      <c r="D4985">
        <v>53.5</v>
      </c>
    </row>
    <row r="4986" spans="1:4" x14ac:dyDescent="0.25">
      <c r="A4986" t="s">
        <v>1986</v>
      </c>
      <c r="B4986" t="s">
        <v>1331</v>
      </c>
      <c r="C4986" t="s">
        <v>1380</v>
      </c>
      <c r="D4986">
        <v>275</v>
      </c>
    </row>
    <row r="4987" spans="1:4" x14ac:dyDescent="0.25">
      <c r="A4987" t="s">
        <v>1989</v>
      </c>
      <c r="B4987" t="s">
        <v>1331</v>
      </c>
      <c r="C4987" t="s">
        <v>1380</v>
      </c>
      <c r="D4987">
        <v>26.6</v>
      </c>
    </row>
    <row r="4988" spans="1:4" x14ac:dyDescent="0.25">
      <c r="A4988" t="s">
        <v>1918</v>
      </c>
      <c r="B4988" t="s">
        <v>1335</v>
      </c>
      <c r="C4988" t="s">
        <v>1380</v>
      </c>
      <c r="D4988">
        <v>3</v>
      </c>
    </row>
    <row r="4989" spans="1:4" x14ac:dyDescent="0.25">
      <c r="A4989" t="s">
        <v>2021</v>
      </c>
      <c r="B4989" t="s">
        <v>1334</v>
      </c>
      <c r="C4989" t="s">
        <v>1728</v>
      </c>
      <c r="D4989">
        <v>13.7</v>
      </c>
    </row>
    <row r="4990" spans="1:4" x14ac:dyDescent="0.25">
      <c r="A4990" t="s">
        <v>1945</v>
      </c>
      <c r="B4990" t="s">
        <v>1331</v>
      </c>
      <c r="C4990" t="s">
        <v>1859</v>
      </c>
      <c r="D4990">
        <v>2</v>
      </c>
    </row>
    <row r="4991" spans="1:4" x14ac:dyDescent="0.25">
      <c r="A4991" t="s">
        <v>1945</v>
      </c>
      <c r="B4991" t="s">
        <v>1331</v>
      </c>
      <c r="C4991" t="s">
        <v>1664</v>
      </c>
      <c r="D4991">
        <v>6</v>
      </c>
    </row>
    <row r="4992" spans="1:4" x14ac:dyDescent="0.25">
      <c r="A4992" t="s">
        <v>1986</v>
      </c>
      <c r="B4992" t="s">
        <v>1331</v>
      </c>
      <c r="C4992" t="s">
        <v>1664</v>
      </c>
      <c r="D4992">
        <v>21</v>
      </c>
    </row>
    <row r="4993" spans="1:4" x14ac:dyDescent="0.25">
      <c r="A4993" t="s">
        <v>1986</v>
      </c>
      <c r="B4993" t="s">
        <v>1331</v>
      </c>
      <c r="C4993" t="s">
        <v>1754</v>
      </c>
      <c r="D4993">
        <v>1</v>
      </c>
    </row>
    <row r="4994" spans="1:4" x14ac:dyDescent="0.25">
      <c r="A4994" t="s">
        <v>1945</v>
      </c>
      <c r="B4994" t="s">
        <v>1331</v>
      </c>
      <c r="C4994" t="s">
        <v>1754</v>
      </c>
      <c r="D4994">
        <v>9</v>
      </c>
    </row>
    <row r="4995" spans="1:4" x14ac:dyDescent="0.25">
      <c r="A4995" t="s">
        <v>2016</v>
      </c>
      <c r="B4995" t="s">
        <v>1331</v>
      </c>
      <c r="C4995" t="s">
        <v>1710</v>
      </c>
      <c r="D4995">
        <v>2.71</v>
      </c>
    </row>
    <row r="4996" spans="1:4" x14ac:dyDescent="0.25">
      <c r="A4996" t="s">
        <v>1945</v>
      </c>
      <c r="B4996" t="s">
        <v>1331</v>
      </c>
      <c r="C4996" t="s">
        <v>1710</v>
      </c>
      <c r="D4996">
        <v>14</v>
      </c>
    </row>
    <row r="4997" spans="1:4" x14ac:dyDescent="0.25">
      <c r="A4997" t="s">
        <v>1986</v>
      </c>
      <c r="B4997" t="s">
        <v>1331</v>
      </c>
      <c r="C4997" t="s">
        <v>1391</v>
      </c>
      <c r="D4997">
        <v>517.6</v>
      </c>
    </row>
    <row r="4998" spans="1:4" x14ac:dyDescent="0.25">
      <c r="A4998" t="s">
        <v>1923</v>
      </c>
      <c r="B4998" t="s">
        <v>1331</v>
      </c>
      <c r="C4998" t="s">
        <v>1391</v>
      </c>
      <c r="D4998">
        <v>15.4</v>
      </c>
    </row>
    <row r="4999" spans="1:4" x14ac:dyDescent="0.25">
      <c r="A4999" t="s">
        <v>1994</v>
      </c>
      <c r="B4999" t="s">
        <v>1331</v>
      </c>
      <c r="C4999" t="s">
        <v>1391</v>
      </c>
      <c r="D4999">
        <v>160.4</v>
      </c>
    </row>
    <row r="5000" spans="1:4" x14ac:dyDescent="0.25">
      <c r="A5000" t="s">
        <v>1987</v>
      </c>
      <c r="B5000" t="s">
        <v>1331</v>
      </c>
      <c r="C5000" t="s">
        <v>1391</v>
      </c>
      <c r="D5000">
        <v>129.08000000000001</v>
      </c>
    </row>
    <row r="5001" spans="1:4" x14ac:dyDescent="0.25">
      <c r="A5001" t="s">
        <v>2016</v>
      </c>
      <c r="B5001" t="s">
        <v>1331</v>
      </c>
      <c r="C5001" t="s">
        <v>1391</v>
      </c>
      <c r="D5001">
        <v>1.5</v>
      </c>
    </row>
    <row r="5002" spans="1:4" x14ac:dyDescent="0.25">
      <c r="A5002" t="s">
        <v>1911</v>
      </c>
      <c r="B5002" t="s">
        <v>1335</v>
      </c>
      <c r="C5002" t="s">
        <v>1355</v>
      </c>
      <c r="D5002">
        <v>501.25</v>
      </c>
    </row>
    <row r="5003" spans="1:4" x14ac:dyDescent="0.25">
      <c r="A5003" t="s">
        <v>1927</v>
      </c>
      <c r="B5003" t="s">
        <v>1331</v>
      </c>
      <c r="C5003" t="s">
        <v>1355</v>
      </c>
      <c r="D5003">
        <v>54.75</v>
      </c>
    </row>
    <row r="5004" spans="1:4" x14ac:dyDescent="0.25">
      <c r="A5004" t="s">
        <v>1929</v>
      </c>
      <c r="B5004" t="s">
        <v>1331</v>
      </c>
      <c r="C5004" t="s">
        <v>1355</v>
      </c>
      <c r="D5004">
        <v>18</v>
      </c>
    </row>
    <row r="5005" spans="1:4" x14ac:dyDescent="0.25">
      <c r="A5005" t="s">
        <v>1986</v>
      </c>
      <c r="B5005" t="s">
        <v>1331</v>
      </c>
      <c r="C5005" t="s">
        <v>1355</v>
      </c>
      <c r="D5005">
        <v>1442.41</v>
      </c>
    </row>
    <row r="5006" spans="1:4" x14ac:dyDescent="0.25">
      <c r="A5006" t="s">
        <v>1907</v>
      </c>
      <c r="B5006" t="s">
        <v>1335</v>
      </c>
      <c r="C5006" t="s">
        <v>1355</v>
      </c>
      <c r="D5006">
        <v>30.1</v>
      </c>
    </row>
    <row r="5007" spans="1:4" x14ac:dyDescent="0.25">
      <c r="A5007" t="s">
        <v>1979</v>
      </c>
      <c r="B5007" t="s">
        <v>1331</v>
      </c>
      <c r="C5007" t="s">
        <v>1355</v>
      </c>
      <c r="D5007">
        <v>2.7</v>
      </c>
    </row>
    <row r="5008" spans="1:4" x14ac:dyDescent="0.25">
      <c r="A5008" t="s">
        <v>1973</v>
      </c>
      <c r="B5008" t="s">
        <v>1331</v>
      </c>
      <c r="C5008" t="s">
        <v>1355</v>
      </c>
      <c r="D5008">
        <v>36.35</v>
      </c>
    </row>
    <row r="5009" spans="1:4" x14ac:dyDescent="0.25">
      <c r="A5009" t="s">
        <v>1913</v>
      </c>
      <c r="B5009" t="s">
        <v>1335</v>
      </c>
      <c r="C5009" t="s">
        <v>1355</v>
      </c>
      <c r="D5009">
        <v>405.48</v>
      </c>
    </row>
    <row r="5010" spans="1:4" x14ac:dyDescent="0.25">
      <c r="A5010" t="s">
        <v>1923</v>
      </c>
      <c r="B5010" t="s">
        <v>1331</v>
      </c>
      <c r="C5010" t="s">
        <v>1355</v>
      </c>
      <c r="D5010">
        <v>139.69999999999999</v>
      </c>
    </row>
    <row r="5011" spans="1:4" x14ac:dyDescent="0.25">
      <c r="A5011" t="s">
        <v>1960</v>
      </c>
      <c r="B5011" t="s">
        <v>1331</v>
      </c>
      <c r="C5011" t="s">
        <v>1355</v>
      </c>
      <c r="D5011">
        <v>101.15</v>
      </c>
    </row>
    <row r="5012" spans="1:4" x14ac:dyDescent="0.25">
      <c r="A5012" t="s">
        <v>1909</v>
      </c>
      <c r="B5012" t="s">
        <v>1335</v>
      </c>
      <c r="C5012" t="s">
        <v>1355</v>
      </c>
      <c r="D5012">
        <v>62.8</v>
      </c>
    </row>
    <row r="5013" spans="1:4" x14ac:dyDescent="0.25">
      <c r="A5013" t="s">
        <v>2016</v>
      </c>
      <c r="B5013" t="s">
        <v>1331</v>
      </c>
      <c r="C5013" t="s">
        <v>1355</v>
      </c>
      <c r="D5013">
        <v>3.5</v>
      </c>
    </row>
    <row r="5014" spans="1:4" x14ac:dyDescent="0.25">
      <c r="A5014" t="s">
        <v>1989</v>
      </c>
      <c r="B5014" t="s">
        <v>1331</v>
      </c>
      <c r="C5014" t="s">
        <v>1355</v>
      </c>
      <c r="D5014">
        <v>55.2</v>
      </c>
    </row>
    <row r="5015" spans="1:4" x14ac:dyDescent="0.25">
      <c r="A5015" t="s">
        <v>1945</v>
      </c>
      <c r="B5015" t="s">
        <v>1331</v>
      </c>
      <c r="C5015" t="s">
        <v>1355</v>
      </c>
      <c r="D5015">
        <v>313.2</v>
      </c>
    </row>
    <row r="5016" spans="1:4" x14ac:dyDescent="0.25">
      <c r="A5016" t="s">
        <v>1974</v>
      </c>
      <c r="B5016" t="s">
        <v>1331</v>
      </c>
      <c r="C5016" t="s">
        <v>1355</v>
      </c>
      <c r="D5016">
        <v>1</v>
      </c>
    </row>
    <row r="5017" spans="1:4" x14ac:dyDescent="0.25">
      <c r="A5017" t="s">
        <v>1945</v>
      </c>
      <c r="B5017" t="s">
        <v>1331</v>
      </c>
      <c r="C5017" t="s">
        <v>1512</v>
      </c>
      <c r="D5017">
        <v>69</v>
      </c>
    </row>
    <row r="5018" spans="1:4" x14ac:dyDescent="0.25">
      <c r="A5018" t="s">
        <v>1986</v>
      </c>
      <c r="B5018" t="s">
        <v>1331</v>
      </c>
      <c r="C5018" t="s">
        <v>1512</v>
      </c>
      <c r="D5018">
        <v>11</v>
      </c>
    </row>
    <row r="5019" spans="1:4" x14ac:dyDescent="0.25">
      <c r="A5019" t="s">
        <v>1989</v>
      </c>
      <c r="B5019" t="s">
        <v>1331</v>
      </c>
      <c r="C5019" t="s">
        <v>1512</v>
      </c>
      <c r="D5019">
        <v>41.55</v>
      </c>
    </row>
    <row r="5020" spans="1:4" x14ac:dyDescent="0.25">
      <c r="A5020" t="s">
        <v>1945</v>
      </c>
      <c r="B5020" t="s">
        <v>1331</v>
      </c>
      <c r="C5020" t="s">
        <v>1378</v>
      </c>
      <c r="D5020">
        <v>147.5</v>
      </c>
    </row>
    <row r="5021" spans="1:4" x14ac:dyDescent="0.25">
      <c r="A5021" t="s">
        <v>2016</v>
      </c>
      <c r="B5021" t="s">
        <v>1331</v>
      </c>
      <c r="C5021" t="s">
        <v>1378</v>
      </c>
      <c r="D5021">
        <v>2.9</v>
      </c>
    </row>
    <row r="5022" spans="1:4" x14ac:dyDescent="0.25">
      <c r="A5022" t="s">
        <v>1927</v>
      </c>
      <c r="B5022" t="s">
        <v>1331</v>
      </c>
      <c r="C5022" t="s">
        <v>1378</v>
      </c>
      <c r="D5022">
        <v>262.64999999999998</v>
      </c>
    </row>
    <row r="5023" spans="1:4" x14ac:dyDescent="0.25">
      <c r="A5023" t="s">
        <v>1960</v>
      </c>
      <c r="B5023" t="s">
        <v>1331</v>
      </c>
      <c r="C5023" t="s">
        <v>1378</v>
      </c>
      <c r="D5023">
        <v>554.89</v>
      </c>
    </row>
    <row r="5024" spans="1:4" x14ac:dyDescent="0.25">
      <c r="A5024" t="s">
        <v>1945</v>
      </c>
      <c r="B5024" t="s">
        <v>1333</v>
      </c>
      <c r="C5024" t="s">
        <v>1378</v>
      </c>
      <c r="D5024">
        <v>137.19999999999999</v>
      </c>
    </row>
    <row r="5025" spans="1:4" x14ac:dyDescent="0.25">
      <c r="A5025" t="s">
        <v>1986</v>
      </c>
      <c r="B5025" t="s">
        <v>1331</v>
      </c>
      <c r="C5025" t="s">
        <v>1378</v>
      </c>
      <c r="D5025">
        <v>1</v>
      </c>
    </row>
    <row r="5026" spans="1:4" x14ac:dyDescent="0.25">
      <c r="A5026" t="s">
        <v>1973</v>
      </c>
      <c r="B5026" t="s">
        <v>1331</v>
      </c>
      <c r="C5026" t="s">
        <v>1378</v>
      </c>
      <c r="D5026">
        <v>0.5</v>
      </c>
    </row>
    <row r="5027" spans="1:4" x14ac:dyDescent="0.25">
      <c r="A5027" t="s">
        <v>1927</v>
      </c>
      <c r="B5027" t="s">
        <v>1330</v>
      </c>
      <c r="C5027" t="s">
        <v>1378</v>
      </c>
      <c r="D5027">
        <v>23.1</v>
      </c>
    </row>
    <row r="5028" spans="1:4" x14ac:dyDescent="0.25">
      <c r="A5028" t="s">
        <v>1960</v>
      </c>
      <c r="B5028" t="s">
        <v>1333</v>
      </c>
      <c r="C5028" t="s">
        <v>1378</v>
      </c>
      <c r="D5028">
        <v>23.4</v>
      </c>
    </row>
    <row r="5029" spans="1:4" x14ac:dyDescent="0.25">
      <c r="A5029" t="s">
        <v>2016</v>
      </c>
      <c r="B5029" t="s">
        <v>1331</v>
      </c>
      <c r="C5029" t="s">
        <v>1675</v>
      </c>
      <c r="D5029">
        <v>4.0199999999999996</v>
      </c>
    </row>
    <row r="5030" spans="1:4" x14ac:dyDescent="0.25">
      <c r="A5030" t="s">
        <v>1911</v>
      </c>
      <c r="B5030" t="s">
        <v>1335</v>
      </c>
      <c r="C5030" t="s">
        <v>1675</v>
      </c>
      <c r="D5030">
        <v>3.85</v>
      </c>
    </row>
    <row r="5031" spans="1:4" x14ac:dyDescent="0.25">
      <c r="A5031" t="s">
        <v>1909</v>
      </c>
      <c r="B5031" t="s">
        <v>1335</v>
      </c>
      <c r="C5031" t="s">
        <v>1675</v>
      </c>
      <c r="D5031">
        <v>2</v>
      </c>
    </row>
    <row r="5032" spans="1:4" x14ac:dyDescent="0.25">
      <c r="A5032" t="s">
        <v>1913</v>
      </c>
      <c r="B5032" t="s">
        <v>1335</v>
      </c>
      <c r="C5032" t="s">
        <v>1675</v>
      </c>
      <c r="D5032">
        <v>14.55</v>
      </c>
    </row>
    <row r="5033" spans="1:4" x14ac:dyDescent="0.25">
      <c r="A5033" t="s">
        <v>2019</v>
      </c>
      <c r="B5033" t="s">
        <v>1334</v>
      </c>
      <c r="C5033" t="s">
        <v>1609</v>
      </c>
      <c r="D5033">
        <v>17.399999999999999</v>
      </c>
    </row>
    <row r="5034" spans="1:4" x14ac:dyDescent="0.25">
      <c r="A5034" t="s">
        <v>2027</v>
      </c>
      <c r="B5034" t="s">
        <v>1334</v>
      </c>
      <c r="C5034" t="s">
        <v>1609</v>
      </c>
      <c r="D5034">
        <v>27.25</v>
      </c>
    </row>
    <row r="5035" spans="1:4" x14ac:dyDescent="0.25">
      <c r="A5035" t="s">
        <v>2027</v>
      </c>
      <c r="B5035" t="s">
        <v>1334</v>
      </c>
      <c r="C5035" t="s">
        <v>1755</v>
      </c>
      <c r="D5035">
        <v>5</v>
      </c>
    </row>
    <row r="5036" spans="1:4" x14ac:dyDescent="0.25">
      <c r="A5036" t="s">
        <v>2019</v>
      </c>
      <c r="B5036" t="s">
        <v>1334</v>
      </c>
      <c r="C5036" t="s">
        <v>1755</v>
      </c>
      <c r="D5036">
        <v>5</v>
      </c>
    </row>
    <row r="5037" spans="1:4" x14ac:dyDescent="0.25">
      <c r="A5037" t="s">
        <v>2021</v>
      </c>
      <c r="B5037" t="s">
        <v>1334</v>
      </c>
      <c r="C5037" t="s">
        <v>1470</v>
      </c>
      <c r="D5037">
        <v>165.05</v>
      </c>
    </row>
    <row r="5038" spans="1:4" x14ac:dyDescent="0.25">
      <c r="A5038" t="s">
        <v>1907</v>
      </c>
      <c r="B5038" t="s">
        <v>1335</v>
      </c>
      <c r="C5038" t="s">
        <v>1470</v>
      </c>
      <c r="D5038">
        <v>30.4</v>
      </c>
    </row>
    <row r="5039" spans="1:4" x14ac:dyDescent="0.25">
      <c r="A5039" t="s">
        <v>2019</v>
      </c>
      <c r="B5039" t="s">
        <v>1334</v>
      </c>
      <c r="C5039" t="s">
        <v>1772</v>
      </c>
      <c r="D5039">
        <v>8.6999999999999993</v>
      </c>
    </row>
    <row r="5040" spans="1:4" x14ac:dyDescent="0.25">
      <c r="A5040" t="s">
        <v>1945</v>
      </c>
      <c r="B5040" t="s">
        <v>1331</v>
      </c>
      <c r="C5040" t="s">
        <v>1477</v>
      </c>
      <c r="D5040">
        <v>117.2</v>
      </c>
    </row>
    <row r="5041" spans="1:4" x14ac:dyDescent="0.25">
      <c r="A5041" t="s">
        <v>1913</v>
      </c>
      <c r="B5041" t="s">
        <v>1335</v>
      </c>
      <c r="C5041" t="s">
        <v>1477</v>
      </c>
      <c r="D5041">
        <v>38.03</v>
      </c>
    </row>
    <row r="5042" spans="1:4" x14ac:dyDescent="0.25">
      <c r="A5042" t="s">
        <v>1909</v>
      </c>
      <c r="B5042" t="s">
        <v>1335</v>
      </c>
      <c r="C5042" t="s">
        <v>1477</v>
      </c>
      <c r="D5042">
        <v>2.5</v>
      </c>
    </row>
    <row r="5043" spans="1:4" x14ac:dyDescent="0.25">
      <c r="A5043" t="s">
        <v>2016</v>
      </c>
      <c r="B5043" t="s">
        <v>1331</v>
      </c>
      <c r="C5043" t="s">
        <v>1477</v>
      </c>
      <c r="D5043">
        <v>2.0299999999999998</v>
      </c>
    </row>
    <row r="5044" spans="1:4" x14ac:dyDescent="0.25">
      <c r="A5044" t="s">
        <v>1989</v>
      </c>
      <c r="B5044" t="s">
        <v>1331</v>
      </c>
      <c r="C5044" t="s">
        <v>1477</v>
      </c>
      <c r="D5044">
        <v>17.3</v>
      </c>
    </row>
    <row r="5045" spans="1:4" x14ac:dyDescent="0.25">
      <c r="A5045" t="s">
        <v>1986</v>
      </c>
      <c r="B5045" t="s">
        <v>1331</v>
      </c>
      <c r="C5045" t="s">
        <v>1477</v>
      </c>
      <c r="D5045">
        <v>2</v>
      </c>
    </row>
    <row r="5046" spans="1:4" x14ac:dyDescent="0.25">
      <c r="A5046" t="s">
        <v>1980</v>
      </c>
      <c r="B5046" t="s">
        <v>1331</v>
      </c>
      <c r="C5046" t="s">
        <v>1477</v>
      </c>
      <c r="D5046">
        <v>0.5</v>
      </c>
    </row>
    <row r="5047" spans="1:4" x14ac:dyDescent="0.25">
      <c r="A5047" t="s">
        <v>1986</v>
      </c>
      <c r="B5047" t="s">
        <v>1331</v>
      </c>
      <c r="C5047" t="s">
        <v>1746</v>
      </c>
      <c r="D5047">
        <v>6</v>
      </c>
    </row>
    <row r="5048" spans="1:4" x14ac:dyDescent="0.25">
      <c r="A5048" t="s">
        <v>1945</v>
      </c>
      <c r="B5048" t="s">
        <v>1331</v>
      </c>
      <c r="C5048" t="s">
        <v>1746</v>
      </c>
      <c r="D5048">
        <v>5</v>
      </c>
    </row>
    <row r="5049" spans="1:4" x14ac:dyDescent="0.25">
      <c r="A5049" t="s">
        <v>1921</v>
      </c>
      <c r="B5049" t="s">
        <v>1330</v>
      </c>
      <c r="C5049" t="s">
        <v>1323</v>
      </c>
      <c r="D5049">
        <v>79.7</v>
      </c>
    </row>
    <row r="5050" spans="1:4" x14ac:dyDescent="0.25">
      <c r="A5050" t="s">
        <v>1918</v>
      </c>
      <c r="B5050" t="s">
        <v>1335</v>
      </c>
      <c r="C5050" t="s">
        <v>1323</v>
      </c>
      <c r="D5050">
        <v>30.45</v>
      </c>
    </row>
    <row r="5051" spans="1:4" x14ac:dyDescent="0.25">
      <c r="A5051" t="s">
        <v>1909</v>
      </c>
      <c r="B5051" t="s">
        <v>1335</v>
      </c>
      <c r="C5051" t="s">
        <v>1323</v>
      </c>
      <c r="D5051">
        <v>28.4</v>
      </c>
    </row>
    <row r="5052" spans="1:4" x14ac:dyDescent="0.25">
      <c r="A5052" t="s">
        <v>1911</v>
      </c>
      <c r="B5052" t="s">
        <v>1330</v>
      </c>
      <c r="C5052" t="s">
        <v>1323</v>
      </c>
      <c r="D5052">
        <v>43.35</v>
      </c>
    </row>
    <row r="5053" spans="1:4" x14ac:dyDescent="0.25">
      <c r="A5053" t="s">
        <v>1980</v>
      </c>
      <c r="B5053" t="s">
        <v>1333</v>
      </c>
      <c r="C5053" t="s">
        <v>1323</v>
      </c>
      <c r="D5053">
        <v>5.7</v>
      </c>
    </row>
    <row r="5054" spans="1:4" x14ac:dyDescent="0.25">
      <c r="A5054" t="s">
        <v>1911</v>
      </c>
      <c r="B5054" t="s">
        <v>1335</v>
      </c>
      <c r="C5054" t="s">
        <v>1323</v>
      </c>
      <c r="D5054">
        <v>13.4</v>
      </c>
    </row>
    <row r="5055" spans="1:4" x14ac:dyDescent="0.25">
      <c r="A5055" t="s">
        <v>1966</v>
      </c>
      <c r="B5055" t="s">
        <v>1333</v>
      </c>
      <c r="C5055" t="s">
        <v>1323</v>
      </c>
      <c r="D5055">
        <v>97.4</v>
      </c>
    </row>
    <row r="5056" spans="1:4" x14ac:dyDescent="0.25">
      <c r="A5056" t="s">
        <v>2003</v>
      </c>
      <c r="B5056" t="s">
        <v>1331</v>
      </c>
      <c r="C5056" t="s">
        <v>1323</v>
      </c>
      <c r="D5056">
        <v>11.55</v>
      </c>
    </row>
    <row r="5057" spans="1:4" x14ac:dyDescent="0.25">
      <c r="A5057" t="s">
        <v>1909</v>
      </c>
      <c r="B5057" t="s">
        <v>1330</v>
      </c>
      <c r="C5057" t="s">
        <v>1323</v>
      </c>
      <c r="D5057">
        <v>4</v>
      </c>
    </row>
    <row r="5058" spans="1:4" x14ac:dyDescent="0.25">
      <c r="A5058" t="s">
        <v>1966</v>
      </c>
      <c r="B5058" t="s">
        <v>1331</v>
      </c>
      <c r="C5058" t="s">
        <v>1323</v>
      </c>
      <c r="D5058">
        <v>940.5</v>
      </c>
    </row>
    <row r="5059" spans="1:4" x14ac:dyDescent="0.25">
      <c r="A5059" t="s">
        <v>1913</v>
      </c>
      <c r="B5059" t="s">
        <v>1335</v>
      </c>
      <c r="C5059" t="s">
        <v>1323</v>
      </c>
      <c r="D5059">
        <v>7.95</v>
      </c>
    </row>
    <row r="5060" spans="1:4" x14ac:dyDescent="0.25">
      <c r="A5060" t="s">
        <v>2002</v>
      </c>
      <c r="B5060" t="s">
        <v>1331</v>
      </c>
      <c r="C5060" t="s">
        <v>1323</v>
      </c>
      <c r="D5060">
        <v>7.7</v>
      </c>
    </row>
    <row r="5061" spans="1:4" x14ac:dyDescent="0.25">
      <c r="A5061" t="s">
        <v>1960</v>
      </c>
      <c r="B5061" t="s">
        <v>1333</v>
      </c>
      <c r="C5061" t="s">
        <v>1323</v>
      </c>
      <c r="D5061">
        <v>6.85</v>
      </c>
    </row>
    <row r="5062" spans="1:4" x14ac:dyDescent="0.25">
      <c r="A5062" t="s">
        <v>1913</v>
      </c>
      <c r="B5062" t="s">
        <v>1330</v>
      </c>
      <c r="C5062" t="s">
        <v>1323</v>
      </c>
      <c r="D5062">
        <v>10.050000000000001</v>
      </c>
    </row>
    <row r="5063" spans="1:4" x14ac:dyDescent="0.25">
      <c r="A5063" t="s">
        <v>1960</v>
      </c>
      <c r="B5063" t="s">
        <v>1331</v>
      </c>
      <c r="C5063" t="s">
        <v>1323</v>
      </c>
      <c r="D5063">
        <v>5.4</v>
      </c>
    </row>
    <row r="5064" spans="1:4" x14ac:dyDescent="0.25">
      <c r="A5064" t="s">
        <v>1945</v>
      </c>
      <c r="B5064" t="s">
        <v>1331</v>
      </c>
      <c r="C5064" t="s">
        <v>1608</v>
      </c>
      <c r="D5064">
        <v>17.399999999999999</v>
      </c>
    </row>
    <row r="5065" spans="1:4" x14ac:dyDescent="0.25">
      <c r="A5065" t="s">
        <v>1989</v>
      </c>
      <c r="B5065" t="s">
        <v>1331</v>
      </c>
      <c r="C5065" t="s">
        <v>1608</v>
      </c>
      <c r="D5065">
        <v>2</v>
      </c>
    </row>
    <row r="5066" spans="1:4" x14ac:dyDescent="0.25">
      <c r="A5066" t="s">
        <v>1986</v>
      </c>
      <c r="B5066" t="s">
        <v>1331</v>
      </c>
      <c r="C5066" t="s">
        <v>1608</v>
      </c>
      <c r="D5066">
        <v>25.4</v>
      </c>
    </row>
    <row r="5067" spans="1:4" x14ac:dyDescent="0.25">
      <c r="A5067" t="s">
        <v>1980</v>
      </c>
      <c r="B5067" t="s">
        <v>1331</v>
      </c>
      <c r="C5067" t="s">
        <v>1608</v>
      </c>
      <c r="D5067">
        <v>0.15</v>
      </c>
    </row>
    <row r="5068" spans="1:4" x14ac:dyDescent="0.25">
      <c r="A5068" t="s">
        <v>1945</v>
      </c>
      <c r="B5068" t="s">
        <v>1331</v>
      </c>
      <c r="C5068" t="s">
        <v>1673</v>
      </c>
      <c r="D5068">
        <v>5</v>
      </c>
    </row>
    <row r="5069" spans="1:4" x14ac:dyDescent="0.25">
      <c r="A5069" t="s">
        <v>1986</v>
      </c>
      <c r="B5069" t="s">
        <v>1331</v>
      </c>
      <c r="C5069" t="s">
        <v>1673</v>
      </c>
      <c r="D5069">
        <v>9</v>
      </c>
    </row>
    <row r="5070" spans="1:4" x14ac:dyDescent="0.25">
      <c r="A5070" t="s">
        <v>1989</v>
      </c>
      <c r="B5070" t="s">
        <v>1331</v>
      </c>
      <c r="C5070" t="s">
        <v>1673</v>
      </c>
      <c r="D5070">
        <v>11</v>
      </c>
    </row>
    <row r="5071" spans="1:4" x14ac:dyDescent="0.25">
      <c r="A5071" t="s">
        <v>1987</v>
      </c>
      <c r="B5071" t="s">
        <v>1331</v>
      </c>
      <c r="C5071" t="s">
        <v>1431</v>
      </c>
      <c r="D5071">
        <v>69</v>
      </c>
    </row>
    <row r="5072" spans="1:4" x14ac:dyDescent="0.25">
      <c r="A5072" t="s">
        <v>1909</v>
      </c>
      <c r="B5072" t="s">
        <v>1335</v>
      </c>
      <c r="C5072" t="s">
        <v>1431</v>
      </c>
      <c r="D5072">
        <v>5</v>
      </c>
    </row>
    <row r="5073" spans="1:4" x14ac:dyDescent="0.25">
      <c r="A5073" t="s">
        <v>1986</v>
      </c>
      <c r="B5073" t="s">
        <v>1331</v>
      </c>
      <c r="C5073" t="s">
        <v>1431</v>
      </c>
      <c r="D5073">
        <v>279.5</v>
      </c>
    </row>
    <row r="5074" spans="1:4" x14ac:dyDescent="0.25">
      <c r="A5074" t="s">
        <v>1913</v>
      </c>
      <c r="B5074" t="s">
        <v>1335</v>
      </c>
      <c r="C5074" t="s">
        <v>1431</v>
      </c>
      <c r="D5074">
        <v>19.600000000000001</v>
      </c>
    </row>
    <row r="5075" spans="1:4" x14ac:dyDescent="0.25">
      <c r="A5075" t="s">
        <v>2021</v>
      </c>
      <c r="B5075" t="s">
        <v>1334</v>
      </c>
      <c r="C5075" t="s">
        <v>1760</v>
      </c>
      <c r="D5075">
        <v>9.6999999999999993</v>
      </c>
    </row>
    <row r="5076" spans="1:4" x14ac:dyDescent="0.25">
      <c r="A5076" t="s">
        <v>1960</v>
      </c>
      <c r="B5076" t="s">
        <v>1331</v>
      </c>
      <c r="C5076" t="s">
        <v>1451</v>
      </c>
      <c r="D5076">
        <v>187.97</v>
      </c>
    </row>
    <row r="5077" spans="1:4" x14ac:dyDescent="0.25">
      <c r="A5077" t="s">
        <v>1927</v>
      </c>
      <c r="B5077" t="s">
        <v>1331</v>
      </c>
      <c r="C5077" t="s">
        <v>1451</v>
      </c>
      <c r="D5077">
        <v>30.8</v>
      </c>
    </row>
    <row r="5078" spans="1:4" x14ac:dyDescent="0.25">
      <c r="A5078" t="s">
        <v>1913</v>
      </c>
      <c r="B5078" t="s">
        <v>1330</v>
      </c>
      <c r="C5078" t="s">
        <v>1451</v>
      </c>
      <c r="D5078">
        <v>17.899999999999999</v>
      </c>
    </row>
    <row r="5079" spans="1:4" x14ac:dyDescent="0.25">
      <c r="A5079" t="s">
        <v>1923</v>
      </c>
      <c r="B5079" t="s">
        <v>1331</v>
      </c>
      <c r="C5079" t="s">
        <v>1451</v>
      </c>
      <c r="D5079">
        <v>18.5</v>
      </c>
    </row>
    <row r="5080" spans="1:4" x14ac:dyDescent="0.25">
      <c r="A5080" t="s">
        <v>1945</v>
      </c>
      <c r="B5080" t="s">
        <v>1331</v>
      </c>
      <c r="C5080" t="s">
        <v>1451</v>
      </c>
      <c r="D5080">
        <v>4</v>
      </c>
    </row>
    <row r="5081" spans="1:4" x14ac:dyDescent="0.25">
      <c r="A5081" t="s">
        <v>1986</v>
      </c>
      <c r="B5081" t="s">
        <v>1331</v>
      </c>
      <c r="C5081" t="s">
        <v>1586</v>
      </c>
      <c r="D5081">
        <v>50</v>
      </c>
    </row>
    <row r="5082" spans="1:4" x14ac:dyDescent="0.25">
      <c r="A5082" t="s">
        <v>1945</v>
      </c>
      <c r="B5082" t="s">
        <v>1331</v>
      </c>
      <c r="C5082" t="s">
        <v>1586</v>
      </c>
      <c r="D5082">
        <v>10</v>
      </c>
    </row>
    <row r="5083" spans="1:4" x14ac:dyDescent="0.25">
      <c r="A5083" t="s">
        <v>1986</v>
      </c>
      <c r="B5083" t="s">
        <v>1331</v>
      </c>
      <c r="C5083" t="s">
        <v>1624</v>
      </c>
      <c r="D5083">
        <v>21</v>
      </c>
    </row>
    <row r="5084" spans="1:4" x14ac:dyDescent="0.25">
      <c r="A5084" t="s">
        <v>1960</v>
      </c>
      <c r="B5084" t="s">
        <v>1331</v>
      </c>
      <c r="C5084" t="s">
        <v>1624</v>
      </c>
      <c r="D5084">
        <v>1</v>
      </c>
    </row>
    <row r="5085" spans="1:4" x14ac:dyDescent="0.25">
      <c r="A5085" t="s">
        <v>1945</v>
      </c>
      <c r="B5085" t="s">
        <v>1331</v>
      </c>
      <c r="C5085" t="s">
        <v>1624</v>
      </c>
      <c r="D5085">
        <v>16</v>
      </c>
    </row>
    <row r="5086" spans="1:4" x14ac:dyDescent="0.25">
      <c r="A5086" t="s">
        <v>2021</v>
      </c>
      <c r="B5086" t="s">
        <v>1334</v>
      </c>
      <c r="C5086" t="s">
        <v>1750</v>
      </c>
      <c r="D5086">
        <v>10.199999999999999</v>
      </c>
    </row>
    <row r="5087" spans="1:4" x14ac:dyDescent="0.25">
      <c r="A5087" t="s">
        <v>1986</v>
      </c>
      <c r="B5087" t="s">
        <v>1331</v>
      </c>
      <c r="C5087" t="s">
        <v>1446</v>
      </c>
      <c r="D5087">
        <v>126.54</v>
      </c>
    </row>
    <row r="5088" spans="1:4" x14ac:dyDescent="0.25">
      <c r="A5088" t="s">
        <v>1918</v>
      </c>
      <c r="B5088" t="s">
        <v>1335</v>
      </c>
      <c r="C5088" t="s">
        <v>1446</v>
      </c>
      <c r="D5088">
        <v>12.5</v>
      </c>
    </row>
    <row r="5089" spans="1:4" x14ac:dyDescent="0.25">
      <c r="A5089" t="s">
        <v>1989</v>
      </c>
      <c r="B5089" t="s">
        <v>1331</v>
      </c>
      <c r="C5089" t="s">
        <v>1446</v>
      </c>
      <c r="D5089">
        <v>69.8</v>
      </c>
    </row>
    <row r="5090" spans="1:4" x14ac:dyDescent="0.25">
      <c r="A5090" t="s">
        <v>1909</v>
      </c>
      <c r="B5090" t="s">
        <v>1335</v>
      </c>
      <c r="C5090" t="s">
        <v>1446</v>
      </c>
      <c r="D5090">
        <v>1</v>
      </c>
    </row>
    <row r="5091" spans="1:4" x14ac:dyDescent="0.25">
      <c r="A5091" t="s">
        <v>1945</v>
      </c>
      <c r="B5091" t="s">
        <v>1331</v>
      </c>
      <c r="C5091" t="s">
        <v>1446</v>
      </c>
      <c r="D5091">
        <v>56.13</v>
      </c>
    </row>
    <row r="5092" spans="1:4" x14ac:dyDescent="0.25">
      <c r="A5092" t="s">
        <v>1960</v>
      </c>
      <c r="B5092" t="s">
        <v>1331</v>
      </c>
      <c r="C5092" t="s">
        <v>1446</v>
      </c>
      <c r="D5092">
        <v>5.7</v>
      </c>
    </row>
    <row r="5093" spans="1:4" x14ac:dyDescent="0.25">
      <c r="A5093" t="s">
        <v>1923</v>
      </c>
      <c r="B5093" t="s">
        <v>1331</v>
      </c>
      <c r="C5093" t="s">
        <v>1446</v>
      </c>
      <c r="D5093">
        <v>11.4</v>
      </c>
    </row>
    <row r="5094" spans="1:4" x14ac:dyDescent="0.25">
      <c r="A5094" t="s">
        <v>2021</v>
      </c>
      <c r="B5094" t="s">
        <v>1331</v>
      </c>
      <c r="C5094" t="s">
        <v>1395</v>
      </c>
      <c r="D5094">
        <v>13.9</v>
      </c>
    </row>
    <row r="5095" spans="1:4" x14ac:dyDescent="0.25">
      <c r="A5095" t="s">
        <v>1960</v>
      </c>
      <c r="B5095" t="s">
        <v>1331</v>
      </c>
      <c r="C5095" t="s">
        <v>1395</v>
      </c>
      <c r="D5095">
        <v>419.95</v>
      </c>
    </row>
    <row r="5096" spans="1:4" x14ac:dyDescent="0.25">
      <c r="A5096" t="s">
        <v>1945</v>
      </c>
      <c r="B5096" t="s">
        <v>1331</v>
      </c>
      <c r="C5096" t="s">
        <v>1395</v>
      </c>
      <c r="D5096">
        <v>8</v>
      </c>
    </row>
    <row r="5097" spans="1:4" x14ac:dyDescent="0.25">
      <c r="A5097" t="s">
        <v>2021</v>
      </c>
      <c r="B5097" t="s">
        <v>1334</v>
      </c>
      <c r="C5097" t="s">
        <v>1395</v>
      </c>
      <c r="D5097">
        <v>229.85</v>
      </c>
    </row>
    <row r="5098" spans="1:4" x14ac:dyDescent="0.25">
      <c r="A5098" t="s">
        <v>1923</v>
      </c>
      <c r="B5098" t="s">
        <v>1331</v>
      </c>
      <c r="C5098" t="s">
        <v>1395</v>
      </c>
      <c r="D5098">
        <v>70.75</v>
      </c>
    </row>
    <row r="5099" spans="1:4" x14ac:dyDescent="0.25">
      <c r="A5099" t="s">
        <v>1945</v>
      </c>
      <c r="B5099" t="s">
        <v>1331</v>
      </c>
      <c r="C5099" t="s">
        <v>1825</v>
      </c>
      <c r="D5099">
        <v>4</v>
      </c>
    </row>
    <row r="5100" spans="1:4" x14ac:dyDescent="0.25">
      <c r="A5100" t="s">
        <v>1913</v>
      </c>
      <c r="B5100" t="s">
        <v>1335</v>
      </c>
      <c r="C5100" t="s">
        <v>1808</v>
      </c>
      <c r="D5100">
        <v>2.9</v>
      </c>
    </row>
    <row r="5101" spans="1:4" x14ac:dyDescent="0.25">
      <c r="A5101" t="s">
        <v>1909</v>
      </c>
      <c r="B5101" t="s">
        <v>1335</v>
      </c>
      <c r="C5101" t="s">
        <v>1808</v>
      </c>
      <c r="D5101">
        <v>2.2000000000000002</v>
      </c>
    </row>
    <row r="5102" spans="1:4" x14ac:dyDescent="0.25">
      <c r="A5102" t="s">
        <v>1986</v>
      </c>
      <c r="B5102" t="s">
        <v>1331</v>
      </c>
      <c r="C5102" t="s">
        <v>1382</v>
      </c>
      <c r="D5102">
        <v>529</v>
      </c>
    </row>
    <row r="5103" spans="1:4" x14ac:dyDescent="0.25">
      <c r="A5103" t="s">
        <v>1913</v>
      </c>
      <c r="B5103" t="s">
        <v>1335</v>
      </c>
      <c r="C5103" t="s">
        <v>1382</v>
      </c>
      <c r="D5103">
        <v>107.05</v>
      </c>
    </row>
    <row r="5104" spans="1:4" x14ac:dyDescent="0.25">
      <c r="A5104" t="s">
        <v>1987</v>
      </c>
      <c r="B5104" t="s">
        <v>1331</v>
      </c>
      <c r="C5104" t="s">
        <v>1382</v>
      </c>
      <c r="D5104">
        <v>158.9</v>
      </c>
    </row>
    <row r="5105" spans="1:4" x14ac:dyDescent="0.25">
      <c r="A5105" t="s">
        <v>1945</v>
      </c>
      <c r="B5105" t="s">
        <v>1331</v>
      </c>
      <c r="C5105" t="s">
        <v>1382</v>
      </c>
      <c r="D5105">
        <v>70</v>
      </c>
    </row>
    <row r="5106" spans="1:4" x14ac:dyDescent="0.25">
      <c r="A5106" t="s">
        <v>1914</v>
      </c>
      <c r="B5106" t="s">
        <v>1335</v>
      </c>
      <c r="C5106" t="s">
        <v>1382</v>
      </c>
      <c r="D5106">
        <v>7.7</v>
      </c>
    </row>
    <row r="5107" spans="1:4" x14ac:dyDescent="0.25">
      <c r="A5107" t="s">
        <v>1909</v>
      </c>
      <c r="B5107" t="s">
        <v>1335</v>
      </c>
      <c r="C5107" t="s">
        <v>1382</v>
      </c>
      <c r="D5107">
        <v>43.5</v>
      </c>
    </row>
    <row r="5108" spans="1:4" x14ac:dyDescent="0.25">
      <c r="A5108" t="s">
        <v>1911</v>
      </c>
      <c r="B5108" t="s">
        <v>1335</v>
      </c>
      <c r="C5108" t="s">
        <v>1382</v>
      </c>
      <c r="D5108">
        <v>1.7</v>
      </c>
    </row>
    <row r="5109" spans="1:4" x14ac:dyDescent="0.25">
      <c r="A5109" t="s">
        <v>2052</v>
      </c>
      <c r="B5109" t="s">
        <v>1335</v>
      </c>
      <c r="C5109" t="s">
        <v>1382</v>
      </c>
      <c r="D5109">
        <v>23.1</v>
      </c>
    </row>
    <row r="5110" spans="1:4" x14ac:dyDescent="0.25">
      <c r="A5110" t="s">
        <v>2016</v>
      </c>
      <c r="B5110" t="s">
        <v>1331</v>
      </c>
      <c r="C5110" t="s">
        <v>1382</v>
      </c>
      <c r="D5110">
        <v>3.6</v>
      </c>
    </row>
    <row r="5111" spans="1:4" x14ac:dyDescent="0.25">
      <c r="A5111" t="s">
        <v>1989</v>
      </c>
      <c r="B5111" t="s">
        <v>1331</v>
      </c>
      <c r="C5111" t="s">
        <v>1711</v>
      </c>
      <c r="D5111">
        <v>1.5</v>
      </c>
    </row>
    <row r="5112" spans="1:4" x14ac:dyDescent="0.25">
      <c r="A5112" t="s">
        <v>1980</v>
      </c>
      <c r="B5112" t="s">
        <v>1331</v>
      </c>
      <c r="C5112" t="s">
        <v>1711</v>
      </c>
      <c r="D5112">
        <v>0.3</v>
      </c>
    </row>
    <row r="5113" spans="1:4" x14ac:dyDescent="0.25">
      <c r="A5113" t="s">
        <v>1986</v>
      </c>
      <c r="B5113" t="s">
        <v>1331</v>
      </c>
      <c r="C5113" t="s">
        <v>1711</v>
      </c>
      <c r="D5113">
        <v>12.7</v>
      </c>
    </row>
    <row r="5114" spans="1:4" x14ac:dyDescent="0.25">
      <c r="A5114" t="s">
        <v>1971</v>
      </c>
      <c r="B5114" t="s">
        <v>1330</v>
      </c>
      <c r="C5114" t="s">
        <v>1711</v>
      </c>
      <c r="D5114">
        <v>2</v>
      </c>
    </row>
    <row r="5115" spans="1:4" x14ac:dyDescent="0.25">
      <c r="A5115" t="s">
        <v>2019</v>
      </c>
      <c r="B5115" t="s">
        <v>1334</v>
      </c>
      <c r="C5115" t="s">
        <v>1482</v>
      </c>
      <c r="D5115">
        <v>135.6</v>
      </c>
    </row>
    <row r="5116" spans="1:4" x14ac:dyDescent="0.25">
      <c r="A5116" t="s">
        <v>2048</v>
      </c>
      <c r="B5116" t="s">
        <v>1334</v>
      </c>
      <c r="C5116" t="s">
        <v>1482</v>
      </c>
      <c r="D5116">
        <v>33.299999999999997</v>
      </c>
    </row>
    <row r="5117" spans="1:4" x14ac:dyDescent="0.25">
      <c r="A5117" t="s">
        <v>1945</v>
      </c>
      <c r="B5117" t="s">
        <v>1331</v>
      </c>
      <c r="C5117" t="s">
        <v>1414</v>
      </c>
      <c r="D5117">
        <v>1</v>
      </c>
    </row>
    <row r="5118" spans="1:4" x14ac:dyDescent="0.25">
      <c r="A5118" t="s">
        <v>1918</v>
      </c>
      <c r="B5118" t="s">
        <v>1335</v>
      </c>
      <c r="C5118" t="s">
        <v>1414</v>
      </c>
      <c r="D5118">
        <v>137.19999999999999</v>
      </c>
    </row>
    <row r="5119" spans="1:4" x14ac:dyDescent="0.25">
      <c r="A5119" t="s">
        <v>1986</v>
      </c>
      <c r="B5119" t="s">
        <v>1331</v>
      </c>
      <c r="C5119" t="s">
        <v>1414</v>
      </c>
      <c r="D5119">
        <v>280</v>
      </c>
    </row>
    <row r="5120" spans="1:4" x14ac:dyDescent="0.25">
      <c r="A5120" t="s">
        <v>1913</v>
      </c>
      <c r="B5120" t="s">
        <v>1335</v>
      </c>
      <c r="C5120" t="s">
        <v>1414</v>
      </c>
      <c r="D5120">
        <v>81.45</v>
      </c>
    </row>
    <row r="5121" spans="1:4" x14ac:dyDescent="0.25">
      <c r="A5121" t="s">
        <v>1989</v>
      </c>
      <c r="B5121" t="s">
        <v>1331</v>
      </c>
      <c r="C5121" t="s">
        <v>1414</v>
      </c>
      <c r="D5121">
        <v>3.5</v>
      </c>
    </row>
    <row r="5122" spans="1:4" x14ac:dyDescent="0.25">
      <c r="A5122" t="s">
        <v>2021</v>
      </c>
      <c r="B5122" t="s">
        <v>1334</v>
      </c>
      <c r="C5122" t="s">
        <v>1838</v>
      </c>
      <c r="D5122">
        <v>3</v>
      </c>
    </row>
    <row r="5123" spans="1:4" x14ac:dyDescent="0.25">
      <c r="A5123" t="s">
        <v>2019</v>
      </c>
      <c r="B5123" t="s">
        <v>1334</v>
      </c>
      <c r="C5123" t="s">
        <v>1829</v>
      </c>
      <c r="D5123">
        <v>3.7</v>
      </c>
    </row>
    <row r="5124" spans="1:4" x14ac:dyDescent="0.25">
      <c r="A5124" t="s">
        <v>2099</v>
      </c>
      <c r="B5124" t="s">
        <v>1331</v>
      </c>
      <c r="C5124" t="s">
        <v>1400</v>
      </c>
      <c r="D5124">
        <v>30.8</v>
      </c>
    </row>
    <row r="5125" spans="1:4" x14ac:dyDescent="0.25">
      <c r="A5125" t="s">
        <v>1986</v>
      </c>
      <c r="B5125" t="s">
        <v>1331</v>
      </c>
      <c r="C5125" t="s">
        <v>1400</v>
      </c>
      <c r="D5125">
        <v>114</v>
      </c>
    </row>
    <row r="5126" spans="1:4" x14ac:dyDescent="0.25">
      <c r="A5126" t="s">
        <v>2016</v>
      </c>
      <c r="B5126" t="s">
        <v>1331</v>
      </c>
      <c r="C5126" t="s">
        <v>1400</v>
      </c>
      <c r="D5126">
        <v>390.05</v>
      </c>
    </row>
    <row r="5127" spans="1:4" x14ac:dyDescent="0.25">
      <c r="A5127" t="s">
        <v>1989</v>
      </c>
      <c r="B5127" t="s">
        <v>1331</v>
      </c>
      <c r="C5127" t="s">
        <v>1400</v>
      </c>
      <c r="D5127">
        <v>42.3</v>
      </c>
    </row>
    <row r="5128" spans="1:4" x14ac:dyDescent="0.25">
      <c r="A5128" t="s">
        <v>1945</v>
      </c>
      <c r="B5128" t="s">
        <v>1331</v>
      </c>
      <c r="C5128" t="s">
        <v>1400</v>
      </c>
      <c r="D5128">
        <v>105.5</v>
      </c>
    </row>
    <row r="5129" spans="1:4" x14ac:dyDescent="0.25">
      <c r="A5129" t="s">
        <v>1986</v>
      </c>
      <c r="B5129" t="s">
        <v>1331</v>
      </c>
      <c r="C5129" t="s">
        <v>1685</v>
      </c>
      <c r="D5129">
        <v>16</v>
      </c>
    </row>
    <row r="5130" spans="1:4" x14ac:dyDescent="0.25">
      <c r="A5130" t="s">
        <v>1945</v>
      </c>
      <c r="B5130" t="s">
        <v>1331</v>
      </c>
      <c r="C5130" t="s">
        <v>1685</v>
      </c>
      <c r="D5130">
        <v>7</v>
      </c>
    </row>
    <row r="5131" spans="1:4" x14ac:dyDescent="0.25">
      <c r="A5131" t="s">
        <v>1909</v>
      </c>
      <c r="B5131" t="s">
        <v>1335</v>
      </c>
      <c r="C5131" t="s">
        <v>1627</v>
      </c>
      <c r="D5131">
        <v>1.5</v>
      </c>
    </row>
    <row r="5132" spans="1:4" x14ac:dyDescent="0.25">
      <c r="A5132" t="s">
        <v>1945</v>
      </c>
      <c r="B5132" t="s">
        <v>1331</v>
      </c>
      <c r="C5132" t="s">
        <v>1627</v>
      </c>
      <c r="D5132">
        <v>32</v>
      </c>
    </row>
    <row r="5133" spans="1:4" x14ac:dyDescent="0.25">
      <c r="A5133" t="s">
        <v>1983</v>
      </c>
      <c r="B5133" t="s">
        <v>1331</v>
      </c>
      <c r="C5133" t="s">
        <v>1627</v>
      </c>
      <c r="D5133">
        <v>3.55</v>
      </c>
    </row>
    <row r="5134" spans="1:4" x14ac:dyDescent="0.25">
      <c r="A5134" t="s">
        <v>2021</v>
      </c>
      <c r="B5134" t="s">
        <v>1334</v>
      </c>
      <c r="C5134" t="s">
        <v>1540</v>
      </c>
      <c r="D5134">
        <v>90.7</v>
      </c>
    </row>
    <row r="5135" spans="1:4" x14ac:dyDescent="0.25">
      <c r="A5135" t="s">
        <v>1913</v>
      </c>
      <c r="B5135" t="s">
        <v>1330</v>
      </c>
      <c r="C5135" t="s">
        <v>1818</v>
      </c>
      <c r="D5135">
        <v>3.05</v>
      </c>
    </row>
    <row r="5136" spans="1:4" x14ac:dyDescent="0.25">
      <c r="A5136" t="s">
        <v>1988</v>
      </c>
      <c r="B5136" t="s">
        <v>1330</v>
      </c>
      <c r="C5136" t="s">
        <v>1818</v>
      </c>
      <c r="D5136">
        <v>1</v>
      </c>
    </row>
    <row r="5137" spans="1:4" x14ac:dyDescent="0.25">
      <c r="A5137" t="s">
        <v>1945</v>
      </c>
      <c r="B5137" t="s">
        <v>1331</v>
      </c>
      <c r="C5137" t="s">
        <v>1526</v>
      </c>
      <c r="D5137">
        <v>72</v>
      </c>
    </row>
    <row r="5138" spans="1:4" x14ac:dyDescent="0.25">
      <c r="A5138" t="s">
        <v>1918</v>
      </c>
      <c r="B5138" t="s">
        <v>1335</v>
      </c>
      <c r="C5138" t="s">
        <v>1526</v>
      </c>
      <c r="D5138">
        <v>33.049999999999997</v>
      </c>
    </row>
    <row r="5139" spans="1:4" x14ac:dyDescent="0.25">
      <c r="A5139" t="s">
        <v>1980</v>
      </c>
      <c r="B5139" t="s">
        <v>1331</v>
      </c>
      <c r="C5139" t="s">
        <v>1526</v>
      </c>
      <c r="D5139">
        <v>1</v>
      </c>
    </row>
    <row r="5140" spans="1:4" x14ac:dyDescent="0.25">
      <c r="A5140" t="s">
        <v>1945</v>
      </c>
      <c r="B5140" t="s">
        <v>1331</v>
      </c>
      <c r="C5140" t="s">
        <v>1730</v>
      </c>
      <c r="D5140">
        <v>9.5</v>
      </c>
    </row>
    <row r="5141" spans="1:4" x14ac:dyDescent="0.25">
      <c r="A5141" t="s">
        <v>1986</v>
      </c>
      <c r="B5141" t="s">
        <v>1331</v>
      </c>
      <c r="C5141" t="s">
        <v>1730</v>
      </c>
      <c r="D5141">
        <v>4</v>
      </c>
    </row>
    <row r="5142" spans="1:4" x14ac:dyDescent="0.25">
      <c r="A5142" t="s">
        <v>2021</v>
      </c>
      <c r="B5142" t="s">
        <v>1334</v>
      </c>
      <c r="C5142" t="s">
        <v>1784</v>
      </c>
      <c r="D5142">
        <v>7.7</v>
      </c>
    </row>
    <row r="5143" spans="1:4" x14ac:dyDescent="0.25">
      <c r="A5143" t="s">
        <v>1986</v>
      </c>
      <c r="B5143" t="s">
        <v>1331</v>
      </c>
      <c r="C5143" t="s">
        <v>1442</v>
      </c>
      <c r="D5143">
        <v>89</v>
      </c>
    </row>
    <row r="5144" spans="1:4" x14ac:dyDescent="0.25">
      <c r="A5144" t="s">
        <v>1989</v>
      </c>
      <c r="B5144" t="s">
        <v>1331</v>
      </c>
      <c r="C5144" t="s">
        <v>1442</v>
      </c>
      <c r="D5144">
        <v>5</v>
      </c>
    </row>
    <row r="5145" spans="1:4" x14ac:dyDescent="0.25">
      <c r="A5145" t="s">
        <v>1997</v>
      </c>
      <c r="B5145" t="s">
        <v>1331</v>
      </c>
      <c r="C5145" t="s">
        <v>1442</v>
      </c>
      <c r="D5145">
        <v>186.4</v>
      </c>
    </row>
    <row r="5146" spans="1:4" x14ac:dyDescent="0.25">
      <c r="A5146" t="s">
        <v>1945</v>
      </c>
      <c r="B5146" t="s">
        <v>1331</v>
      </c>
      <c r="C5146" t="s">
        <v>1442</v>
      </c>
      <c r="D5146">
        <v>15.5</v>
      </c>
    </row>
    <row r="5147" spans="1:4" x14ac:dyDescent="0.25">
      <c r="A5147" t="s">
        <v>1978</v>
      </c>
      <c r="B5147" t="s">
        <v>1335</v>
      </c>
      <c r="C5147" t="s">
        <v>1442</v>
      </c>
      <c r="D5147">
        <v>2.6</v>
      </c>
    </row>
    <row r="5148" spans="1:4" x14ac:dyDescent="0.25">
      <c r="A5148" t="s">
        <v>1913</v>
      </c>
      <c r="B5148" t="s">
        <v>1335</v>
      </c>
      <c r="C5148" t="s">
        <v>1442</v>
      </c>
      <c r="D5148">
        <v>7.5</v>
      </c>
    </row>
    <row r="5149" spans="1:4" x14ac:dyDescent="0.25">
      <c r="A5149" t="s">
        <v>1913</v>
      </c>
      <c r="B5149" t="s">
        <v>1335</v>
      </c>
      <c r="C5149" t="s">
        <v>1607</v>
      </c>
      <c r="D5149">
        <v>34.25</v>
      </c>
    </row>
    <row r="5150" spans="1:4" x14ac:dyDescent="0.25">
      <c r="A5150" t="s">
        <v>1989</v>
      </c>
      <c r="B5150" t="s">
        <v>1331</v>
      </c>
      <c r="C5150" t="s">
        <v>1607</v>
      </c>
      <c r="D5150">
        <v>8.6999999999999993</v>
      </c>
    </row>
    <row r="5151" spans="1:4" x14ac:dyDescent="0.25">
      <c r="A5151" t="s">
        <v>1960</v>
      </c>
      <c r="B5151" t="s">
        <v>1331</v>
      </c>
      <c r="C5151" t="s">
        <v>1607</v>
      </c>
      <c r="D5151">
        <v>2.2000000000000002</v>
      </c>
    </row>
    <row r="5152" spans="1:4" x14ac:dyDescent="0.25">
      <c r="A5152" t="s">
        <v>1945</v>
      </c>
      <c r="B5152" t="s">
        <v>1331</v>
      </c>
      <c r="C5152" t="s">
        <v>1749</v>
      </c>
      <c r="D5152">
        <v>10.5</v>
      </c>
    </row>
    <row r="5153" spans="1:4" x14ac:dyDescent="0.25">
      <c r="A5153" t="s">
        <v>1918</v>
      </c>
      <c r="B5153" t="s">
        <v>1335</v>
      </c>
      <c r="C5153" t="s">
        <v>1802</v>
      </c>
      <c r="D5153">
        <v>6</v>
      </c>
    </row>
    <row r="5154" spans="1:4" x14ac:dyDescent="0.25">
      <c r="A5154" t="s">
        <v>2021</v>
      </c>
      <c r="B5154" t="s">
        <v>1334</v>
      </c>
      <c r="C5154" t="s">
        <v>1640</v>
      </c>
      <c r="D5154">
        <v>30.9</v>
      </c>
    </row>
    <row r="5155" spans="1:4" x14ac:dyDescent="0.25">
      <c r="A5155" t="s">
        <v>1972</v>
      </c>
      <c r="B5155" t="s">
        <v>1334</v>
      </c>
      <c r="C5155" t="s">
        <v>1385</v>
      </c>
      <c r="D5155">
        <v>26.1</v>
      </c>
    </row>
    <row r="5156" spans="1:4" x14ac:dyDescent="0.25">
      <c r="A5156" t="s">
        <v>2024</v>
      </c>
      <c r="B5156" t="s">
        <v>1334</v>
      </c>
      <c r="C5156" t="s">
        <v>1385</v>
      </c>
      <c r="D5156">
        <v>5</v>
      </c>
    </row>
    <row r="5157" spans="1:4" x14ac:dyDescent="0.25">
      <c r="A5157" t="s">
        <v>2043</v>
      </c>
      <c r="B5157" t="s">
        <v>1334</v>
      </c>
      <c r="C5157" t="s">
        <v>1385</v>
      </c>
      <c r="D5157">
        <v>741.2</v>
      </c>
    </row>
    <row r="5158" spans="1:4" x14ac:dyDescent="0.25">
      <c r="A5158" t="s">
        <v>2100</v>
      </c>
      <c r="B5158" t="s">
        <v>1334</v>
      </c>
      <c r="C5158" t="s">
        <v>1385</v>
      </c>
      <c r="D5158">
        <v>99.2</v>
      </c>
    </row>
    <row r="5159" spans="1:4" x14ac:dyDescent="0.25">
      <c r="A5159" t="s">
        <v>2019</v>
      </c>
      <c r="B5159" t="s">
        <v>1334</v>
      </c>
      <c r="C5159" t="s">
        <v>1385</v>
      </c>
      <c r="D5159">
        <v>12.9</v>
      </c>
    </row>
    <row r="5160" spans="1:4" x14ac:dyDescent="0.25">
      <c r="A5160" t="s">
        <v>2027</v>
      </c>
      <c r="B5160" t="s">
        <v>1334</v>
      </c>
      <c r="C5160" t="s">
        <v>1385</v>
      </c>
      <c r="D5160">
        <v>28.55</v>
      </c>
    </row>
    <row r="5161" spans="1:4" x14ac:dyDescent="0.25">
      <c r="A5161" t="s">
        <v>2019</v>
      </c>
      <c r="B5161" t="s">
        <v>1334</v>
      </c>
      <c r="C5161" t="s">
        <v>1495</v>
      </c>
      <c r="D5161">
        <v>27.6</v>
      </c>
    </row>
    <row r="5162" spans="1:4" x14ac:dyDescent="0.25">
      <c r="A5162" t="s">
        <v>2027</v>
      </c>
      <c r="B5162" t="s">
        <v>1334</v>
      </c>
      <c r="C5162" t="s">
        <v>1495</v>
      </c>
      <c r="D5162">
        <v>119.15</v>
      </c>
    </row>
    <row r="5163" spans="1:4" x14ac:dyDescent="0.25">
      <c r="A5163" t="s">
        <v>1972</v>
      </c>
      <c r="B5163" t="s">
        <v>1334</v>
      </c>
      <c r="C5163" t="s">
        <v>1495</v>
      </c>
      <c r="D5163">
        <v>1.5</v>
      </c>
    </row>
    <row r="5164" spans="1:4" x14ac:dyDescent="0.25">
      <c r="A5164" t="s">
        <v>1909</v>
      </c>
      <c r="B5164" t="s">
        <v>1335</v>
      </c>
      <c r="C5164" t="s">
        <v>1402</v>
      </c>
      <c r="D5164">
        <v>1.5</v>
      </c>
    </row>
    <row r="5165" spans="1:4" x14ac:dyDescent="0.25">
      <c r="A5165" t="s">
        <v>1945</v>
      </c>
      <c r="B5165" t="s">
        <v>1331</v>
      </c>
      <c r="C5165" t="s">
        <v>1402</v>
      </c>
      <c r="D5165">
        <v>63</v>
      </c>
    </row>
    <row r="5166" spans="1:4" x14ac:dyDescent="0.25">
      <c r="A5166" t="s">
        <v>1989</v>
      </c>
      <c r="B5166" t="s">
        <v>1331</v>
      </c>
      <c r="C5166" t="s">
        <v>1402</v>
      </c>
      <c r="D5166">
        <v>31.05</v>
      </c>
    </row>
    <row r="5167" spans="1:4" x14ac:dyDescent="0.25">
      <c r="A5167" t="s">
        <v>1913</v>
      </c>
      <c r="B5167" t="s">
        <v>1335</v>
      </c>
      <c r="C5167" t="s">
        <v>1402</v>
      </c>
      <c r="D5167">
        <v>303.45</v>
      </c>
    </row>
    <row r="5168" spans="1:4" x14ac:dyDescent="0.25">
      <c r="A5168" t="s">
        <v>1911</v>
      </c>
      <c r="B5168" t="s">
        <v>1335</v>
      </c>
      <c r="C5168" t="s">
        <v>1402</v>
      </c>
      <c r="D5168">
        <v>1</v>
      </c>
    </row>
    <row r="5169" spans="1:4" x14ac:dyDescent="0.25">
      <c r="A5169" t="s">
        <v>1986</v>
      </c>
      <c r="B5169" t="s">
        <v>1331</v>
      </c>
      <c r="C5169" t="s">
        <v>1402</v>
      </c>
      <c r="D5169">
        <v>279</v>
      </c>
    </row>
    <row r="5170" spans="1:4" x14ac:dyDescent="0.25">
      <c r="A5170" t="s">
        <v>2101</v>
      </c>
      <c r="B5170" t="s">
        <v>1331</v>
      </c>
      <c r="C5170" t="s">
        <v>1556</v>
      </c>
      <c r="D5170">
        <v>79.8</v>
      </c>
    </row>
    <row r="5171" spans="1:4" x14ac:dyDescent="0.25">
      <c r="A5171" t="s">
        <v>1907</v>
      </c>
      <c r="B5171" t="s">
        <v>1335</v>
      </c>
      <c r="C5171" t="s">
        <v>1653</v>
      </c>
      <c r="D5171">
        <v>8.6999999999999993</v>
      </c>
    </row>
    <row r="5172" spans="1:4" x14ac:dyDescent="0.25">
      <c r="A5172" t="s">
        <v>1945</v>
      </c>
      <c r="B5172" t="s">
        <v>1331</v>
      </c>
      <c r="C5172" t="s">
        <v>1653</v>
      </c>
      <c r="D5172">
        <v>12</v>
      </c>
    </row>
    <row r="5173" spans="1:4" x14ac:dyDescent="0.25">
      <c r="A5173" t="s">
        <v>1909</v>
      </c>
      <c r="B5173" t="s">
        <v>1335</v>
      </c>
      <c r="C5173" t="s">
        <v>1653</v>
      </c>
      <c r="D5173">
        <v>0.5</v>
      </c>
    </row>
    <row r="5174" spans="1:4" x14ac:dyDescent="0.25">
      <c r="A5174" t="s">
        <v>2016</v>
      </c>
      <c r="B5174" t="s">
        <v>1331</v>
      </c>
      <c r="C5174" t="s">
        <v>1653</v>
      </c>
      <c r="D5174">
        <v>8.07</v>
      </c>
    </row>
    <row r="5175" spans="1:4" x14ac:dyDescent="0.25">
      <c r="A5175" t="s">
        <v>2019</v>
      </c>
      <c r="B5175" t="s">
        <v>1334</v>
      </c>
      <c r="C5175" t="s">
        <v>1507</v>
      </c>
      <c r="D5175">
        <v>0.5</v>
      </c>
    </row>
    <row r="5176" spans="1:4" x14ac:dyDescent="0.25">
      <c r="A5176" t="s">
        <v>2027</v>
      </c>
      <c r="B5176" t="s">
        <v>1334</v>
      </c>
      <c r="C5176" t="s">
        <v>1507</v>
      </c>
      <c r="D5176">
        <v>101.5</v>
      </c>
    </row>
    <row r="5177" spans="1:4" x14ac:dyDescent="0.25">
      <c r="A5177" t="s">
        <v>2043</v>
      </c>
      <c r="B5177" t="s">
        <v>1334</v>
      </c>
      <c r="C5177" t="s">
        <v>1507</v>
      </c>
      <c r="D5177">
        <v>14.4</v>
      </c>
    </row>
    <row r="5178" spans="1:4" x14ac:dyDescent="0.25">
      <c r="A5178" t="s">
        <v>2043</v>
      </c>
      <c r="B5178" t="s">
        <v>1333</v>
      </c>
      <c r="C5178" t="s">
        <v>1507</v>
      </c>
      <c r="D5178">
        <v>12.4</v>
      </c>
    </row>
    <row r="5179" spans="1:4" x14ac:dyDescent="0.25">
      <c r="A5179" t="s">
        <v>1913</v>
      </c>
      <c r="B5179" t="s">
        <v>1335</v>
      </c>
      <c r="C5179" t="s">
        <v>1793</v>
      </c>
      <c r="D5179">
        <v>6.7</v>
      </c>
    </row>
    <row r="5180" spans="1:4" x14ac:dyDescent="0.25">
      <c r="A5180" t="s">
        <v>1911</v>
      </c>
      <c r="B5180" t="s">
        <v>1335</v>
      </c>
      <c r="C5180" t="s">
        <v>1590</v>
      </c>
      <c r="D5180">
        <v>17.75</v>
      </c>
    </row>
    <row r="5181" spans="1:4" x14ac:dyDescent="0.25">
      <c r="A5181" t="s">
        <v>1913</v>
      </c>
      <c r="B5181" t="s">
        <v>1335</v>
      </c>
      <c r="C5181" t="s">
        <v>1590</v>
      </c>
      <c r="D5181">
        <v>40</v>
      </c>
    </row>
    <row r="5182" spans="1:4" x14ac:dyDescent="0.25">
      <c r="A5182" t="s">
        <v>1945</v>
      </c>
      <c r="B5182" t="s">
        <v>1331</v>
      </c>
      <c r="C5182" t="s">
        <v>1726</v>
      </c>
      <c r="D5182">
        <v>6</v>
      </c>
    </row>
    <row r="5183" spans="1:4" x14ac:dyDescent="0.25">
      <c r="A5183" t="s">
        <v>2016</v>
      </c>
      <c r="B5183" t="s">
        <v>1331</v>
      </c>
      <c r="C5183" t="s">
        <v>1726</v>
      </c>
      <c r="D5183">
        <v>0.71</v>
      </c>
    </row>
    <row r="5184" spans="1:4" x14ac:dyDescent="0.25">
      <c r="A5184" t="s">
        <v>1907</v>
      </c>
      <c r="B5184" t="s">
        <v>1335</v>
      </c>
      <c r="C5184" t="s">
        <v>1726</v>
      </c>
      <c r="D5184">
        <v>7</v>
      </c>
    </row>
    <row r="5185" spans="1:4" x14ac:dyDescent="0.25">
      <c r="A5185" t="s">
        <v>2021</v>
      </c>
      <c r="B5185" t="s">
        <v>1334</v>
      </c>
      <c r="C5185" t="s">
        <v>1715</v>
      </c>
      <c r="D5185">
        <v>15.9</v>
      </c>
    </row>
    <row r="5186" spans="1:4" x14ac:dyDescent="0.25">
      <c r="A5186" t="s">
        <v>1913</v>
      </c>
      <c r="B5186" t="s">
        <v>1335</v>
      </c>
      <c r="C5186" t="s">
        <v>1718</v>
      </c>
      <c r="D5186">
        <v>15.4</v>
      </c>
    </row>
    <row r="5187" spans="1:4" x14ac:dyDescent="0.25">
      <c r="A5187" t="s">
        <v>1913</v>
      </c>
      <c r="B5187" t="s">
        <v>1335</v>
      </c>
      <c r="C5187" t="s">
        <v>1790</v>
      </c>
      <c r="D5187">
        <v>7</v>
      </c>
    </row>
    <row r="5188" spans="1:4" x14ac:dyDescent="0.25">
      <c r="A5188" t="s">
        <v>2100</v>
      </c>
      <c r="B5188" t="s">
        <v>1334</v>
      </c>
      <c r="C5188" t="s">
        <v>1492</v>
      </c>
      <c r="D5188">
        <v>14.9</v>
      </c>
    </row>
    <row r="5189" spans="1:4" x14ac:dyDescent="0.25">
      <c r="A5189" t="s">
        <v>2021</v>
      </c>
      <c r="B5189" t="s">
        <v>1334</v>
      </c>
      <c r="C5189" t="s">
        <v>1492</v>
      </c>
      <c r="D5189">
        <v>138.30000000000001</v>
      </c>
    </row>
    <row r="5190" spans="1:4" x14ac:dyDescent="0.25">
      <c r="A5190" t="s">
        <v>2027</v>
      </c>
      <c r="B5190" t="s">
        <v>1334</v>
      </c>
      <c r="C5190" t="s">
        <v>1885</v>
      </c>
      <c r="D5190">
        <v>1</v>
      </c>
    </row>
    <row r="5191" spans="1:4" x14ac:dyDescent="0.25">
      <c r="A5191" t="s">
        <v>1986</v>
      </c>
      <c r="B5191" t="s">
        <v>1331</v>
      </c>
      <c r="C5191" t="s">
        <v>1724</v>
      </c>
      <c r="D5191">
        <v>14</v>
      </c>
    </row>
    <row r="5192" spans="1:4" x14ac:dyDescent="0.25">
      <c r="A5192" t="s">
        <v>1927</v>
      </c>
      <c r="B5192" t="s">
        <v>1330</v>
      </c>
      <c r="C5192" t="s">
        <v>1374</v>
      </c>
      <c r="D5192">
        <v>362.25</v>
      </c>
    </row>
    <row r="5193" spans="1:4" x14ac:dyDescent="0.25">
      <c r="A5193" t="s">
        <v>1927</v>
      </c>
      <c r="B5193" t="s">
        <v>1331</v>
      </c>
      <c r="C5193" t="s">
        <v>1374</v>
      </c>
      <c r="D5193">
        <v>587.9</v>
      </c>
    </row>
    <row r="5194" spans="1:4" x14ac:dyDescent="0.25">
      <c r="A5194" t="s">
        <v>1923</v>
      </c>
      <c r="B5194" t="s">
        <v>1331</v>
      </c>
      <c r="C5194" t="s">
        <v>1374</v>
      </c>
      <c r="D5194">
        <v>460.6</v>
      </c>
    </row>
    <row r="5195" spans="1:4" x14ac:dyDescent="0.25">
      <c r="A5195" t="s">
        <v>1945</v>
      </c>
      <c r="B5195" t="s">
        <v>1331</v>
      </c>
      <c r="C5195" t="s">
        <v>1374</v>
      </c>
      <c r="D5195">
        <v>28.5</v>
      </c>
    </row>
    <row r="5196" spans="1:4" x14ac:dyDescent="0.25">
      <c r="A5196" t="s">
        <v>2006</v>
      </c>
      <c r="B5196" t="s">
        <v>1331</v>
      </c>
      <c r="C5196" t="s">
        <v>1374</v>
      </c>
      <c r="D5196">
        <v>1.5</v>
      </c>
    </row>
    <row r="5197" spans="1:4" x14ac:dyDescent="0.25">
      <c r="A5197" t="s">
        <v>1945</v>
      </c>
      <c r="B5197" t="s">
        <v>1331</v>
      </c>
      <c r="C5197" t="s">
        <v>1716</v>
      </c>
      <c r="D5197">
        <v>3</v>
      </c>
    </row>
    <row r="5198" spans="1:4" x14ac:dyDescent="0.25">
      <c r="A5198" t="s">
        <v>1907</v>
      </c>
      <c r="B5198" t="s">
        <v>1335</v>
      </c>
      <c r="C5198" t="s">
        <v>1716</v>
      </c>
      <c r="D5198">
        <v>1</v>
      </c>
    </row>
    <row r="5199" spans="1:4" x14ac:dyDescent="0.25">
      <c r="A5199" t="s">
        <v>1911</v>
      </c>
      <c r="B5199" t="s">
        <v>1335</v>
      </c>
      <c r="C5199" t="s">
        <v>1716</v>
      </c>
      <c r="D5199">
        <v>2</v>
      </c>
    </row>
    <row r="5200" spans="1:4" x14ac:dyDescent="0.25">
      <c r="A5200" t="s">
        <v>1913</v>
      </c>
      <c r="B5200" t="s">
        <v>1335</v>
      </c>
      <c r="C5200" t="s">
        <v>1716</v>
      </c>
      <c r="D5200">
        <v>9.6999999999999993</v>
      </c>
    </row>
    <row r="5201" spans="1:4" x14ac:dyDescent="0.25">
      <c r="A5201" t="s">
        <v>2021</v>
      </c>
      <c r="B5201" t="s">
        <v>1334</v>
      </c>
      <c r="C5201" t="s">
        <v>1773</v>
      </c>
      <c r="D5201">
        <v>8.6999999999999993</v>
      </c>
    </row>
    <row r="5202" spans="1:4" x14ac:dyDescent="0.25">
      <c r="A5202" t="s">
        <v>2016</v>
      </c>
      <c r="B5202" t="s">
        <v>1331</v>
      </c>
      <c r="C5202" t="s">
        <v>1807</v>
      </c>
      <c r="D5202">
        <v>5.15</v>
      </c>
    </row>
    <row r="5203" spans="1:4" x14ac:dyDescent="0.25">
      <c r="A5203" t="s">
        <v>1989</v>
      </c>
      <c r="B5203" t="s">
        <v>1331</v>
      </c>
      <c r="C5203" t="s">
        <v>1761</v>
      </c>
      <c r="D5203">
        <v>0.5</v>
      </c>
    </row>
    <row r="5204" spans="1:4" x14ac:dyDescent="0.25">
      <c r="A5204" t="s">
        <v>1945</v>
      </c>
      <c r="B5204" t="s">
        <v>1331</v>
      </c>
      <c r="C5204" t="s">
        <v>1761</v>
      </c>
      <c r="D5204">
        <v>9</v>
      </c>
    </row>
    <row r="5205" spans="1:4" x14ac:dyDescent="0.25">
      <c r="A5205" t="s">
        <v>1945</v>
      </c>
      <c r="B5205" t="s">
        <v>1331</v>
      </c>
      <c r="C5205" t="s">
        <v>1839</v>
      </c>
      <c r="D5205">
        <v>3</v>
      </c>
    </row>
    <row r="5206" spans="1:4" x14ac:dyDescent="0.25">
      <c r="A5206" t="s">
        <v>1986</v>
      </c>
      <c r="B5206" t="s">
        <v>1331</v>
      </c>
      <c r="C5206" t="s">
        <v>1428</v>
      </c>
      <c r="D5206">
        <v>308</v>
      </c>
    </row>
    <row r="5207" spans="1:4" x14ac:dyDescent="0.25">
      <c r="A5207" t="s">
        <v>1913</v>
      </c>
      <c r="B5207" t="s">
        <v>1335</v>
      </c>
      <c r="C5207" t="s">
        <v>1428</v>
      </c>
      <c r="D5207">
        <v>12.55</v>
      </c>
    </row>
    <row r="5208" spans="1:4" x14ac:dyDescent="0.25">
      <c r="A5208" t="s">
        <v>2016</v>
      </c>
      <c r="B5208" t="s">
        <v>1331</v>
      </c>
      <c r="C5208" t="s">
        <v>1428</v>
      </c>
      <c r="D5208">
        <v>0.44</v>
      </c>
    </row>
    <row r="5209" spans="1:4" x14ac:dyDescent="0.25">
      <c r="A5209" t="s">
        <v>1989</v>
      </c>
      <c r="B5209" t="s">
        <v>1331</v>
      </c>
      <c r="C5209" t="s">
        <v>1428</v>
      </c>
      <c r="D5209">
        <v>18.600000000000001</v>
      </c>
    </row>
    <row r="5210" spans="1:4" x14ac:dyDescent="0.25">
      <c r="A5210" t="s">
        <v>1945</v>
      </c>
      <c r="B5210" t="s">
        <v>1331</v>
      </c>
      <c r="C5210" t="s">
        <v>1428</v>
      </c>
      <c r="D5210">
        <v>45</v>
      </c>
    </row>
    <row r="5211" spans="1:4" x14ac:dyDescent="0.25">
      <c r="A5211" t="s">
        <v>2065</v>
      </c>
      <c r="B5211" t="s">
        <v>1331</v>
      </c>
      <c r="C5211" t="s">
        <v>1428</v>
      </c>
      <c r="D5211">
        <v>1</v>
      </c>
    </row>
    <row r="5212" spans="1:4" x14ac:dyDescent="0.25">
      <c r="A5212" t="s">
        <v>1945</v>
      </c>
      <c r="B5212" t="s">
        <v>1331</v>
      </c>
      <c r="C5212" t="s">
        <v>1860</v>
      </c>
      <c r="D5212">
        <v>2</v>
      </c>
    </row>
    <row r="5213" spans="1:4" x14ac:dyDescent="0.25">
      <c r="A5213" t="s">
        <v>1945</v>
      </c>
      <c r="B5213" t="s">
        <v>1331</v>
      </c>
      <c r="C5213" t="s">
        <v>1731</v>
      </c>
      <c r="D5213">
        <v>2</v>
      </c>
    </row>
    <row r="5214" spans="1:4" x14ac:dyDescent="0.25">
      <c r="A5214" t="s">
        <v>1989</v>
      </c>
      <c r="B5214" t="s">
        <v>1331</v>
      </c>
      <c r="C5214" t="s">
        <v>1731</v>
      </c>
      <c r="D5214">
        <v>11.5</v>
      </c>
    </row>
    <row r="5215" spans="1:4" x14ac:dyDescent="0.25">
      <c r="A5215" t="s">
        <v>1945</v>
      </c>
      <c r="B5215" t="s">
        <v>1331</v>
      </c>
      <c r="C5215" t="s">
        <v>1861</v>
      </c>
      <c r="D5215">
        <v>2</v>
      </c>
    </row>
    <row r="5216" spans="1:4" x14ac:dyDescent="0.25">
      <c r="A5216" t="s">
        <v>1945</v>
      </c>
      <c r="B5216" t="s">
        <v>1331</v>
      </c>
      <c r="C5216" t="s">
        <v>1628</v>
      </c>
      <c r="D5216">
        <v>28</v>
      </c>
    </row>
    <row r="5217" spans="1:4" x14ac:dyDescent="0.25">
      <c r="A5217" t="s">
        <v>1986</v>
      </c>
      <c r="B5217" t="s">
        <v>1331</v>
      </c>
      <c r="C5217" t="s">
        <v>1628</v>
      </c>
      <c r="D5217">
        <v>2</v>
      </c>
    </row>
    <row r="5218" spans="1:4" x14ac:dyDescent="0.25">
      <c r="A5218" t="s">
        <v>1918</v>
      </c>
      <c r="B5218" t="s">
        <v>1335</v>
      </c>
      <c r="C5218" t="s">
        <v>1628</v>
      </c>
      <c r="D5218">
        <v>5.7</v>
      </c>
    </row>
    <row r="5219" spans="1:4" x14ac:dyDescent="0.25">
      <c r="A5219" t="s">
        <v>1945</v>
      </c>
      <c r="B5219" t="s">
        <v>1331</v>
      </c>
      <c r="C5219" t="s">
        <v>1862</v>
      </c>
      <c r="D5219">
        <v>2</v>
      </c>
    </row>
    <row r="5220" spans="1:4" x14ac:dyDescent="0.25">
      <c r="A5220" t="s">
        <v>1945</v>
      </c>
      <c r="B5220" t="s">
        <v>1331</v>
      </c>
      <c r="C5220" t="s">
        <v>1413</v>
      </c>
      <c r="D5220">
        <v>23.15</v>
      </c>
    </row>
    <row r="5221" spans="1:4" x14ac:dyDescent="0.25">
      <c r="A5221" t="s">
        <v>1989</v>
      </c>
      <c r="B5221" t="s">
        <v>1331</v>
      </c>
      <c r="C5221" t="s">
        <v>1413</v>
      </c>
      <c r="D5221">
        <v>248.4</v>
      </c>
    </row>
    <row r="5222" spans="1:4" x14ac:dyDescent="0.25">
      <c r="A5222" t="s">
        <v>2016</v>
      </c>
      <c r="B5222" t="s">
        <v>1331</v>
      </c>
      <c r="C5222" t="s">
        <v>1413</v>
      </c>
      <c r="D5222">
        <v>260.10000000000002</v>
      </c>
    </row>
    <row r="5223" spans="1:4" x14ac:dyDescent="0.25">
      <c r="A5223" t="s">
        <v>2043</v>
      </c>
      <c r="B5223" t="s">
        <v>1334</v>
      </c>
      <c r="C5223" t="s">
        <v>1886</v>
      </c>
      <c r="D5223">
        <v>1</v>
      </c>
    </row>
    <row r="5224" spans="1:4" x14ac:dyDescent="0.25">
      <c r="A5224" t="s">
        <v>1945</v>
      </c>
      <c r="B5224" t="s">
        <v>1331</v>
      </c>
      <c r="C5224" t="s">
        <v>1756</v>
      </c>
      <c r="D5224">
        <v>10</v>
      </c>
    </row>
    <row r="5225" spans="1:4" x14ac:dyDescent="0.25">
      <c r="A5225" t="s">
        <v>1995</v>
      </c>
      <c r="B5225" t="s">
        <v>1330</v>
      </c>
      <c r="C5225" t="s">
        <v>1483</v>
      </c>
      <c r="D5225">
        <v>6</v>
      </c>
    </row>
    <row r="5226" spans="1:4" x14ac:dyDescent="0.25">
      <c r="A5226" t="s">
        <v>2100</v>
      </c>
      <c r="B5226" t="s">
        <v>1334</v>
      </c>
      <c r="C5226" t="s">
        <v>1483</v>
      </c>
      <c r="D5226">
        <v>115.2</v>
      </c>
    </row>
    <row r="5227" spans="1:4" x14ac:dyDescent="0.25">
      <c r="A5227" t="s">
        <v>2043</v>
      </c>
      <c r="B5227" t="s">
        <v>1334</v>
      </c>
      <c r="C5227" t="s">
        <v>1483</v>
      </c>
      <c r="D5227">
        <v>4</v>
      </c>
    </row>
    <row r="5228" spans="1:4" x14ac:dyDescent="0.25">
      <c r="A5228" t="s">
        <v>2102</v>
      </c>
      <c r="B5228" t="s">
        <v>1335</v>
      </c>
      <c r="C5228" t="s">
        <v>1483</v>
      </c>
      <c r="D5228">
        <v>0</v>
      </c>
    </row>
    <row r="5229" spans="1:4" x14ac:dyDescent="0.25">
      <c r="A5229" t="s">
        <v>2021</v>
      </c>
      <c r="B5229" t="s">
        <v>1334</v>
      </c>
      <c r="C5229" t="s">
        <v>1483</v>
      </c>
      <c r="D5229">
        <v>14.5</v>
      </c>
    </row>
    <row r="5230" spans="1:4" x14ac:dyDescent="0.25">
      <c r="A5230" t="s">
        <v>1992</v>
      </c>
      <c r="B5230" t="s">
        <v>1335</v>
      </c>
      <c r="C5230" t="s">
        <v>1483</v>
      </c>
      <c r="D5230">
        <v>10.15</v>
      </c>
    </row>
    <row r="5231" spans="1:4" x14ac:dyDescent="0.25">
      <c r="A5231" t="s">
        <v>1971</v>
      </c>
      <c r="B5231" t="s">
        <v>1335</v>
      </c>
      <c r="C5231" t="s">
        <v>1483</v>
      </c>
      <c r="D5231">
        <v>19</v>
      </c>
    </row>
    <row r="5232" spans="1:4" x14ac:dyDescent="0.25">
      <c r="A5232" t="s">
        <v>1983</v>
      </c>
      <c r="B5232" t="s">
        <v>1335</v>
      </c>
      <c r="C5232" t="s">
        <v>1517</v>
      </c>
      <c r="D5232">
        <v>0.75</v>
      </c>
    </row>
    <row r="5233" spans="1:4" x14ac:dyDescent="0.25">
      <c r="A5233" t="s">
        <v>1907</v>
      </c>
      <c r="B5233" t="s">
        <v>1335</v>
      </c>
      <c r="C5233" t="s">
        <v>1517</v>
      </c>
      <c r="D5233">
        <v>88.4</v>
      </c>
    </row>
    <row r="5234" spans="1:4" x14ac:dyDescent="0.25">
      <c r="A5234" t="s">
        <v>1945</v>
      </c>
      <c r="B5234" t="s">
        <v>1331</v>
      </c>
      <c r="C5234" t="s">
        <v>1517</v>
      </c>
      <c r="D5234">
        <v>26</v>
      </c>
    </row>
    <row r="5235" spans="1:4" x14ac:dyDescent="0.25">
      <c r="A5235" t="s">
        <v>1945</v>
      </c>
      <c r="B5235" t="s">
        <v>1331</v>
      </c>
      <c r="C5235" t="s">
        <v>1814</v>
      </c>
      <c r="D5235">
        <v>5</v>
      </c>
    </row>
    <row r="5236" spans="1:4" x14ac:dyDescent="0.25">
      <c r="A5236" t="s">
        <v>1945</v>
      </c>
      <c r="B5236" t="s">
        <v>1331</v>
      </c>
      <c r="C5236" t="s">
        <v>1757</v>
      </c>
      <c r="D5236">
        <v>10</v>
      </c>
    </row>
    <row r="5237" spans="1:4" x14ac:dyDescent="0.25">
      <c r="A5237" t="s">
        <v>2043</v>
      </c>
      <c r="B5237" t="s">
        <v>1334</v>
      </c>
      <c r="C5237" t="s">
        <v>1698</v>
      </c>
      <c r="D5237">
        <v>20.100000000000001</v>
      </c>
    </row>
    <row r="5238" spans="1:4" x14ac:dyDescent="0.25">
      <c r="A5238" t="s">
        <v>1904</v>
      </c>
      <c r="B5238" t="s">
        <v>1331</v>
      </c>
      <c r="C5238" t="s">
        <v>1390</v>
      </c>
      <c r="D5238">
        <v>369.7</v>
      </c>
    </row>
    <row r="5239" spans="1:4" x14ac:dyDescent="0.25">
      <c r="A5239" t="s">
        <v>2049</v>
      </c>
      <c r="B5239" t="s">
        <v>1331</v>
      </c>
      <c r="C5239" t="s">
        <v>1390</v>
      </c>
      <c r="D5239">
        <v>265</v>
      </c>
    </row>
    <row r="5240" spans="1:4" x14ac:dyDescent="0.25">
      <c r="A5240" t="s">
        <v>2007</v>
      </c>
      <c r="B5240" t="s">
        <v>1331</v>
      </c>
      <c r="C5240" t="s">
        <v>1390</v>
      </c>
      <c r="D5240">
        <v>4.7</v>
      </c>
    </row>
    <row r="5241" spans="1:4" x14ac:dyDescent="0.25">
      <c r="A5241" t="s">
        <v>1960</v>
      </c>
      <c r="B5241" t="s">
        <v>1331</v>
      </c>
      <c r="C5241" t="s">
        <v>1390</v>
      </c>
      <c r="D5241">
        <v>45.5</v>
      </c>
    </row>
    <row r="5242" spans="1:4" x14ac:dyDescent="0.25">
      <c r="A5242" t="s">
        <v>1997</v>
      </c>
      <c r="B5242" t="s">
        <v>1331</v>
      </c>
      <c r="C5242" t="s">
        <v>1390</v>
      </c>
      <c r="D5242">
        <v>142.25</v>
      </c>
    </row>
    <row r="5243" spans="1:4" x14ac:dyDescent="0.25">
      <c r="A5243" t="s">
        <v>1945</v>
      </c>
      <c r="B5243" t="s">
        <v>1331</v>
      </c>
      <c r="C5243" t="s">
        <v>1390</v>
      </c>
      <c r="D5243">
        <v>13</v>
      </c>
    </row>
    <row r="5244" spans="1:4" x14ac:dyDescent="0.25">
      <c r="A5244" t="s">
        <v>1986</v>
      </c>
      <c r="B5244" t="s">
        <v>1331</v>
      </c>
      <c r="C5244" t="s">
        <v>1650</v>
      </c>
      <c r="D5244">
        <v>17</v>
      </c>
    </row>
    <row r="5245" spans="1:4" x14ac:dyDescent="0.25">
      <c r="A5245" t="s">
        <v>1978</v>
      </c>
      <c r="B5245" t="s">
        <v>1331</v>
      </c>
      <c r="C5245" t="s">
        <v>1650</v>
      </c>
      <c r="D5245">
        <v>1.5</v>
      </c>
    </row>
    <row r="5246" spans="1:4" x14ac:dyDescent="0.25">
      <c r="A5246" t="s">
        <v>1945</v>
      </c>
      <c r="B5246" t="s">
        <v>1331</v>
      </c>
      <c r="C5246" t="s">
        <v>1650</v>
      </c>
      <c r="D5246">
        <v>11</v>
      </c>
    </row>
    <row r="5247" spans="1:4" x14ac:dyDescent="0.25">
      <c r="A5247" t="s">
        <v>2016</v>
      </c>
      <c r="B5247" t="s">
        <v>1331</v>
      </c>
      <c r="C5247" t="s">
        <v>1827</v>
      </c>
      <c r="D5247">
        <v>3.79</v>
      </c>
    </row>
    <row r="5248" spans="1:4" x14ac:dyDescent="0.25">
      <c r="A5248" t="s">
        <v>1945</v>
      </c>
      <c r="B5248" t="s">
        <v>1331</v>
      </c>
      <c r="C5248" t="s">
        <v>1863</v>
      </c>
      <c r="D5248">
        <v>2</v>
      </c>
    </row>
    <row r="5249" spans="1:4" x14ac:dyDescent="0.25">
      <c r="A5249" t="s">
        <v>1945</v>
      </c>
      <c r="B5249" t="s">
        <v>1331</v>
      </c>
      <c r="C5249" t="s">
        <v>1887</v>
      </c>
      <c r="D5249">
        <v>1</v>
      </c>
    </row>
    <row r="5250" spans="1:4" x14ac:dyDescent="0.25">
      <c r="A5250" t="s">
        <v>1945</v>
      </c>
      <c r="B5250" t="s">
        <v>1331</v>
      </c>
      <c r="C5250" t="s">
        <v>1580</v>
      </c>
      <c r="D5250">
        <v>1</v>
      </c>
    </row>
    <row r="5251" spans="1:4" x14ac:dyDescent="0.25">
      <c r="A5251" t="s">
        <v>1986</v>
      </c>
      <c r="B5251" t="s">
        <v>1331</v>
      </c>
      <c r="C5251" t="s">
        <v>1580</v>
      </c>
      <c r="D5251">
        <v>64</v>
      </c>
    </row>
    <row r="5252" spans="1:4" x14ac:dyDescent="0.25">
      <c r="A5252" t="s">
        <v>1945</v>
      </c>
      <c r="B5252" t="s">
        <v>1331</v>
      </c>
      <c r="C5252" t="s">
        <v>1888</v>
      </c>
      <c r="D5252">
        <v>1</v>
      </c>
    </row>
    <row r="5253" spans="1:4" x14ac:dyDescent="0.25">
      <c r="A5253" t="s">
        <v>2016</v>
      </c>
      <c r="B5253" t="s">
        <v>1331</v>
      </c>
      <c r="C5253" t="s">
        <v>1869</v>
      </c>
      <c r="D5253">
        <v>1.48</v>
      </c>
    </row>
  </sheetData>
  <autoFilter ref="A1:D5253" xr:uid="{00000000-0009-0000-0000-000003000000}">
    <sortState xmlns:xlrd2="http://schemas.microsoft.com/office/spreadsheetml/2017/richdata2" ref="A2:D5253">
      <sortCondition ref="C1:C525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Projets</vt:lpstr>
      <vt:lpstr>Machines</vt:lpstr>
      <vt:lpstr>Feuil1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DONFUT ANTOINE</cp:lastModifiedBy>
  <dcterms:created xsi:type="dcterms:W3CDTF">2026-03-16T15:01:48Z</dcterms:created>
  <dcterms:modified xsi:type="dcterms:W3CDTF">2026-03-25T08:16:09Z</dcterms:modified>
</cp:coreProperties>
</file>